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2.xml" ContentType="application/vnd.openxmlformats-officedocument.drawing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91884\Desktop\测试报告生成工具\"/>
    </mc:Choice>
  </mc:AlternateContent>
  <xr:revisionPtr revIDLastSave="0" documentId="13_ncr:1_{9D0C35D7-82FC-4371-A15D-12C5EBA1B9D0}" xr6:coauthVersionLast="36" xr6:coauthVersionMax="47" xr10:uidLastSave="{00000000-0000-0000-0000-000000000000}"/>
  <bookViews>
    <workbookView xWindow="-105" yWindow="-105" windowWidth="23250" windowHeight="11535" tabRatio="837" activeTab="2" xr2:uid="{1C475F01-A139-4A55-9A9A-1A1ECFAC193E}"/>
  </bookViews>
  <sheets>
    <sheet name="功能首页" sheetId="1" r:id="rId1"/>
    <sheet name="公共配置" sheetId="38" r:id="rId2"/>
    <sheet name="循环配置" sheetId="13" r:id="rId3"/>
    <sheet name="存储配置" sheetId="26" state="hidden" r:id="rId4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46" i="38" l="1"/>
  <c r="T40" i="38"/>
  <c r="T41" i="38"/>
  <c r="T42" i="38"/>
  <c r="T43" i="38"/>
  <c r="T44" i="38"/>
  <c r="T45" i="38"/>
  <c r="T38" i="38"/>
  <c r="T39" i="38"/>
  <c r="T27" i="38"/>
  <c r="T28" i="38"/>
  <c r="T29" i="38"/>
  <c r="T30" i="38"/>
  <c r="T31" i="38"/>
  <c r="T32" i="38"/>
  <c r="T33" i="38"/>
  <c r="T34" i="38"/>
  <c r="T35" i="38"/>
  <c r="T36" i="38"/>
  <c r="T37" i="38"/>
  <c r="N39" i="38" l="1"/>
  <c r="N40" i="38"/>
  <c r="N41" i="38"/>
  <c r="N42" i="38"/>
  <c r="N43" i="38"/>
  <c r="N44" i="38"/>
  <c r="N45" i="38"/>
  <c r="N46" i="38"/>
  <c r="H39" i="38"/>
  <c r="H40" i="38"/>
  <c r="H41" i="38"/>
  <c r="H42" i="38"/>
  <c r="H43" i="38"/>
  <c r="H44" i="38"/>
  <c r="H45" i="38"/>
  <c r="H46" i="38"/>
  <c r="B39" i="38"/>
  <c r="B40" i="38"/>
  <c r="B41" i="38"/>
  <c r="B42" i="38"/>
  <c r="B43" i="38"/>
  <c r="B44" i="38"/>
  <c r="B45" i="38"/>
  <c r="B46" i="38"/>
  <c r="N15" i="38"/>
  <c r="N16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N31" i="38"/>
  <c r="N32" i="38"/>
  <c r="N33" i="38"/>
  <c r="N3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32" i="38"/>
  <c r="B33" i="38"/>
  <c r="B34" i="38"/>
  <c r="C3" i="13"/>
  <c r="C4" i="13"/>
  <c r="C5" i="13"/>
  <c r="C6" i="13"/>
  <c r="C7" i="13"/>
  <c r="C8" i="13"/>
  <c r="C9" i="13"/>
  <c r="C10" i="13"/>
  <c r="C11" i="13"/>
  <c r="C12" i="13"/>
  <c r="B3" i="13"/>
  <c r="B4" i="13"/>
  <c r="B5" i="13"/>
  <c r="B6" i="13"/>
  <c r="B7" i="13"/>
  <c r="B8" i="13"/>
  <c r="B9" i="13"/>
  <c r="B10" i="13"/>
  <c r="B11" i="13"/>
  <c r="B12" i="13"/>
  <c r="C12" i="26" l="1"/>
  <c r="B12" i="26"/>
  <c r="C11" i="26"/>
  <c r="B11" i="26"/>
  <c r="C10" i="26"/>
  <c r="B10" i="26"/>
  <c r="C9" i="26"/>
  <c r="B9" i="26"/>
  <c r="C8" i="26"/>
  <c r="B8" i="26"/>
  <c r="C7" i="26"/>
  <c r="B7" i="26"/>
  <c r="C6" i="26"/>
  <c r="B6" i="26"/>
  <c r="C5" i="26"/>
  <c r="B5" i="26"/>
  <c r="C4" i="26"/>
  <c r="B4" i="26"/>
  <c r="C3" i="26"/>
  <c r="B3" i="26"/>
  <c r="N68" i="38"/>
  <c r="H68" i="38"/>
  <c r="B68" i="38"/>
  <c r="N67" i="38"/>
  <c r="H67" i="38"/>
  <c r="B67" i="38"/>
  <c r="N66" i="38"/>
  <c r="H66" i="38"/>
  <c r="B66" i="38"/>
  <c r="N65" i="38"/>
  <c r="H65" i="38"/>
  <c r="B65" i="38"/>
  <c r="N64" i="38"/>
  <c r="H64" i="38"/>
  <c r="B64" i="38"/>
  <c r="N63" i="38"/>
  <c r="H63" i="38"/>
  <c r="B63" i="38"/>
  <c r="N62" i="38"/>
  <c r="H62" i="38"/>
  <c r="B62" i="38"/>
  <c r="N61" i="38"/>
  <c r="H61" i="38"/>
  <c r="B61" i="38"/>
  <c r="N60" i="38"/>
  <c r="H60" i="38"/>
  <c r="B60" i="38"/>
  <c r="N59" i="38"/>
  <c r="H59" i="38"/>
  <c r="B59" i="38"/>
  <c r="N58" i="38"/>
  <c r="H58" i="38"/>
  <c r="B58" i="38"/>
  <c r="N57" i="38"/>
  <c r="H57" i="38"/>
  <c r="B57" i="38"/>
  <c r="N56" i="38"/>
  <c r="H56" i="38"/>
  <c r="B56" i="38"/>
  <c r="N55" i="38"/>
  <c r="H55" i="38"/>
  <c r="B55" i="38"/>
  <c r="N54" i="38"/>
  <c r="H54" i="38"/>
  <c r="B54" i="38"/>
  <c r="N53" i="38"/>
  <c r="H53" i="38"/>
  <c r="B53" i="38"/>
  <c r="N52" i="38"/>
  <c r="H52" i="38"/>
  <c r="B52" i="38"/>
  <c r="N51" i="38"/>
  <c r="H51" i="38"/>
  <c r="B51" i="38"/>
  <c r="N50" i="38"/>
  <c r="H50" i="38"/>
  <c r="B50" i="38"/>
  <c r="N49" i="38"/>
  <c r="H49" i="38"/>
  <c r="B49" i="38"/>
  <c r="N12" i="38"/>
  <c r="H12" i="38"/>
  <c r="B12" i="38"/>
  <c r="N11" i="38"/>
  <c r="H11" i="38"/>
  <c r="B11" i="38"/>
  <c r="N10" i="38"/>
  <c r="H10" i="38"/>
  <c r="B10" i="38"/>
  <c r="N9" i="38"/>
  <c r="H9" i="38"/>
  <c r="B9" i="38"/>
  <c r="N8" i="38"/>
  <c r="H8" i="38"/>
  <c r="B8" i="38"/>
  <c r="N7" i="38"/>
  <c r="H7" i="38"/>
  <c r="B7" i="38"/>
  <c r="N6" i="38"/>
  <c r="H6" i="38"/>
  <c r="B6" i="38"/>
  <c r="N5" i="38"/>
  <c r="H5" i="38"/>
  <c r="B5" i="38"/>
  <c r="B38" i="1"/>
  <c r="B37" i="1"/>
  <c r="B36" i="1"/>
  <c r="B35" i="1"/>
  <c r="B34" i="1"/>
  <c r="B33" i="1"/>
  <c r="B32" i="1"/>
  <c r="B31" i="1"/>
  <c r="B30" i="1"/>
  <c r="B26" i="1"/>
  <c r="B25" i="1"/>
  <c r="B24" i="1"/>
  <c r="B23" i="1"/>
  <c r="B22" i="1"/>
  <c r="B21" i="1"/>
  <c r="B20" i="1"/>
  <c r="B19" i="1"/>
  <c r="B18" i="1"/>
  <c r="B17" i="1"/>
  <c r="B13" i="1"/>
  <c r="B12" i="1"/>
  <c r="B11" i="1"/>
  <c r="B10" i="1"/>
  <c r="B9" i="1"/>
  <c r="B8" i="1"/>
  <c r="B7" i="1"/>
  <c r="B6" i="1"/>
  <c r="B5" i="1"/>
  <c r="B4" i="1"/>
</calcChain>
</file>

<file path=xl/sharedStrings.xml><?xml version="1.0" encoding="utf-8"?>
<sst xmlns="http://schemas.openxmlformats.org/spreadsheetml/2006/main" count="359" uniqueCount="110">
  <si>
    <t>序号</t>
    <phoneticPr fontId="2" type="noConversion"/>
  </si>
  <si>
    <t>更新第</t>
    <phoneticPr fontId="2" type="noConversion"/>
  </si>
  <si>
    <t>份报告</t>
    <phoneticPr fontId="2" type="noConversion"/>
  </si>
  <si>
    <t>输出的测试报标题</t>
    <phoneticPr fontId="2" type="noConversion"/>
  </si>
  <si>
    <t>中检间隔圈数</t>
    <phoneticPr fontId="2" type="noConversion"/>
  </si>
  <si>
    <t>放电时间</t>
    <phoneticPr fontId="2" type="noConversion"/>
  </si>
  <si>
    <t>测试报告标题</t>
    <phoneticPr fontId="2" type="noConversion"/>
  </si>
  <si>
    <t>90%SOC放电工步号</t>
    <phoneticPr fontId="2" type="noConversion"/>
  </si>
  <si>
    <t>90%SOC搁置工步号</t>
    <phoneticPr fontId="2" type="noConversion"/>
  </si>
  <si>
    <t>50%SOC搁置工步号</t>
    <phoneticPr fontId="2" type="noConversion"/>
  </si>
  <si>
    <t>50%SOC放电工步号</t>
    <phoneticPr fontId="2" type="noConversion"/>
  </si>
  <si>
    <t>10%SOC搁置工步号</t>
    <phoneticPr fontId="2" type="noConversion"/>
  </si>
  <si>
    <t>10%SOC放电工步号</t>
    <phoneticPr fontId="2" type="noConversion"/>
  </si>
  <si>
    <t>25min纯快充 2-97%SOC 45℃</t>
    <phoneticPr fontId="2" type="noConversion"/>
  </si>
  <si>
    <t>实验单号</t>
    <phoneticPr fontId="2" type="noConversion"/>
  </si>
  <si>
    <t>工步模板行数</t>
    <phoneticPr fontId="2" type="noConversion"/>
  </si>
  <si>
    <t>快充循环</t>
    <phoneticPr fontId="2" type="noConversion"/>
  </si>
  <si>
    <t>日历存储</t>
    <phoneticPr fontId="2" type="noConversion"/>
  </si>
  <si>
    <t>日历寿命中检DCR</t>
    <phoneticPr fontId="2" type="noConversion"/>
  </si>
  <si>
    <t>输入中检DCR数据的文件名</t>
    <phoneticPr fontId="2" type="noConversion"/>
  </si>
  <si>
    <t>输入中检容量数据的文件名</t>
    <phoneticPr fontId="2" type="noConversion"/>
  </si>
  <si>
    <t>输入循环数据的文件名</t>
    <phoneticPr fontId="2" type="noConversion"/>
  </si>
  <si>
    <t>放电时间</t>
    <phoneticPr fontId="2" type="noConversion"/>
  </si>
  <si>
    <t>实验单号</t>
    <phoneticPr fontId="2" type="noConversion"/>
  </si>
  <si>
    <t>EX2222</t>
    <phoneticPr fontId="2" type="noConversion"/>
  </si>
  <si>
    <t>日历寿命-中检容量恢复.xlsx</t>
    <phoneticPr fontId="2" type="noConversion"/>
  </si>
  <si>
    <t>序号</t>
  </si>
  <si>
    <t>工步</t>
  </si>
  <si>
    <t>具体步骤</t>
  </si>
  <si>
    <t>时间保护</t>
  </si>
  <si>
    <t>备注</t>
  </si>
  <si>
    <t>日历寿命 100%SOC60℃-68B</t>
    <phoneticPr fontId="2" type="noConversion"/>
  </si>
  <si>
    <t>30s</t>
  </si>
  <si>
    <t>列2</t>
  </si>
  <si>
    <t>列3</t>
  </si>
  <si>
    <t>序号</t>
    <phoneticPr fontId="2" type="noConversion"/>
  </si>
  <si>
    <t>输出的测试报标题</t>
    <phoneticPr fontId="2" type="noConversion"/>
  </si>
  <si>
    <t>HPPC</t>
    <phoneticPr fontId="2" type="noConversion"/>
  </si>
  <si>
    <t>是否存在大中检</t>
    <phoneticPr fontId="2" type="noConversion"/>
  </si>
  <si>
    <t>大中检90%SOC搁置工步号</t>
    <phoneticPr fontId="2" type="noConversion"/>
  </si>
  <si>
    <t>大中检90%SOC放电工步号</t>
    <phoneticPr fontId="2" type="noConversion"/>
  </si>
  <si>
    <t>大中检50%SOC搁置工步号</t>
    <phoneticPr fontId="2" type="noConversion"/>
  </si>
  <si>
    <t>大中检50%SOC放电工步号</t>
    <phoneticPr fontId="2" type="noConversion"/>
  </si>
  <si>
    <t>大中检10%SOC搁置工步号</t>
    <phoneticPr fontId="2" type="noConversion"/>
  </si>
  <si>
    <t>大中检10%SOC放电工步号</t>
    <phoneticPr fontId="2" type="noConversion"/>
  </si>
  <si>
    <t>是</t>
  </si>
  <si>
    <t>10s</t>
  </si>
  <si>
    <t>项目</t>
    <phoneticPr fontId="2" type="noConversion"/>
  </si>
  <si>
    <t>内容</t>
    <phoneticPr fontId="2" type="noConversion"/>
  </si>
  <si>
    <t>测试数量</t>
    <phoneticPr fontId="2" type="noConversion"/>
  </si>
  <si>
    <t>测试温度</t>
    <phoneticPr fontId="2" type="noConversion"/>
  </si>
  <si>
    <t>测试地点</t>
    <phoneticPr fontId="2" type="noConversion"/>
  </si>
  <si>
    <t>使用夹具</t>
    <phoneticPr fontId="2" type="noConversion"/>
  </si>
  <si>
    <t>测试结果</t>
    <phoneticPr fontId="2" type="noConversion"/>
  </si>
  <si>
    <t>25±2℃</t>
    <phoneticPr fontId="2" type="noConversion"/>
  </si>
  <si>
    <t>B4 三楼</t>
    <phoneticPr fontId="2" type="noConversion"/>
  </si>
  <si>
    <t>G16 Type B</t>
    <phoneticPr fontId="2" type="noConversion"/>
  </si>
  <si>
    <t>202212130068</t>
    <phoneticPr fontId="2" type="noConversion"/>
  </si>
  <si>
    <t>OK</t>
    <phoneticPr fontId="2" type="noConversion"/>
  </si>
  <si>
    <t>60s</t>
    <phoneticPr fontId="2" type="noConversion"/>
  </si>
  <si>
    <t>记录</t>
    <phoneticPr fontId="2" type="noConversion"/>
  </si>
  <si>
    <t>RPT1</t>
  </si>
  <si>
    <t>discharge</t>
  </si>
  <si>
    <t>rest</t>
  </si>
  <si>
    <t>charge</t>
  </si>
  <si>
    <t>cycle</t>
  </si>
  <si>
    <t>RPT2</t>
  </si>
  <si>
    <t>CC， 0.33C0， 2.8V</t>
  </si>
  <si>
    <t>30min</t>
  </si>
  <si>
    <t>CCCV，0.5C0， 0.05C，4.25V</t>
  </si>
  <si>
    <t>CC， 1C0， 2.8V</t>
  </si>
  <si>
    <t>工步38-41工步 共测试100次</t>
  </si>
  <si>
    <t>工步4-42  共测试15次</t>
  </si>
  <si>
    <t>送检人后续输入测试工步</t>
  </si>
  <si>
    <t>3.5h</t>
  </si>
  <si>
    <t>4h</t>
  </si>
  <si>
    <t>循环100次</t>
  </si>
  <si>
    <t>循环1500次</t>
  </si>
  <si>
    <t>工步信息1</t>
    <phoneticPr fontId="2" type="noConversion"/>
  </si>
  <si>
    <t>工步信息2</t>
    <phoneticPr fontId="2" type="noConversion"/>
  </si>
  <si>
    <t>工步信息3</t>
    <phoneticPr fontId="2" type="noConversion"/>
  </si>
  <si>
    <t>工步信息4</t>
    <phoneticPr fontId="2" type="noConversion"/>
  </si>
  <si>
    <t>工步信息5</t>
    <phoneticPr fontId="2" type="noConversion"/>
  </si>
  <si>
    <t>工步信息6</t>
    <phoneticPr fontId="2" type="noConversion"/>
  </si>
  <si>
    <t>输出的测试报告标题</t>
    <phoneticPr fontId="2" type="noConversion"/>
  </si>
  <si>
    <t>工步模板序号</t>
    <phoneticPr fontId="2" type="noConversion"/>
  </si>
  <si>
    <t>stepcharge Ch：2%-97%SOC  Dch：0.5C 2%-97%SOC &amp;45℃</t>
    <phoneticPr fontId="2" type="noConversion"/>
  </si>
  <si>
    <t>报告概述</t>
    <phoneticPr fontId="2" type="noConversion"/>
  </si>
  <si>
    <t>值</t>
    <phoneticPr fontId="2" type="noConversion"/>
  </si>
  <si>
    <t>散点图颜色配置</t>
    <phoneticPr fontId="2" type="noConversion"/>
  </si>
  <si>
    <t>三圈中检求平均值</t>
  </si>
  <si>
    <t>显示工步号</t>
    <phoneticPr fontId="2" type="noConversion"/>
  </si>
  <si>
    <t>电池名字</t>
    <phoneticPr fontId="2" type="noConversion"/>
  </si>
  <si>
    <t>名字</t>
    <phoneticPr fontId="2" type="noConversion"/>
  </si>
  <si>
    <t>2号电池</t>
    <phoneticPr fontId="2" type="noConversion"/>
  </si>
  <si>
    <t>1号电池</t>
    <phoneticPr fontId="2" type="noConversion"/>
  </si>
  <si>
    <t>容量标定方式</t>
    <phoneticPr fontId="2" type="noConversion"/>
  </si>
  <si>
    <t>更多工具请至这里下载：</t>
    <phoneticPr fontId="2" type="noConversion"/>
  </si>
  <si>
    <t>http://cf.evebattery.com/pages/viewpage.action?pageId=104520419</t>
    <phoneticPr fontId="2" type="noConversion"/>
  </si>
  <si>
    <t>三圈中检求平均值</t>
    <phoneticPr fontId="2" type="noConversion"/>
  </si>
  <si>
    <t>202403050098</t>
    <phoneticPr fontId="2" type="noConversion"/>
  </si>
  <si>
    <t>stepcharge Ch：5%-95%SOC  Dch：0.5C 5%-95%SOC &amp;25℃</t>
    <phoneticPr fontId="2" type="noConversion"/>
  </si>
  <si>
    <t>60min</t>
    <phoneticPr fontId="2" type="noConversion"/>
  </si>
  <si>
    <t>工步63-83工步 共测试5次</t>
    <phoneticPr fontId="2" type="noConversion"/>
  </si>
  <si>
    <t>循环50次</t>
    <phoneticPr fontId="2" type="noConversion"/>
  </si>
  <si>
    <t>工步43-84  共测试30次</t>
    <phoneticPr fontId="2" type="noConversion"/>
  </si>
  <si>
    <t>DY循环-DY</t>
    <phoneticPr fontId="2" type="noConversion"/>
  </si>
  <si>
    <t>DY中检容量-DY</t>
    <phoneticPr fontId="2" type="noConversion"/>
  </si>
  <si>
    <t>DY中检DCR-DY</t>
    <phoneticPr fontId="2" type="noConversion"/>
  </si>
  <si>
    <t>程序版本：3.1.1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</si>
</sst>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theme="1"/>
      <name val="微软雅黑"/>
      <family val="2"/>
      <charset val="134"/>
    </font>
    <font>
      <sz val="10"/>
      <color theme="0"/>
      <name val="微软雅黑"/>
      <family val="2"/>
      <charset val="134"/>
    </font>
    <font>
      <sz val="9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0"/>
      <color theme="0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D50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</borders>
  <cellStyleXfs count="6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7" fillId="0" borderId="0">
      <alignment vertical="top"/>
      <protection locked="0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0" fillId="4" borderId="0" xfId="0" applyFill="1" applyAlignment="1">
      <alignment horizontal="center" vertical="center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 applyProtection="1">
      <alignment horizontal="left" vertical="center"/>
      <protection locked="0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</cellXfs>
  <cellStyles count="6">
    <cellStyle name="百分比 2" xfId="2" xr:uid="{EB487C2C-D6E3-4C72-AAC6-D2FF6568023A}"/>
    <cellStyle name="百分比 3" xfId="5" xr:uid="{85AC1B72-384E-42BE-B10E-E3BA641A7C11}"/>
    <cellStyle name="常规" xfId="0" builtinId="0"/>
    <cellStyle name="常规 2" xfId="1" xr:uid="{22406A7A-F79F-4A48-95DB-7AAB1E764062}"/>
    <cellStyle name="常规 2 10 2" xfId="4" xr:uid="{F5A6CFAA-6CE9-47EA-8100-90B4FC41E413}"/>
    <cellStyle name="常规 6 2" xfId="3" xr:uid="{598BECCF-305F-4885-910D-AA70D9643A71}"/>
  </cellStyles>
  <dxfs count="69">
    <dxf>
      <protection locked="0" hidden="0"/>
    </dxf>
    <dxf>
      <protection locked="0" hidden="0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numFmt numFmtId="0" formatCode="General"/>
      <alignment horizontal="left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indent="0" justifyLastLine="0" shrinkToFit="0" readingOrder="0"/>
      <protection locked="0" hidden="0"/>
    </dxf>
    <dxf>
      <protection locked="0" hidden="0"/>
    </dxf>
    <dxf>
      <alignment horizontal="center" vertical="center" textRotation="0" wrapText="1" indent="0" justifyLastLine="0" shrinkToFit="0" readingOrder="0"/>
    </dxf>
    <dxf>
      <font>
        <strike/>
        <color theme="0" tint="-0.34998626667073579"/>
      </font>
      <fill>
        <patternFill>
          <bgColor theme="2"/>
        </patternFill>
      </fill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numFmt numFmtId="30" formatCode="@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D5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2</xdr:row>
          <xdr:rowOff>19050</xdr:rowOff>
        </xdr:from>
        <xdr:to>
          <xdr:col>11</xdr:col>
          <xdr:colOff>257175</xdr:colOff>
          <xdr:row>2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输出报告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336330</xdr:colOff>
      <xdr:row>4</xdr:row>
      <xdr:rowOff>2365</xdr:rowOff>
    </xdr:from>
    <xdr:to>
      <xdr:col>10</xdr:col>
      <xdr:colOff>199696</xdr:colOff>
      <xdr:row>6</xdr:row>
      <xdr:rowOff>45720</xdr:rowOff>
    </xdr:to>
    <xdr:sp macro="" textlink="">
      <xdr:nvSpPr>
        <xdr:cNvPr id="2" name="对话气泡: 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303290" y="573865"/>
          <a:ext cx="1036846" cy="424355"/>
        </a:xfrm>
        <a:prstGeom prst="wedgeRectCallout">
          <a:avLst>
            <a:gd name="adj1" fmla="val -22782"/>
            <a:gd name="adj2" fmla="val -95793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请填写序号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564726</xdr:colOff>
      <xdr:row>15</xdr:row>
      <xdr:rowOff>44027</xdr:rowOff>
    </xdr:from>
    <xdr:ext cx="5732275" cy="818686"/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64726" y="3159760"/>
          <a:ext cx="5732275" cy="8186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1.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中检的容量和能量可按照三次中检的平均值计算。只有一次中检的数据的也能自动识别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2.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中检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DCR=(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搁置的最后一个电压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-10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秒时刻的电压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)/10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秒的电流平均值*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1000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，取绝对值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3.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如果有大小中检区分，请在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N~T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列填入大中检的工步号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CBDF4CC-0BCE-42EB-B9A5-9F74A2FFBDB7}" name="表1" displayName="表1" ref="B3:F13" totalsRowShown="0" headerRowDxfId="68" dataDxfId="67">
  <autoFilter ref="B3:F13" xr:uid="{DCBDF4CC-0BCE-42EB-B9A5-9F74A2FFBDB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3" xr3:uid="{283319F6-8A4E-4FA1-8537-F2D29B204D7B}" name="序号" dataDxfId="66">
      <calculatedColumnFormula>ROW()-3</calculatedColumnFormula>
    </tableColumn>
    <tableColumn id="1" xr3:uid="{1CC00B78-E2A1-44D2-8C2D-9B766EC5F219}" name="输入循环数据的文件名" dataDxfId="65"/>
    <tableColumn id="6" xr3:uid="{2C1C1BF7-2EEE-479C-AEB0-E3EDF7028118}" name="输入中检容量数据的文件名" dataDxfId="64"/>
    <tableColumn id="5" xr3:uid="{D44453EA-E180-40DB-A167-5A8B2EBBD2DD}" name="输入中检DCR数据的文件名" dataDxfId="63"/>
    <tableColumn id="2" xr3:uid="{3F0B1142-5113-45FF-A64C-BD48B2CB4698}" name="输出的测试报告标题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A81781-DF27-409C-835A-CC7A69B48093}" name="表2" displayName="表2" ref="B16:E26" totalsRowShown="0" headerRowDxfId="61" dataDxfId="60" tableBorderDxfId="59">
  <autoFilter ref="B16:E26" xr:uid="{41A81781-DF27-409C-835A-CC7A69B48093}">
    <filterColumn colId="0" hiddenButton="1"/>
    <filterColumn colId="1" hiddenButton="1"/>
    <filterColumn colId="2" hiddenButton="1"/>
    <filterColumn colId="3" hiddenButton="1"/>
  </autoFilter>
  <tableColumns count="4">
    <tableColumn id="1" xr3:uid="{25D8CDF9-312F-4BF6-9A2B-E03BDB2ED249}" name="序号" dataDxfId="58">
      <calculatedColumnFormula>ROW()-16</calculatedColumnFormula>
    </tableColumn>
    <tableColumn id="3" xr3:uid="{1B85303B-D6FE-4D63-924D-91C41A846800}" name="输入中检容量数据的文件名" dataDxfId="57"/>
    <tableColumn id="4" xr3:uid="{C13E7A9E-3DF3-4E82-B468-F43ED5A39E8E}" name="输入中检DCR数据的文件名" dataDxfId="56"/>
    <tableColumn id="5" xr3:uid="{370912E5-AE2E-4686-9CCE-B86A2BA40008}" name="输出的测试报标题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535F00-3116-4273-855B-7337A8EB3A0C}" name="表3" displayName="表3" ref="B29:E38" totalsRowShown="0" headerRowDxfId="54">
  <autoFilter ref="B29:E38" xr:uid="{E2535F00-3116-4273-855B-7337A8EB3A0C}">
    <filterColumn colId="0" hiddenButton="1"/>
    <filterColumn colId="1" hiddenButton="1"/>
    <filterColumn colId="2" hiddenButton="1"/>
    <filterColumn colId="3" hiddenButton="1"/>
  </autoFilter>
  <tableColumns count="4">
    <tableColumn id="1" xr3:uid="{DA11B09D-7D5B-4ADB-B06D-7F041B5B044D}" name="序号" dataDxfId="53">
      <calculatedColumnFormula>ROW()-29</calculatedColumnFormula>
    </tableColumn>
    <tableColumn id="2" xr3:uid="{EC4EB455-E9EB-4A4B-970F-DCF70E5FED5A}" name="列2"/>
    <tableColumn id="3" xr3:uid="{9AFE352D-25AB-440A-8F5E-1E9C56BC7E70}" name="列3"/>
    <tableColumn id="4" xr3:uid="{5C0A9656-6E9B-415E-B686-BE724B868B17}" name="输出的测试报标题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90DC761-DBCE-4228-AC1A-5646FC79CA14}" name="工步信息1_2" displayName="工步信息1_2" ref="B14:F34" totalsRowShown="0">
  <autoFilter ref="B14:F34" xr:uid="{C90DC761-DBCE-4228-AC1A-5646FC79CA1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39A7FB9-8DDA-4622-A403-5330AA74A296}" name="序号" dataDxfId="52">
      <calculatedColumnFormula>ROW()-14</calculatedColumnFormula>
    </tableColumn>
    <tableColumn id="2" xr3:uid="{BD11E8AF-049D-4C30-B2C9-BE92A79A95F0}" name="工步"/>
    <tableColumn id="3" xr3:uid="{C450FF8E-7703-45A7-AD19-4B36FD6EF1BC}" name="具体步骤"/>
    <tableColumn id="8" xr3:uid="{C93F7A5E-FF23-4A6D-892E-20FFB30913AC}" name="时间保护"/>
    <tableColumn id="11" xr3:uid="{07B39313-57E4-4038-B42C-8C753B163DD3}" name="备注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0E93DB7-F1B9-4788-A209-26F373A5EA15}" name="工步信息1_1" displayName="工步信息1_1" ref="B4:D12" totalsRowShown="0">
  <autoFilter ref="B4:D12" xr:uid="{70E93DB7-F1B9-4788-A209-26F373A5EA15}"/>
  <tableColumns count="3">
    <tableColumn id="1" xr3:uid="{BB342F9E-0556-46CD-9428-A9DF41C95E40}" name="序号" dataDxfId="51">
      <calculatedColumnFormula>ROW()-4</calculatedColumnFormula>
    </tableColumn>
    <tableColumn id="2" xr3:uid="{CCF346CF-0AB8-4B51-BC3A-6485EB4C5ADB}" name="项目"/>
    <tableColumn id="3" xr3:uid="{8EFB3161-30B5-48BC-A984-2BC1188CECDE}" name="内容" dataDxfId="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6CAEEA6-3C63-4044-89CB-78F3CBF7E2E5}" name="工步信息2_2" displayName="工步信息2_2" ref="H14:L34" totalsRowShown="0">
  <autoFilter ref="H14:L34" xr:uid="{56CAEEA6-3C63-4044-89CB-78F3CBF7E2E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1A2552B-EB4D-49BA-981D-238C4D03EFFA}" name="序号" dataDxfId="49">
      <calculatedColumnFormula>ROW()-14</calculatedColumnFormula>
    </tableColumn>
    <tableColumn id="2" xr3:uid="{4E7762DE-F607-48CE-BA58-112166A07DEF}" name="工步"/>
    <tableColumn id="3" xr3:uid="{38E806D3-033E-44F4-BC64-BC3437E99239}" name="具体步骤"/>
    <tableColumn id="8" xr3:uid="{0CF3E009-2708-4C28-ABD3-572D5DDCFCCD}" name="时间保护"/>
    <tableColumn id="11" xr3:uid="{1267321A-9EA0-4774-AC66-F439AF87AE63}" name="备注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E067248-284E-414C-9BC1-FF90CB5D0001}" name="工步信息2_1" displayName="工步信息2_1" ref="H4:J12" totalsRowShown="0">
  <autoFilter ref="H4:J12" xr:uid="{0E067248-284E-414C-9BC1-FF90CB5D0001}">
    <filterColumn colId="0" hiddenButton="1"/>
    <filterColumn colId="1" hiddenButton="1"/>
    <filterColumn colId="2" hiddenButton="1"/>
  </autoFilter>
  <tableColumns count="3">
    <tableColumn id="1" xr3:uid="{1774DB79-679A-4049-8987-183D1340141E}" name="序号" dataDxfId="48">
      <calculatedColumnFormula>ROW()-4</calculatedColumnFormula>
    </tableColumn>
    <tableColumn id="2" xr3:uid="{EB4186D3-CBDA-45AB-B407-6521984E07A3}" name="项目"/>
    <tableColumn id="3" xr3:uid="{387A32F8-56BB-46B3-BA3D-AC0E7D50B0FE}" name="内容" dataDxfId="4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EA813BA-230B-4B09-8BB1-57E488C1685B}" name="工步信息3_2" displayName="工步信息3_2" ref="N14:R34" totalsRowShown="0">
  <autoFilter ref="N14:R34" xr:uid="{EEA813BA-230B-4B09-8BB1-57E488C1685B}"/>
  <tableColumns count="5">
    <tableColumn id="1" xr3:uid="{95D57F71-5389-4D35-A18F-313298A51879}" name="序号" dataDxfId="46">
      <calculatedColumnFormula>ROW()-14</calculatedColumnFormula>
    </tableColumn>
    <tableColumn id="2" xr3:uid="{47BEDA04-1B5D-40A4-A21C-8DAA392D3911}" name="工步"/>
    <tableColumn id="3" xr3:uid="{5F3D4C82-2810-4B44-BC9F-3AF504D81597}" name="具体步骤"/>
    <tableColumn id="8" xr3:uid="{B5D27F4F-5CFB-4D61-B82A-ABE13BBB33CB}" name="时间保护"/>
    <tableColumn id="11" xr3:uid="{886B0673-C74B-4DDE-97A9-885EB99F111A}" name="备注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1C2793-E57C-404C-AB7A-974BE2E6D459}" name="工步信息3_1" displayName="工步信息3_1" ref="N4:P12" totalsRowShown="0">
  <autoFilter ref="N4:P12" xr:uid="{291C2793-E57C-404C-AB7A-974BE2E6D459}">
    <filterColumn colId="0" hiddenButton="1"/>
    <filterColumn colId="1" hiddenButton="1"/>
    <filterColumn colId="2" hiddenButton="1"/>
  </autoFilter>
  <tableColumns count="3">
    <tableColumn id="1" xr3:uid="{2B4211B8-C1CE-4E38-8756-C9A2C83162CF}" name="序号" dataDxfId="45">
      <calculatedColumnFormula>ROW()-4</calculatedColumnFormula>
    </tableColumn>
    <tableColumn id="2" xr3:uid="{694675F9-4CF4-46C8-9382-9D64F8B062E0}" name="项目"/>
    <tableColumn id="3" xr3:uid="{7EC04741-C4CD-4EE6-B7DB-78246F31DCE9}" name="内容" dataDxfId="4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73B2801-2120-4C3C-B008-BA88A9F93696}" name="工步信息4_2" displayName="工步信息4_2" ref="B48:F68" totalsRowShown="0">
  <autoFilter ref="B48:F68" xr:uid="{373B2801-2120-4C3C-B008-BA88A9F9369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F0AD579-14FD-407E-8413-0E19EEFF611E}" name="序号" dataDxfId="43">
      <calculatedColumnFormula>ROW()-46</calculatedColumnFormula>
    </tableColumn>
    <tableColumn id="2" xr3:uid="{734B399A-143B-4FA2-B2A9-1C4811DB513F}" name="工步"/>
    <tableColumn id="3" xr3:uid="{87439318-33FD-4833-A15D-DE44FD9FC90F}" name="具体步骤"/>
    <tableColumn id="8" xr3:uid="{3949AC94-603C-49EF-8251-79ED80C53752}" name="时间保护"/>
    <tableColumn id="11" xr3:uid="{14368A63-92E5-4617-A1DC-6DEDA01EB449}" name="备注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963401-F5C7-4CD8-9BE5-4AB968988108}" name="工步信息4_1" displayName="工步信息4_1" ref="B38:D46" totalsRowShown="0">
  <autoFilter ref="B38:D46" xr:uid="{00963401-F5C7-4CD8-9BE5-4AB968988108}">
    <filterColumn colId="0" hiddenButton="1"/>
    <filterColumn colId="1" hiddenButton="1"/>
    <filterColumn colId="2" hiddenButton="1"/>
  </autoFilter>
  <tableColumns count="3">
    <tableColumn id="1" xr3:uid="{0B2D8FF6-C3EE-4DAD-AEC2-C99232FAFC89}" name="序号" dataDxfId="42">
      <calculatedColumnFormula>ROW()-38</calculatedColumnFormula>
    </tableColumn>
    <tableColumn id="2" xr3:uid="{F3BBE51F-B22C-4E99-9071-160C6FECD3B1}" name="项目"/>
    <tableColumn id="3" xr3:uid="{0B81AABF-FE2F-4665-8704-EC3148EDAA7A}" name="内容" dataDxfId="4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99E24A6-EEBF-42BF-800C-B1AA21CF8CBF}" name="工步信息5_2" displayName="工步信息5_2" ref="H48:L68" totalsRowShown="0">
  <autoFilter ref="H48:L68" xr:uid="{399E24A6-EEBF-42BF-800C-B1AA21CF8CBF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34D3FE8-A6CF-4CCC-809B-AE92C8E1DF76}" name="序号" dataDxfId="40">
      <calculatedColumnFormula>ROW()-46</calculatedColumnFormula>
    </tableColumn>
    <tableColumn id="2" xr3:uid="{97A30F8A-8984-416F-A211-4CADB18F1B4B}" name="工步"/>
    <tableColumn id="3" xr3:uid="{3D735512-DC20-4443-BD55-E788F01AD196}" name="具体步骤"/>
    <tableColumn id="8" xr3:uid="{40588ED8-4F56-4394-AF5C-BA4A7F42CE09}" name="时间保护"/>
    <tableColumn id="11" xr3:uid="{EE67A1FF-2B10-4497-A434-A05A2C2FAD11}" name="备注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6E916D9-8BA4-4D33-A117-AD7EEFB0B3C0}" name="工步信息5_1" displayName="工步信息5_1" ref="H38:J46" totalsRowShown="0">
  <autoFilter ref="H38:J46" xr:uid="{16E916D9-8BA4-4D33-A117-AD7EEFB0B3C0}">
    <filterColumn colId="0" hiddenButton="1"/>
    <filterColumn colId="1" hiddenButton="1"/>
    <filterColumn colId="2" hiddenButton="1"/>
  </autoFilter>
  <tableColumns count="3">
    <tableColumn id="1" xr3:uid="{3381BA70-F51B-4A88-867F-60EA571FCD79}" name="序号" dataDxfId="39">
      <calculatedColumnFormula>ROW()-38</calculatedColumnFormula>
    </tableColumn>
    <tableColumn id="2" xr3:uid="{6C96C378-3BC1-4284-97D2-B9039DEC995F}" name="项目"/>
    <tableColumn id="3" xr3:uid="{CA436C7B-98DD-4D06-9A91-7119E121E24D}" name="内容" dataDxfId="3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C0C92D7-FE71-4362-ABE6-D72C30FC6C6A}" name="工步信息6_2" displayName="工步信息6_2" ref="N48:R68" totalsRowShown="0">
  <autoFilter ref="N48:R68" xr:uid="{DC0C92D7-FE71-4362-ABE6-D72C30FC6C6A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BBE45DA-7F70-40A0-B429-BAFE4D2E4299}" name="序号" dataDxfId="37">
      <calculatedColumnFormula>ROW()-46</calculatedColumnFormula>
    </tableColumn>
    <tableColumn id="2" xr3:uid="{09C5F659-F833-48A6-9ED3-3AB4AAA21BFB}" name="工步"/>
    <tableColumn id="3" xr3:uid="{610F063D-613D-427F-98EC-5CEE520F07BD}" name="具体步骤"/>
    <tableColumn id="8" xr3:uid="{566F9965-8E3C-4E85-A95E-C0032946CEDE}" name="时间保护"/>
    <tableColumn id="11" xr3:uid="{4DEC81E1-8C0B-4457-A8ED-C7D634F4B830}" name="备注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9CC9F57-39CE-4B7B-8F3F-36DCA5DBECE1}" name="工步信息6_1" displayName="工步信息6_1" ref="N38:P46" totalsRowShown="0">
  <autoFilter ref="N38:P46" xr:uid="{F9CC9F57-39CE-4B7B-8F3F-36DCA5DBECE1}">
    <filterColumn colId="0" hiddenButton="1"/>
    <filterColumn colId="1" hiddenButton="1"/>
    <filterColumn colId="2" hiddenButton="1"/>
  </autoFilter>
  <tableColumns count="3">
    <tableColumn id="1" xr3:uid="{1B10D060-F6B5-4BFE-8DB4-6F2A3E4A4ABC}" name="序号" dataDxfId="36">
      <calculatedColumnFormula>ROW()-38</calculatedColumnFormula>
    </tableColumn>
    <tableColumn id="2" xr3:uid="{7467A599-6D2D-49CF-BDC7-56874E8D2427}" name="项目"/>
    <tableColumn id="3" xr3:uid="{B14B6972-664A-4170-B0CE-832E182B44A3}" name="内容" dataDxfId="3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4D33C4B-0920-4F67-AED5-BD5A8907310B}" name="颜色表" displayName="颜色表" ref="T3:U23" totalsRowShown="0" headerRowDxfId="34" dataDxfId="33">
  <autoFilter ref="T3:U23" xr:uid="{F4D33C4B-0920-4F67-AED5-BD5A8907310B}">
    <filterColumn colId="0" hiddenButton="1"/>
    <filterColumn colId="1" hiddenButton="1"/>
  </autoFilter>
  <tableColumns count="2">
    <tableColumn id="1" xr3:uid="{FCE32032-F66A-46FE-8426-72EED99773AE}" name="序号" dataDxfId="32"/>
    <tableColumn id="2" xr3:uid="{DC6C6984-ADBA-40E6-9121-2A82DEEE2ECB}" name="值" dataDxfId="31"/>
  </tableColumns>
  <tableStyleInfo name="TableStyleLight1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8" xr:uid="{FF655057-30A1-4A87-80F7-4CC9F7AB1E74}" name="电池名字" displayName="电池名字" ref="T26:U46" totalsRowShown="0" headerRowDxfId="30" dataDxfId="29">
  <autoFilter ref="T26:U46" xr:uid="{FF655057-30A1-4A87-80F7-4CC9F7AB1E74}">
    <filterColumn colId="0" hiddenButton="1"/>
    <filterColumn colId="1" hiddenButton="1"/>
  </autoFilter>
  <tableColumns count="2">
    <tableColumn id="1" xr3:uid="{3F1C5DDF-3FA5-4290-BC0B-888772648150}" name="序号" dataDxfId="28">
      <calculatedColumnFormula>ROW()-26</calculatedColumnFormula>
    </tableColumn>
    <tableColumn id="2" xr3:uid="{F2181088-3053-4429-A386-175A419E2C24}" name="名字" dataDxfId="27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5AA5FD8-4F98-47B0-B228-80C08AA0139A}" name="表1_1" displayName="表1_1" ref="B2:U12" totalsRowShown="0" headerRowDxfId="25" dataDxfId="24">
  <autoFilter ref="B2:U12" xr:uid="{55AA5FD8-4F98-47B0-B228-80C08AA0139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ED723D4C-58B2-445B-A062-69DAE537B966}" name="序号" dataDxfId="23">
      <calculatedColumnFormula>ROW()-2</calculatedColumnFormula>
    </tableColumn>
    <tableColumn id="10" xr3:uid="{3539C67F-2714-492C-8D93-017D3E316C06}" name="测试报告标题" dataDxfId="22">
      <calculatedColumnFormula>IF(功能首页!F4&lt;&gt;"",功能首页!F4,"")</calculatedColumnFormula>
    </tableColumn>
    <tableColumn id="2" xr3:uid="{8EA130D8-A920-4B4D-B53F-95B626D13431}" name="中检间隔圈数" dataDxfId="21"/>
    <tableColumn id="21" xr3:uid="{97B15FFC-4098-44D5-B9AB-3E68078C6D29}" name="显示工步号" dataDxfId="20"/>
    <tableColumn id="22" xr3:uid="{F94DA384-59F6-462E-8BF5-8AA6206F3771}" name="容量标定方式" dataDxfId="19"/>
    <tableColumn id="3" xr3:uid="{C6F04077-3EE2-48F2-9EEC-5E8B99F03528}" name="90%SOC搁置工步号" dataDxfId="18"/>
    <tableColumn id="4" xr3:uid="{53A48924-07E6-4C59-8986-BD8BF40754A0}" name="90%SOC放电工步号" dataDxfId="17"/>
    <tableColumn id="5" xr3:uid="{15327E90-6A54-469B-95B3-121E772F2FAB}" name="50%SOC搁置工步号" dataDxfId="16"/>
    <tableColumn id="6" xr3:uid="{12FA3EB1-38C6-4B60-B781-A82A1259A373}" name="50%SOC放电工步号" dataDxfId="15"/>
    <tableColumn id="7" xr3:uid="{17A7E1C0-D312-45E9-B105-DD1A89CD2055}" name="10%SOC搁置工步号" dataDxfId="14"/>
    <tableColumn id="8" xr3:uid="{276E1BD1-3020-4003-9FD3-A7E171B6A112}" name="10%SOC放电工步号" dataDxfId="13"/>
    <tableColumn id="9" xr3:uid="{71E74E4F-65C2-4489-BAD4-49035288810F}" name="放电时间" dataDxfId="12"/>
    <tableColumn id="12" xr3:uid="{5253B7E5-A6AC-49F1-B1CC-305AD4BC67E7}" name="工步模板序号" dataDxfId="11"/>
    <tableColumn id="13" xr3:uid="{EB6BA218-2E33-4716-9ED4-BF4B91D8B8F2}" name="是否存在大中检" dataDxfId="10"/>
    <tableColumn id="14" xr3:uid="{1A00FEA2-370E-4CAC-96F8-910BF73645CF}" name="大中检90%SOC搁置工步号" dataDxfId="9"/>
    <tableColumn id="15" xr3:uid="{D1102953-CB12-4838-B061-8A3908A6B2DB}" name="大中检90%SOC放电工步号" dataDxfId="8"/>
    <tableColumn id="16" xr3:uid="{803D6AF2-A129-4702-A235-105CB4966513}" name="大中检50%SOC搁置工步号" dataDxfId="7"/>
    <tableColumn id="17" xr3:uid="{B0E60C5F-6114-4A48-8469-DA63DAFB3FED}" name="大中检50%SOC放电工步号" dataDxfId="6"/>
    <tableColumn id="18" xr3:uid="{AD2484F9-D5D9-4C3E-BC06-C69988B46176}" name="大中检10%SOC搁置工步号" dataDxfId="5"/>
    <tableColumn id="19" xr3:uid="{21098239-0F5E-448E-9F83-366C73D4DF8E}" name="大中检10%SOC放电工步号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31D2DA-C221-48E9-8749-D8C4867C589A}" name="表2_1" displayName="表2_1" ref="B2:G12" totalsRowShown="0">
  <autoFilter ref="B2:G12" xr:uid="{1D31D2DA-C221-48E9-8749-D8C4867C589A}"/>
  <tableColumns count="6">
    <tableColumn id="1" xr3:uid="{E5C75583-B043-4914-95DC-83AA9B05872E}" name="序号" dataDxfId="3">
      <calculatedColumnFormula>ROW()-2</calculatedColumnFormula>
    </tableColumn>
    <tableColumn id="2" xr3:uid="{6F7747CD-71F2-4113-BE60-6CA40437D5AD}" name="测试报告标题" dataDxfId="2">
      <calculatedColumnFormula>IF(功能首页!E17&lt;&gt;"",功能首页!E17,"")</calculatedColumnFormula>
    </tableColumn>
    <tableColumn id="3" xr3:uid="{47167A4D-31BF-44CB-9342-59C9AB6EAB28}" name="中检间隔圈数"/>
    <tableColumn id="5" xr3:uid="{3983640A-E327-416D-9359-736CE913A72A}" name="放电时间" dataDxfId="1"/>
    <tableColumn id="6" xr3:uid="{0F51AE45-82B3-44F2-B6DE-288BD925B9F0}" name="实验单号" dataDxfId="0"/>
    <tableColumn id="4" xr3:uid="{4CCB28E6-732F-45A9-AFA9-380EEEA1AAA5}" name="工步模板行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9CC84-D43F-4B95-852E-6DE836B403B6}">
  <sheetPr codeName="Sheet1"/>
  <dimension ref="B1:J38"/>
  <sheetViews>
    <sheetView showGridLines="0" zoomScaleNormal="100" workbookViewId="0">
      <selection activeCell="C12" sqref="C12"/>
    </sheetView>
  </sheetViews>
  <sheetFormatPr defaultRowHeight="16.5" x14ac:dyDescent="0.35"/>
  <cols>
    <col min="1" max="1" width="2.125" customWidth="1"/>
    <col min="2" max="2" width="6.75" bestFit="1" customWidth="1"/>
    <col min="3" max="3" width="26.25" bestFit="1" customWidth="1"/>
    <col min="4" max="4" width="26.375" bestFit="1" customWidth="1"/>
    <col min="5" max="5" width="29.25" bestFit="1" customWidth="1"/>
    <col min="6" max="6" width="26.75" bestFit="1" customWidth="1"/>
    <col min="7" max="7" width="2.625" customWidth="1"/>
    <col min="8" max="8" width="7" customWidth="1"/>
    <col min="9" max="9" width="2.375" bestFit="1" customWidth="1"/>
    <col min="10" max="10" width="6.5" bestFit="1" customWidth="1"/>
  </cols>
  <sheetData>
    <row r="1" spans="2:10" x14ac:dyDescent="0.35">
      <c r="B1" t="s">
        <v>109</v>
      </c>
      <c r="D1" s="20" t="s">
        <v>97</v>
      </c>
      <c r="E1" t="s">
        <v>98</v>
      </c>
    </row>
    <row r="2" spans="2:10" ht="18" x14ac:dyDescent="0.35">
      <c r="B2" s="22" t="s">
        <v>16</v>
      </c>
      <c r="C2" s="23"/>
      <c r="D2" s="23"/>
      <c r="E2" s="23"/>
      <c r="F2" s="23"/>
    </row>
    <row r="3" spans="2:10" x14ac:dyDescent="0.35">
      <c r="B3" s="1" t="s">
        <v>0</v>
      </c>
      <c r="C3" s="1" t="s">
        <v>21</v>
      </c>
      <c r="D3" s="1" t="s">
        <v>20</v>
      </c>
      <c r="E3" s="1" t="s">
        <v>19</v>
      </c>
      <c r="F3" s="1" t="s">
        <v>84</v>
      </c>
      <c r="G3" s="1"/>
      <c r="H3" s="1" t="s">
        <v>1</v>
      </c>
      <c r="I3" s="3">
        <v>1</v>
      </c>
      <c r="J3" s="1" t="s">
        <v>2</v>
      </c>
    </row>
    <row r="4" spans="2:10" x14ac:dyDescent="0.35">
      <c r="B4" s="1">
        <f>ROW()-3</f>
        <v>1</v>
      </c>
      <c r="C4" s="2" t="s">
        <v>106</v>
      </c>
      <c r="D4" s="2" t="s">
        <v>107</v>
      </c>
      <c r="E4" s="2" t="s">
        <v>108</v>
      </c>
      <c r="F4" s="2" t="s">
        <v>13</v>
      </c>
      <c r="G4" s="1"/>
      <c r="H4" s="1"/>
      <c r="I4" s="1"/>
      <c r="J4" s="1"/>
    </row>
    <row r="5" spans="2:10" x14ac:dyDescent="0.35">
      <c r="B5" s="1">
        <f>ROW()-3</f>
        <v>2</v>
      </c>
      <c r="C5" s="2"/>
      <c r="D5" s="2"/>
      <c r="E5" s="2"/>
      <c r="F5" s="2"/>
      <c r="G5" s="1"/>
      <c r="H5" s="1"/>
      <c r="I5" s="1"/>
      <c r="J5" s="1"/>
    </row>
    <row r="6" spans="2:10" x14ac:dyDescent="0.35">
      <c r="B6" s="1">
        <f>ROW()-3</f>
        <v>3</v>
      </c>
      <c r="C6" s="2"/>
      <c r="D6" s="2"/>
      <c r="E6" s="2"/>
      <c r="F6" s="2"/>
      <c r="G6" s="1"/>
      <c r="H6" s="1"/>
      <c r="I6" s="1"/>
      <c r="J6" s="1"/>
    </row>
    <row r="7" spans="2:10" x14ac:dyDescent="0.35">
      <c r="B7" s="1">
        <f>ROW()-3</f>
        <v>4</v>
      </c>
      <c r="C7" s="2"/>
      <c r="D7" s="2"/>
      <c r="E7" s="2"/>
      <c r="F7" s="2"/>
      <c r="G7" s="1"/>
      <c r="H7" s="1"/>
      <c r="I7" s="1"/>
      <c r="J7" s="1"/>
    </row>
    <row r="8" spans="2:10" x14ac:dyDescent="0.35">
      <c r="B8" s="1">
        <f t="shared" ref="B8:B13" si="0">ROW()-3</f>
        <v>5</v>
      </c>
      <c r="C8" s="2"/>
      <c r="D8" s="2"/>
      <c r="E8" s="2"/>
      <c r="F8" s="2"/>
      <c r="G8" s="1"/>
      <c r="H8" s="1"/>
      <c r="I8" s="1"/>
      <c r="J8" s="1"/>
    </row>
    <row r="9" spans="2:10" x14ac:dyDescent="0.35">
      <c r="B9" s="1">
        <f t="shared" si="0"/>
        <v>6</v>
      </c>
      <c r="C9" s="2"/>
      <c r="D9" s="2"/>
      <c r="E9" s="2"/>
      <c r="F9" s="2"/>
      <c r="G9" s="1"/>
      <c r="H9" s="1"/>
      <c r="I9" s="1"/>
      <c r="J9" s="1"/>
    </row>
    <row r="10" spans="2:10" x14ac:dyDescent="0.35">
      <c r="B10" s="1">
        <f t="shared" si="0"/>
        <v>7</v>
      </c>
      <c r="C10" s="2"/>
      <c r="D10" s="2"/>
      <c r="E10" s="2"/>
      <c r="F10" s="2"/>
      <c r="G10" s="1"/>
      <c r="H10" s="1"/>
      <c r="I10" s="1"/>
      <c r="J10" s="1"/>
    </row>
    <row r="11" spans="2:10" x14ac:dyDescent="0.35">
      <c r="B11" s="1">
        <f t="shared" si="0"/>
        <v>8</v>
      </c>
      <c r="C11" s="2"/>
      <c r="D11" s="2"/>
      <c r="E11" s="2"/>
      <c r="F11" s="2"/>
      <c r="G11" s="1"/>
      <c r="H11" s="1"/>
      <c r="I11" s="1"/>
      <c r="J11" s="1"/>
    </row>
    <row r="12" spans="2:10" x14ac:dyDescent="0.35">
      <c r="B12" s="1">
        <f t="shared" si="0"/>
        <v>9</v>
      </c>
      <c r="C12" s="2"/>
      <c r="D12" s="2"/>
      <c r="E12" s="2"/>
      <c r="F12" s="2"/>
      <c r="G12" s="1"/>
      <c r="H12" s="1"/>
      <c r="I12" s="1"/>
      <c r="J12" s="1"/>
    </row>
    <row r="13" spans="2:10" x14ac:dyDescent="0.35">
      <c r="B13" s="1">
        <f t="shared" si="0"/>
        <v>10</v>
      </c>
      <c r="C13" s="2"/>
      <c r="D13" s="2"/>
      <c r="E13" s="2"/>
      <c r="F13" s="2"/>
      <c r="G13" s="1"/>
      <c r="H13" s="1"/>
      <c r="I13" s="1"/>
      <c r="J13" s="1"/>
    </row>
    <row r="15" spans="2:10" ht="18" x14ac:dyDescent="0.35">
      <c r="B15" s="24" t="s">
        <v>17</v>
      </c>
      <c r="C15" s="25"/>
      <c r="D15" s="25"/>
      <c r="E15" s="25"/>
      <c r="H15" s="1" t="s">
        <v>1</v>
      </c>
      <c r="I15" s="3">
        <v>1</v>
      </c>
      <c r="J15" s="1" t="s">
        <v>2</v>
      </c>
    </row>
    <row r="16" spans="2:10" x14ac:dyDescent="0.35">
      <c r="B16" s="1" t="s">
        <v>0</v>
      </c>
      <c r="C16" s="1" t="s">
        <v>20</v>
      </c>
      <c r="D16" s="1" t="s">
        <v>19</v>
      </c>
      <c r="E16" s="1" t="s">
        <v>3</v>
      </c>
    </row>
    <row r="17" spans="2:5" x14ac:dyDescent="0.35">
      <c r="B17" s="1">
        <f t="shared" ref="B17:B26" si="1">ROW()-16</f>
        <v>1</v>
      </c>
      <c r="C17" s="2" t="s">
        <v>25</v>
      </c>
      <c r="D17" s="2" t="s">
        <v>18</v>
      </c>
      <c r="E17" s="2" t="s">
        <v>31</v>
      </c>
    </row>
    <row r="18" spans="2:5" x14ac:dyDescent="0.35">
      <c r="B18" s="1">
        <f t="shared" si="1"/>
        <v>2</v>
      </c>
      <c r="C18" s="2"/>
      <c r="D18" s="2"/>
      <c r="E18" s="2"/>
    </row>
    <row r="19" spans="2:5" x14ac:dyDescent="0.35">
      <c r="B19" s="1">
        <f t="shared" si="1"/>
        <v>3</v>
      </c>
      <c r="C19" s="2"/>
      <c r="D19" s="2"/>
      <c r="E19" s="2"/>
    </row>
    <row r="20" spans="2:5" x14ac:dyDescent="0.35">
      <c r="B20" s="1">
        <f t="shared" si="1"/>
        <v>4</v>
      </c>
      <c r="C20" s="2"/>
      <c r="D20" s="2"/>
      <c r="E20" s="2"/>
    </row>
    <row r="21" spans="2:5" x14ac:dyDescent="0.35">
      <c r="B21" s="1">
        <f t="shared" si="1"/>
        <v>5</v>
      </c>
      <c r="C21" s="2"/>
      <c r="D21" s="2"/>
      <c r="E21" s="2"/>
    </row>
    <row r="22" spans="2:5" x14ac:dyDescent="0.35">
      <c r="B22" s="1">
        <f t="shared" si="1"/>
        <v>6</v>
      </c>
      <c r="C22" s="2"/>
      <c r="D22" s="2"/>
      <c r="E22" s="2"/>
    </row>
    <row r="23" spans="2:5" x14ac:dyDescent="0.35">
      <c r="B23" s="1">
        <f t="shared" si="1"/>
        <v>7</v>
      </c>
      <c r="C23" s="2"/>
      <c r="D23" s="2"/>
      <c r="E23" s="2"/>
    </row>
    <row r="24" spans="2:5" x14ac:dyDescent="0.35">
      <c r="B24" s="1">
        <f t="shared" si="1"/>
        <v>8</v>
      </c>
      <c r="C24" s="2"/>
      <c r="D24" s="2"/>
      <c r="E24" s="2"/>
    </row>
    <row r="25" spans="2:5" x14ac:dyDescent="0.35">
      <c r="B25" s="1">
        <f t="shared" si="1"/>
        <v>9</v>
      </c>
      <c r="C25" s="2"/>
      <c r="D25" s="2"/>
      <c r="E25" s="2"/>
    </row>
    <row r="26" spans="2:5" x14ac:dyDescent="0.35">
      <c r="B26" s="1">
        <f t="shared" si="1"/>
        <v>10</v>
      </c>
      <c r="C26" s="2"/>
      <c r="D26" s="2"/>
      <c r="E26" s="2"/>
    </row>
    <row r="28" spans="2:5" ht="18" x14ac:dyDescent="0.35">
      <c r="B28" s="24" t="s">
        <v>37</v>
      </c>
      <c r="C28" s="25"/>
      <c r="D28" s="25"/>
      <c r="E28" s="25"/>
    </row>
    <row r="29" spans="2:5" x14ac:dyDescent="0.35">
      <c r="B29" s="1" t="s">
        <v>35</v>
      </c>
      <c r="C29" s="1" t="s">
        <v>33</v>
      </c>
      <c r="D29" s="1" t="s">
        <v>34</v>
      </c>
      <c r="E29" s="1" t="s">
        <v>36</v>
      </c>
    </row>
    <row r="30" spans="2:5" x14ac:dyDescent="0.35">
      <c r="B30" s="1">
        <f t="shared" ref="B30:B38" si="2">ROW()-29</f>
        <v>1</v>
      </c>
    </row>
    <row r="31" spans="2:5" x14ac:dyDescent="0.35">
      <c r="B31" s="1">
        <f t="shared" si="2"/>
        <v>2</v>
      </c>
    </row>
    <row r="32" spans="2:5" x14ac:dyDescent="0.35">
      <c r="B32" s="1">
        <f t="shared" si="2"/>
        <v>3</v>
      </c>
    </row>
    <row r="33" spans="2:2" x14ac:dyDescent="0.35">
      <c r="B33" s="1">
        <f t="shared" si="2"/>
        <v>4</v>
      </c>
    </row>
    <row r="34" spans="2:2" x14ac:dyDescent="0.35">
      <c r="B34" s="1">
        <f t="shared" si="2"/>
        <v>5</v>
      </c>
    </row>
    <row r="35" spans="2:2" x14ac:dyDescent="0.35">
      <c r="B35" s="1">
        <f t="shared" si="2"/>
        <v>6</v>
      </c>
    </row>
    <row r="36" spans="2:2" x14ac:dyDescent="0.35">
      <c r="B36" s="1">
        <f t="shared" si="2"/>
        <v>7</v>
      </c>
    </row>
    <row r="37" spans="2:2" x14ac:dyDescent="0.35">
      <c r="B37" s="1">
        <f t="shared" si="2"/>
        <v>8</v>
      </c>
    </row>
    <row r="38" spans="2:2" x14ac:dyDescent="0.35">
      <c r="B38" s="1">
        <f t="shared" si="2"/>
        <v>9</v>
      </c>
    </row>
  </sheetData>
  <dataConsolidate/>
  <mergeCells count="3">
    <mergeCell ref="B2:F2"/>
    <mergeCell ref="B15:E15"/>
    <mergeCell ref="B28:E28"/>
  </mergeCells>
  <phoneticPr fontId="2" type="noConversion"/>
  <dataValidations count="1">
    <dataValidation type="whole" operator="greaterThan" allowBlank="1" showInputMessage="1" showErrorMessage="1" sqref="I3 I15" xr:uid="{9740B056-AA6C-4AEC-A5D0-BC2916E1473E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ExportReport">
                <anchor moveWithCells="1" sizeWithCells="1">
                  <from>
                    <xdr:col>10</xdr:col>
                    <xdr:colOff>142875</xdr:colOff>
                    <xdr:row>2</xdr:row>
                    <xdr:rowOff>19050</xdr:rowOff>
                  </from>
                  <to>
                    <xdr:col>11</xdr:col>
                    <xdr:colOff>257175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47D53-931E-4712-97EC-137D3A29804C}">
  <sheetPr codeName="Sheet8"/>
  <dimension ref="B2:U68"/>
  <sheetViews>
    <sheetView showGridLines="0" zoomScale="85" zoomScaleNormal="85" workbookViewId="0">
      <selection activeCell="I15" sqref="I15:L24"/>
    </sheetView>
  </sheetViews>
  <sheetFormatPr defaultRowHeight="16.5" x14ac:dyDescent="0.35"/>
  <cols>
    <col min="1" max="1" width="1.75" customWidth="1"/>
    <col min="2" max="2" width="6.75" bestFit="1" customWidth="1"/>
    <col min="3" max="3" width="9.25" bestFit="1" customWidth="1"/>
    <col min="4" max="4" width="26.375" bestFit="1" customWidth="1"/>
    <col min="5" max="5" width="10.25" bestFit="1" customWidth="1"/>
    <col min="6" max="6" width="10.5" bestFit="1" customWidth="1"/>
    <col min="7" max="7" width="1.75" customWidth="1"/>
    <col min="8" max="8" width="6.75" bestFit="1" customWidth="1"/>
    <col min="9" max="9" width="9.25" bestFit="1" customWidth="1"/>
    <col min="10" max="10" width="26.375" bestFit="1" customWidth="1"/>
    <col min="11" max="11" width="10.25" bestFit="1" customWidth="1"/>
    <col min="12" max="12" width="10.5" bestFit="1" customWidth="1"/>
    <col min="13" max="13" width="1.75" customWidth="1"/>
    <col min="14" max="14" width="6.75" bestFit="1" customWidth="1"/>
    <col min="15" max="15" width="9.25" bestFit="1" customWidth="1"/>
    <col min="16" max="16" width="26.375" bestFit="1" customWidth="1"/>
    <col min="17" max="17" width="10.25" bestFit="1" customWidth="1"/>
    <col min="18" max="18" width="10.5" bestFit="1" customWidth="1"/>
    <col min="19" max="19" width="2.25" customWidth="1"/>
  </cols>
  <sheetData>
    <row r="2" spans="2:21" x14ac:dyDescent="0.35">
      <c r="B2" s="28" t="s">
        <v>78</v>
      </c>
      <c r="C2" s="29"/>
      <c r="D2" s="29"/>
      <c r="E2" s="29"/>
      <c r="F2" s="30"/>
      <c r="H2" s="28" t="s">
        <v>79</v>
      </c>
      <c r="I2" s="29"/>
      <c r="J2" s="29"/>
      <c r="K2" s="29"/>
      <c r="L2" s="30"/>
      <c r="N2" s="28" t="s">
        <v>80</v>
      </c>
      <c r="O2" s="29"/>
      <c r="P2" s="29"/>
      <c r="Q2" s="29"/>
      <c r="R2" s="30"/>
      <c r="T2" s="26" t="s">
        <v>89</v>
      </c>
      <c r="U2" s="27"/>
    </row>
    <row r="3" spans="2:21" x14ac:dyDescent="0.35">
      <c r="T3" s="7" t="s">
        <v>0</v>
      </c>
      <c r="U3" s="7" t="s">
        <v>88</v>
      </c>
    </row>
    <row r="4" spans="2:21" x14ac:dyDescent="0.35">
      <c r="B4" t="s">
        <v>0</v>
      </c>
      <c r="C4" t="s">
        <v>47</v>
      </c>
      <c r="D4" t="s">
        <v>48</v>
      </c>
      <c r="H4" t="s">
        <v>0</v>
      </c>
      <c r="I4" t="s">
        <v>47</v>
      </c>
      <c r="J4" t="s">
        <v>48</v>
      </c>
      <c r="N4" t="s">
        <v>0</v>
      </c>
      <c r="O4" t="s">
        <v>47</v>
      </c>
      <c r="P4" t="s">
        <v>48</v>
      </c>
      <c r="T4" s="1">
        <v>1</v>
      </c>
      <c r="U4" s="11"/>
    </row>
    <row r="5" spans="2:21" x14ac:dyDescent="0.35">
      <c r="B5" s="1">
        <f t="shared" ref="B5:B11" si="0">ROW()-4</f>
        <v>1</v>
      </c>
      <c r="C5" t="s">
        <v>49</v>
      </c>
      <c r="D5" s="5">
        <v>3</v>
      </c>
      <c r="H5" s="1">
        <f t="shared" ref="H5:H11" si="1">ROW()-4</f>
        <v>1</v>
      </c>
      <c r="I5" t="s">
        <v>49</v>
      </c>
      <c r="J5" s="5">
        <v>3</v>
      </c>
      <c r="N5" s="1">
        <f t="shared" ref="N5:N11" si="2">ROW()-4</f>
        <v>1</v>
      </c>
      <c r="O5" t="s">
        <v>49</v>
      </c>
      <c r="P5" s="5">
        <v>3</v>
      </c>
      <c r="T5" s="1">
        <v>2</v>
      </c>
      <c r="U5" s="12"/>
    </row>
    <row r="6" spans="2:21" x14ac:dyDescent="0.35">
      <c r="B6" s="1">
        <f t="shared" si="0"/>
        <v>2</v>
      </c>
      <c r="C6" t="s">
        <v>50</v>
      </c>
      <c r="D6" s="5" t="s">
        <v>54</v>
      </c>
      <c r="H6" s="1">
        <f t="shared" si="1"/>
        <v>2</v>
      </c>
      <c r="I6" t="s">
        <v>50</v>
      </c>
      <c r="J6" s="5" t="s">
        <v>54</v>
      </c>
      <c r="N6" s="1">
        <f t="shared" si="2"/>
        <v>2</v>
      </c>
      <c r="O6" t="s">
        <v>50</v>
      </c>
      <c r="P6" s="5" t="s">
        <v>54</v>
      </c>
      <c r="T6" s="1">
        <v>3</v>
      </c>
      <c r="U6" s="13"/>
    </row>
    <row r="7" spans="2:21" x14ac:dyDescent="0.35">
      <c r="B7" s="1">
        <f t="shared" si="0"/>
        <v>3</v>
      </c>
      <c r="C7" t="s">
        <v>51</v>
      </c>
      <c r="D7" s="5" t="s">
        <v>55</v>
      </c>
      <c r="H7" s="1">
        <f t="shared" si="1"/>
        <v>3</v>
      </c>
      <c r="I7" t="s">
        <v>51</v>
      </c>
      <c r="J7" s="5" t="s">
        <v>55</v>
      </c>
      <c r="N7" s="1">
        <f t="shared" si="2"/>
        <v>3</v>
      </c>
      <c r="O7" t="s">
        <v>51</v>
      </c>
      <c r="P7" s="5" t="s">
        <v>55</v>
      </c>
      <c r="T7" s="1">
        <v>4</v>
      </c>
      <c r="U7" s="14"/>
    </row>
    <row r="8" spans="2:21" x14ac:dyDescent="0.35">
      <c r="B8" s="1">
        <f t="shared" si="0"/>
        <v>4</v>
      </c>
      <c r="C8" t="s">
        <v>52</v>
      </c>
      <c r="D8" s="5" t="s">
        <v>56</v>
      </c>
      <c r="H8" s="1">
        <f t="shared" si="1"/>
        <v>4</v>
      </c>
      <c r="I8" t="s">
        <v>52</v>
      </c>
      <c r="J8" s="5" t="s">
        <v>56</v>
      </c>
      <c r="N8" s="1">
        <f t="shared" si="2"/>
        <v>4</v>
      </c>
      <c r="O8" t="s">
        <v>52</v>
      </c>
      <c r="P8" s="5" t="s">
        <v>56</v>
      </c>
      <c r="T8" s="1">
        <v>5</v>
      </c>
      <c r="U8" s="15"/>
    </row>
    <row r="9" spans="2:21" x14ac:dyDescent="0.35">
      <c r="B9" s="1">
        <f t="shared" si="0"/>
        <v>5</v>
      </c>
      <c r="C9" t="s">
        <v>14</v>
      </c>
      <c r="D9" s="5" t="s">
        <v>57</v>
      </c>
      <c r="H9" s="1">
        <f t="shared" si="1"/>
        <v>5</v>
      </c>
      <c r="I9" t="s">
        <v>14</v>
      </c>
      <c r="J9" s="5" t="s">
        <v>100</v>
      </c>
      <c r="N9" s="1">
        <f t="shared" si="2"/>
        <v>5</v>
      </c>
      <c r="O9" t="s">
        <v>14</v>
      </c>
      <c r="P9" s="5" t="s">
        <v>57</v>
      </c>
      <c r="T9" s="1">
        <v>6</v>
      </c>
      <c r="U9" s="7"/>
    </row>
    <row r="10" spans="2:21" x14ac:dyDescent="0.35">
      <c r="B10" s="1">
        <f t="shared" si="0"/>
        <v>6</v>
      </c>
      <c r="C10" t="s">
        <v>53</v>
      </c>
      <c r="D10" s="5" t="s">
        <v>58</v>
      </c>
      <c r="H10" s="1">
        <f t="shared" si="1"/>
        <v>6</v>
      </c>
      <c r="I10" t="s">
        <v>53</v>
      </c>
      <c r="J10" s="5" t="s">
        <v>58</v>
      </c>
      <c r="N10" s="1">
        <f t="shared" si="2"/>
        <v>6</v>
      </c>
      <c r="O10" t="s">
        <v>53</v>
      </c>
      <c r="P10" s="5" t="s">
        <v>58</v>
      </c>
      <c r="T10" s="1">
        <v>7</v>
      </c>
      <c r="U10" s="10"/>
    </row>
    <row r="11" spans="2:21" x14ac:dyDescent="0.35">
      <c r="B11" s="1">
        <f t="shared" si="0"/>
        <v>7</v>
      </c>
      <c r="C11" t="s">
        <v>60</v>
      </c>
      <c r="D11" s="5" t="s">
        <v>59</v>
      </c>
      <c r="H11" s="1">
        <f t="shared" si="1"/>
        <v>7</v>
      </c>
      <c r="I11" t="s">
        <v>60</v>
      </c>
      <c r="J11" s="5" t="s">
        <v>59</v>
      </c>
      <c r="N11" s="1">
        <f t="shared" si="2"/>
        <v>7</v>
      </c>
      <c r="O11" t="s">
        <v>60</v>
      </c>
      <c r="P11" s="5" t="s">
        <v>59</v>
      </c>
      <c r="T11" s="1">
        <v>8</v>
      </c>
      <c r="U11" s="16"/>
    </row>
    <row r="12" spans="2:21" ht="33" x14ac:dyDescent="0.35">
      <c r="B12" s="1">
        <f>ROW()-4</f>
        <v>8</v>
      </c>
      <c r="C12" t="s">
        <v>87</v>
      </c>
      <c r="D12" s="6" t="s">
        <v>86</v>
      </c>
      <c r="H12" s="1">
        <f>ROW()-4</f>
        <v>8</v>
      </c>
      <c r="I12" t="s">
        <v>87</v>
      </c>
      <c r="J12" s="6" t="s">
        <v>101</v>
      </c>
      <c r="N12" s="1">
        <f>ROW()-4</f>
        <v>8</v>
      </c>
      <c r="O12" t="s">
        <v>87</v>
      </c>
      <c r="P12" s="6" t="s">
        <v>86</v>
      </c>
      <c r="T12" s="1">
        <v>9</v>
      </c>
      <c r="U12" s="17"/>
    </row>
    <row r="13" spans="2:21" x14ac:dyDescent="0.35">
      <c r="T13" s="1">
        <v>10</v>
      </c>
      <c r="U13" s="18"/>
    </row>
    <row r="14" spans="2:21" x14ac:dyDescent="0.35">
      <c r="B14" t="s">
        <v>26</v>
      </c>
      <c r="C14" t="s">
        <v>27</v>
      </c>
      <c r="D14" t="s">
        <v>28</v>
      </c>
      <c r="E14" t="s">
        <v>29</v>
      </c>
      <c r="F14" t="s">
        <v>30</v>
      </c>
      <c r="H14" t="s">
        <v>26</v>
      </c>
      <c r="I14" t="s">
        <v>27</v>
      </c>
      <c r="J14" t="s">
        <v>28</v>
      </c>
      <c r="K14" t="s">
        <v>29</v>
      </c>
      <c r="L14" t="s">
        <v>30</v>
      </c>
      <c r="N14" t="s">
        <v>26</v>
      </c>
      <c r="O14" t="s">
        <v>27</v>
      </c>
      <c r="P14" t="s">
        <v>28</v>
      </c>
      <c r="Q14" t="s">
        <v>29</v>
      </c>
      <c r="R14" t="s">
        <v>30</v>
      </c>
      <c r="T14" s="1">
        <v>11</v>
      </c>
      <c r="U14" s="19"/>
    </row>
    <row r="15" spans="2:21" x14ac:dyDescent="0.35">
      <c r="B15" s="1">
        <f t="shared" ref="B15:B34" si="3">ROW()-14</f>
        <v>1</v>
      </c>
      <c r="C15" t="s">
        <v>61</v>
      </c>
      <c r="H15" s="1">
        <f t="shared" ref="H15:H34" si="4">ROW()-14</f>
        <v>1</v>
      </c>
      <c r="I15" t="s">
        <v>61</v>
      </c>
      <c r="N15" s="1">
        <f t="shared" ref="N15:N34" si="5">ROW()-14</f>
        <v>1</v>
      </c>
      <c r="O15" t="s">
        <v>61</v>
      </c>
      <c r="T15" s="1">
        <v>12</v>
      </c>
      <c r="U15" s="19"/>
    </row>
    <row r="16" spans="2:21" x14ac:dyDescent="0.35">
      <c r="B16" s="1">
        <f t="shared" si="3"/>
        <v>2</v>
      </c>
      <c r="C16" t="s">
        <v>62</v>
      </c>
      <c r="D16" t="s">
        <v>67</v>
      </c>
      <c r="E16" t="s">
        <v>74</v>
      </c>
      <c r="H16" s="1">
        <f t="shared" si="4"/>
        <v>2</v>
      </c>
      <c r="I16" t="s">
        <v>62</v>
      </c>
      <c r="J16" t="s">
        <v>67</v>
      </c>
      <c r="K16" t="s">
        <v>74</v>
      </c>
      <c r="N16" s="1">
        <f t="shared" si="5"/>
        <v>2</v>
      </c>
      <c r="O16" t="s">
        <v>62</v>
      </c>
      <c r="P16" t="s">
        <v>67</v>
      </c>
      <c r="Q16" t="s">
        <v>74</v>
      </c>
      <c r="T16" s="1">
        <v>13</v>
      </c>
      <c r="U16" s="19"/>
    </row>
    <row r="17" spans="2:21" x14ac:dyDescent="0.35">
      <c r="B17" s="1">
        <f t="shared" si="3"/>
        <v>3</v>
      </c>
      <c r="C17" t="s">
        <v>63</v>
      </c>
      <c r="D17" t="s">
        <v>68</v>
      </c>
      <c r="H17" s="1">
        <f t="shared" si="4"/>
        <v>3</v>
      </c>
      <c r="I17" t="s">
        <v>63</v>
      </c>
      <c r="J17" t="s">
        <v>102</v>
      </c>
      <c r="N17" s="1">
        <f t="shared" si="5"/>
        <v>3</v>
      </c>
      <c r="O17" t="s">
        <v>63</v>
      </c>
      <c r="P17" t="s">
        <v>68</v>
      </c>
      <c r="T17" s="1">
        <v>14</v>
      </c>
      <c r="U17" s="19"/>
    </row>
    <row r="18" spans="2:21" x14ac:dyDescent="0.35">
      <c r="B18" s="1">
        <f t="shared" si="3"/>
        <v>4</v>
      </c>
      <c r="C18" t="s">
        <v>64</v>
      </c>
      <c r="D18" t="s">
        <v>69</v>
      </c>
      <c r="E18" t="s">
        <v>75</v>
      </c>
      <c r="H18" s="1">
        <f t="shared" si="4"/>
        <v>4</v>
      </c>
      <c r="I18" t="s">
        <v>64</v>
      </c>
      <c r="J18" t="s">
        <v>69</v>
      </c>
      <c r="K18" t="s">
        <v>75</v>
      </c>
      <c r="N18" s="1">
        <f t="shared" si="5"/>
        <v>4</v>
      </c>
      <c r="O18" t="s">
        <v>64</v>
      </c>
      <c r="P18" t="s">
        <v>69</v>
      </c>
      <c r="Q18" t="s">
        <v>75</v>
      </c>
      <c r="T18" s="1">
        <v>15</v>
      </c>
      <c r="U18" s="19"/>
    </row>
    <row r="19" spans="2:21" x14ac:dyDescent="0.35">
      <c r="B19" s="1">
        <f t="shared" si="3"/>
        <v>5</v>
      </c>
      <c r="C19" t="s">
        <v>63</v>
      </c>
      <c r="D19" t="s">
        <v>68</v>
      </c>
      <c r="H19" s="1">
        <f t="shared" si="4"/>
        <v>5</v>
      </c>
      <c r="I19" t="s">
        <v>63</v>
      </c>
      <c r="J19" t="s">
        <v>102</v>
      </c>
      <c r="N19" s="1">
        <f t="shared" si="5"/>
        <v>5</v>
      </c>
      <c r="O19" t="s">
        <v>63</v>
      </c>
      <c r="P19" t="s">
        <v>68</v>
      </c>
      <c r="T19" s="1">
        <v>16</v>
      </c>
      <c r="U19" s="19"/>
    </row>
    <row r="20" spans="2:21" x14ac:dyDescent="0.35">
      <c r="B20" s="1">
        <f t="shared" si="3"/>
        <v>6</v>
      </c>
      <c r="C20" t="s">
        <v>62</v>
      </c>
      <c r="D20" t="s">
        <v>70</v>
      </c>
      <c r="E20" t="s">
        <v>74</v>
      </c>
      <c r="H20" s="1">
        <f t="shared" si="4"/>
        <v>6</v>
      </c>
      <c r="I20" t="s">
        <v>62</v>
      </c>
      <c r="J20" t="s">
        <v>70</v>
      </c>
      <c r="K20" t="s">
        <v>74</v>
      </c>
      <c r="N20" s="1">
        <f t="shared" si="5"/>
        <v>6</v>
      </c>
      <c r="O20" t="s">
        <v>62</v>
      </c>
      <c r="P20" t="s">
        <v>70</v>
      </c>
      <c r="Q20" t="s">
        <v>74</v>
      </c>
      <c r="T20" s="1">
        <v>17</v>
      </c>
      <c r="U20" s="19"/>
    </row>
    <row r="21" spans="2:21" x14ac:dyDescent="0.35">
      <c r="B21" s="1">
        <f t="shared" si="3"/>
        <v>7</v>
      </c>
      <c r="C21" t="s">
        <v>63</v>
      </c>
      <c r="D21" t="s">
        <v>68</v>
      </c>
      <c r="H21" s="1">
        <f t="shared" si="4"/>
        <v>7</v>
      </c>
      <c r="I21" t="s">
        <v>63</v>
      </c>
      <c r="J21" t="s">
        <v>102</v>
      </c>
      <c r="N21" s="1">
        <f t="shared" si="5"/>
        <v>7</v>
      </c>
      <c r="O21" t="s">
        <v>63</v>
      </c>
      <c r="P21" t="s">
        <v>68</v>
      </c>
      <c r="T21" s="1">
        <v>18</v>
      </c>
      <c r="U21" s="19"/>
    </row>
    <row r="22" spans="2:21" x14ac:dyDescent="0.35">
      <c r="B22" s="1">
        <f t="shared" si="3"/>
        <v>8</v>
      </c>
      <c r="C22" t="s">
        <v>65</v>
      </c>
      <c r="D22" t="s">
        <v>71</v>
      </c>
      <c r="F22" t="s">
        <v>76</v>
      </c>
      <c r="H22" s="1">
        <f t="shared" si="4"/>
        <v>8</v>
      </c>
      <c r="I22" t="s">
        <v>65</v>
      </c>
      <c r="J22" t="s">
        <v>103</v>
      </c>
      <c r="L22" t="s">
        <v>104</v>
      </c>
      <c r="N22" s="1">
        <f t="shared" si="5"/>
        <v>8</v>
      </c>
      <c r="O22" t="s">
        <v>65</v>
      </c>
      <c r="P22" t="s">
        <v>71</v>
      </c>
      <c r="R22" t="s">
        <v>76</v>
      </c>
      <c r="T22" s="1">
        <v>19</v>
      </c>
      <c r="U22" s="19"/>
    </row>
    <row r="23" spans="2:21" x14ac:dyDescent="0.35">
      <c r="B23" s="1">
        <f t="shared" si="3"/>
        <v>9</v>
      </c>
      <c r="C23" t="s">
        <v>65</v>
      </c>
      <c r="D23" t="s">
        <v>72</v>
      </c>
      <c r="F23" t="s">
        <v>77</v>
      </c>
      <c r="H23" s="1">
        <f t="shared" si="4"/>
        <v>9</v>
      </c>
      <c r="I23" t="s">
        <v>65</v>
      </c>
      <c r="J23" t="s">
        <v>105</v>
      </c>
      <c r="L23" t="s">
        <v>77</v>
      </c>
      <c r="N23" s="1">
        <f t="shared" si="5"/>
        <v>9</v>
      </c>
      <c r="O23" t="s">
        <v>65</v>
      </c>
      <c r="P23" t="s">
        <v>72</v>
      </c>
      <c r="R23" t="s">
        <v>77</v>
      </c>
      <c r="T23" s="1">
        <v>20</v>
      </c>
      <c r="U23" s="19"/>
    </row>
    <row r="24" spans="2:21" x14ac:dyDescent="0.35">
      <c r="B24" s="1">
        <f t="shared" si="3"/>
        <v>10</v>
      </c>
      <c r="C24" t="s">
        <v>66</v>
      </c>
      <c r="D24" t="s">
        <v>73</v>
      </c>
      <c r="H24" s="1">
        <f t="shared" si="4"/>
        <v>10</v>
      </c>
      <c r="I24" t="s">
        <v>66</v>
      </c>
      <c r="J24" t="s">
        <v>73</v>
      </c>
      <c r="N24" s="1">
        <f t="shared" si="5"/>
        <v>10</v>
      </c>
      <c r="O24" t="s">
        <v>66</v>
      </c>
      <c r="P24" t="s">
        <v>73</v>
      </c>
    </row>
    <row r="25" spans="2:21" x14ac:dyDescent="0.35">
      <c r="B25" s="1">
        <f t="shared" si="3"/>
        <v>11</v>
      </c>
      <c r="H25" s="1">
        <f t="shared" si="4"/>
        <v>11</v>
      </c>
      <c r="N25" s="1">
        <f t="shared" si="5"/>
        <v>11</v>
      </c>
      <c r="T25" s="26" t="s">
        <v>92</v>
      </c>
      <c r="U25" s="27"/>
    </row>
    <row r="26" spans="2:21" x14ac:dyDescent="0.35">
      <c r="B26" s="1">
        <f t="shared" si="3"/>
        <v>12</v>
      </c>
      <c r="H26" s="1">
        <f t="shared" si="4"/>
        <v>12</v>
      </c>
      <c r="N26" s="1">
        <f t="shared" si="5"/>
        <v>12</v>
      </c>
      <c r="T26" s="1" t="s">
        <v>0</v>
      </c>
      <c r="U26" s="1" t="s">
        <v>93</v>
      </c>
    </row>
    <row r="27" spans="2:21" x14ac:dyDescent="0.35">
      <c r="B27" s="1">
        <f t="shared" si="3"/>
        <v>13</v>
      </c>
      <c r="H27" s="1">
        <f t="shared" si="4"/>
        <v>13</v>
      </c>
      <c r="N27" s="1">
        <f t="shared" si="5"/>
        <v>13</v>
      </c>
      <c r="T27" s="1">
        <f t="shared" ref="T27:T46" si="6">ROW()-26</f>
        <v>1</v>
      </c>
      <c r="U27" s="1" t="s">
        <v>95</v>
      </c>
    </row>
    <row r="28" spans="2:21" x14ac:dyDescent="0.35">
      <c r="B28" s="1">
        <f t="shared" si="3"/>
        <v>14</v>
      </c>
      <c r="H28" s="1">
        <f t="shared" si="4"/>
        <v>14</v>
      </c>
      <c r="N28" s="1">
        <f t="shared" si="5"/>
        <v>14</v>
      </c>
      <c r="T28" s="1">
        <f t="shared" si="6"/>
        <v>2</v>
      </c>
      <c r="U28" s="1" t="s">
        <v>94</v>
      </c>
    </row>
    <row r="29" spans="2:21" x14ac:dyDescent="0.35">
      <c r="B29" s="1">
        <f t="shared" si="3"/>
        <v>15</v>
      </c>
      <c r="H29" s="1">
        <f t="shared" si="4"/>
        <v>15</v>
      </c>
      <c r="N29" s="1">
        <f t="shared" si="5"/>
        <v>15</v>
      </c>
      <c r="T29" s="1">
        <f t="shared" si="6"/>
        <v>3</v>
      </c>
      <c r="U29" s="1"/>
    </row>
    <row r="30" spans="2:21" x14ac:dyDescent="0.35">
      <c r="B30" s="1">
        <f t="shared" si="3"/>
        <v>16</v>
      </c>
      <c r="H30" s="1">
        <f t="shared" si="4"/>
        <v>16</v>
      </c>
      <c r="N30" s="1">
        <f t="shared" si="5"/>
        <v>16</v>
      </c>
      <c r="T30" s="1">
        <f t="shared" si="6"/>
        <v>4</v>
      </c>
      <c r="U30" s="1"/>
    </row>
    <row r="31" spans="2:21" x14ac:dyDescent="0.35">
      <c r="B31" s="1">
        <f t="shared" si="3"/>
        <v>17</v>
      </c>
      <c r="H31" s="1">
        <f t="shared" si="4"/>
        <v>17</v>
      </c>
      <c r="N31" s="1">
        <f t="shared" si="5"/>
        <v>17</v>
      </c>
      <c r="T31" s="1">
        <f t="shared" si="6"/>
        <v>5</v>
      </c>
      <c r="U31" s="1"/>
    </row>
    <row r="32" spans="2:21" x14ac:dyDescent="0.35">
      <c r="B32" s="1">
        <f t="shared" si="3"/>
        <v>18</v>
      </c>
      <c r="H32" s="1">
        <f t="shared" si="4"/>
        <v>18</v>
      </c>
      <c r="N32" s="1">
        <f t="shared" si="5"/>
        <v>18</v>
      </c>
      <c r="T32" s="1">
        <f t="shared" si="6"/>
        <v>6</v>
      </c>
      <c r="U32" s="1"/>
    </row>
    <row r="33" spans="2:21" x14ac:dyDescent="0.35">
      <c r="B33" s="1">
        <f t="shared" si="3"/>
        <v>19</v>
      </c>
      <c r="H33" s="1">
        <f t="shared" si="4"/>
        <v>19</v>
      </c>
      <c r="N33" s="1">
        <f t="shared" si="5"/>
        <v>19</v>
      </c>
      <c r="T33" s="1">
        <f t="shared" si="6"/>
        <v>7</v>
      </c>
      <c r="U33" s="1"/>
    </row>
    <row r="34" spans="2:21" x14ac:dyDescent="0.35">
      <c r="B34" s="1">
        <f t="shared" si="3"/>
        <v>20</v>
      </c>
      <c r="H34" s="1">
        <f t="shared" si="4"/>
        <v>20</v>
      </c>
      <c r="N34" s="1">
        <f t="shared" si="5"/>
        <v>20</v>
      </c>
      <c r="T34" s="1">
        <f t="shared" si="6"/>
        <v>8</v>
      </c>
      <c r="U34" s="1"/>
    </row>
    <row r="35" spans="2:21" ht="24.6" customHeight="1" x14ac:dyDescent="0.35">
      <c r="T35" s="1">
        <f t="shared" si="6"/>
        <v>9</v>
      </c>
      <c r="U35" s="1"/>
    </row>
    <row r="36" spans="2:21" x14ac:dyDescent="0.35">
      <c r="B36" s="28" t="s">
        <v>81</v>
      </c>
      <c r="C36" s="29"/>
      <c r="D36" s="29"/>
      <c r="E36" s="29"/>
      <c r="F36" s="30"/>
      <c r="H36" s="28" t="s">
        <v>82</v>
      </c>
      <c r="I36" s="29"/>
      <c r="J36" s="29"/>
      <c r="K36" s="29"/>
      <c r="L36" s="30"/>
      <c r="N36" s="28" t="s">
        <v>83</v>
      </c>
      <c r="O36" s="29"/>
      <c r="P36" s="29"/>
      <c r="Q36" s="29"/>
      <c r="R36" s="30"/>
      <c r="T36" s="1">
        <f t="shared" si="6"/>
        <v>10</v>
      </c>
      <c r="U36" s="1"/>
    </row>
    <row r="37" spans="2:21" x14ac:dyDescent="0.35">
      <c r="T37" s="1">
        <f t="shared" si="6"/>
        <v>11</v>
      </c>
      <c r="U37" s="1"/>
    </row>
    <row r="38" spans="2:21" x14ac:dyDescent="0.35">
      <c r="B38" t="s">
        <v>0</v>
      </c>
      <c r="C38" t="s">
        <v>47</v>
      </c>
      <c r="D38" t="s">
        <v>48</v>
      </c>
      <c r="H38" t="s">
        <v>0</v>
      </c>
      <c r="I38" t="s">
        <v>47</v>
      </c>
      <c r="J38" t="s">
        <v>48</v>
      </c>
      <c r="N38" t="s">
        <v>0</v>
      </c>
      <c r="O38" t="s">
        <v>47</v>
      </c>
      <c r="P38" t="s">
        <v>48</v>
      </c>
      <c r="T38" s="1">
        <f t="shared" si="6"/>
        <v>12</v>
      </c>
      <c r="U38" s="1"/>
    </row>
    <row r="39" spans="2:21" x14ac:dyDescent="0.35">
      <c r="B39" s="1">
        <f t="shared" ref="B39:B46" si="7">ROW()-38</f>
        <v>1</v>
      </c>
      <c r="C39" t="s">
        <v>49</v>
      </c>
      <c r="D39" s="5">
        <v>3</v>
      </c>
      <c r="H39" s="1">
        <f t="shared" ref="H39:H46" si="8">ROW()-38</f>
        <v>1</v>
      </c>
      <c r="I39" t="s">
        <v>49</v>
      </c>
      <c r="J39" s="5">
        <v>3</v>
      </c>
      <c r="N39" s="1">
        <f t="shared" ref="N39:N46" si="9">ROW()-38</f>
        <v>1</v>
      </c>
      <c r="O39" t="s">
        <v>49</v>
      </c>
      <c r="P39" s="5">
        <v>3</v>
      </c>
      <c r="T39" s="1">
        <f t="shared" si="6"/>
        <v>13</v>
      </c>
      <c r="U39" s="1"/>
    </row>
    <row r="40" spans="2:21" x14ac:dyDescent="0.35">
      <c r="B40" s="1">
        <f t="shared" si="7"/>
        <v>2</v>
      </c>
      <c r="C40" t="s">
        <v>50</v>
      </c>
      <c r="D40" s="5" t="s">
        <v>54</v>
      </c>
      <c r="H40" s="1">
        <f t="shared" si="8"/>
        <v>2</v>
      </c>
      <c r="I40" t="s">
        <v>50</v>
      </c>
      <c r="J40" s="5" t="s">
        <v>54</v>
      </c>
      <c r="N40" s="1">
        <f t="shared" si="9"/>
        <v>2</v>
      </c>
      <c r="O40" t="s">
        <v>50</v>
      </c>
      <c r="P40" s="5" t="s">
        <v>54</v>
      </c>
      <c r="T40" s="1">
        <f t="shared" si="6"/>
        <v>14</v>
      </c>
      <c r="U40" s="1"/>
    </row>
    <row r="41" spans="2:21" x14ac:dyDescent="0.35">
      <c r="B41" s="1">
        <f t="shared" si="7"/>
        <v>3</v>
      </c>
      <c r="C41" t="s">
        <v>51</v>
      </c>
      <c r="D41" s="5" t="s">
        <v>55</v>
      </c>
      <c r="H41" s="1">
        <f t="shared" si="8"/>
        <v>3</v>
      </c>
      <c r="I41" t="s">
        <v>51</v>
      </c>
      <c r="J41" s="5" t="s">
        <v>55</v>
      </c>
      <c r="N41" s="1">
        <f t="shared" si="9"/>
        <v>3</v>
      </c>
      <c r="O41" t="s">
        <v>51</v>
      </c>
      <c r="P41" s="5" t="s">
        <v>55</v>
      </c>
      <c r="T41" s="1">
        <f t="shared" si="6"/>
        <v>15</v>
      </c>
      <c r="U41" s="1"/>
    </row>
    <row r="42" spans="2:21" x14ac:dyDescent="0.35">
      <c r="B42" s="1">
        <f t="shared" si="7"/>
        <v>4</v>
      </c>
      <c r="C42" t="s">
        <v>52</v>
      </c>
      <c r="D42" s="5" t="s">
        <v>56</v>
      </c>
      <c r="H42" s="1">
        <f t="shared" si="8"/>
        <v>4</v>
      </c>
      <c r="I42" t="s">
        <v>52</v>
      </c>
      <c r="J42" s="5" t="s">
        <v>56</v>
      </c>
      <c r="N42" s="1">
        <f t="shared" si="9"/>
        <v>4</v>
      </c>
      <c r="O42" t="s">
        <v>52</v>
      </c>
      <c r="P42" s="5" t="s">
        <v>56</v>
      </c>
      <c r="T42" s="1">
        <f t="shared" si="6"/>
        <v>16</v>
      </c>
      <c r="U42" s="1"/>
    </row>
    <row r="43" spans="2:21" x14ac:dyDescent="0.35">
      <c r="B43" s="1">
        <f t="shared" si="7"/>
        <v>5</v>
      </c>
      <c r="C43" t="s">
        <v>14</v>
      </c>
      <c r="D43" s="5" t="s">
        <v>57</v>
      </c>
      <c r="H43" s="1">
        <f t="shared" si="8"/>
        <v>5</v>
      </c>
      <c r="I43" t="s">
        <v>14</v>
      </c>
      <c r="J43" s="5" t="s">
        <v>57</v>
      </c>
      <c r="N43" s="1">
        <f t="shared" si="9"/>
        <v>5</v>
      </c>
      <c r="O43" t="s">
        <v>14</v>
      </c>
      <c r="P43" s="5" t="s">
        <v>57</v>
      </c>
      <c r="T43" s="1">
        <f t="shared" si="6"/>
        <v>17</v>
      </c>
      <c r="U43" s="1"/>
    </row>
    <row r="44" spans="2:21" x14ac:dyDescent="0.35">
      <c r="B44" s="1">
        <f t="shared" si="7"/>
        <v>6</v>
      </c>
      <c r="C44" t="s">
        <v>53</v>
      </c>
      <c r="D44" s="5" t="s">
        <v>58</v>
      </c>
      <c r="H44" s="1">
        <f t="shared" si="8"/>
        <v>6</v>
      </c>
      <c r="I44" t="s">
        <v>53</v>
      </c>
      <c r="J44" s="5" t="s">
        <v>58</v>
      </c>
      <c r="N44" s="1">
        <f t="shared" si="9"/>
        <v>6</v>
      </c>
      <c r="O44" t="s">
        <v>53</v>
      </c>
      <c r="P44" s="5" t="s">
        <v>58</v>
      </c>
      <c r="T44" s="1">
        <f t="shared" si="6"/>
        <v>18</v>
      </c>
      <c r="U44" s="1"/>
    </row>
    <row r="45" spans="2:21" x14ac:dyDescent="0.35">
      <c r="B45" s="1">
        <f t="shared" si="7"/>
        <v>7</v>
      </c>
      <c r="C45" t="s">
        <v>60</v>
      </c>
      <c r="D45" s="5" t="s">
        <v>59</v>
      </c>
      <c r="H45" s="1">
        <f t="shared" si="8"/>
        <v>7</v>
      </c>
      <c r="I45" t="s">
        <v>60</v>
      </c>
      <c r="J45" s="5" t="s">
        <v>59</v>
      </c>
      <c r="N45" s="1">
        <f t="shared" si="9"/>
        <v>7</v>
      </c>
      <c r="O45" t="s">
        <v>60</v>
      </c>
      <c r="P45" s="5" t="s">
        <v>59</v>
      </c>
      <c r="T45" s="1">
        <f t="shared" si="6"/>
        <v>19</v>
      </c>
      <c r="U45" s="1"/>
    </row>
    <row r="46" spans="2:21" ht="33" x14ac:dyDescent="0.35">
      <c r="B46" s="1">
        <f t="shared" si="7"/>
        <v>8</v>
      </c>
      <c r="C46" t="s">
        <v>87</v>
      </c>
      <c r="D46" s="6" t="s">
        <v>86</v>
      </c>
      <c r="H46" s="1">
        <f t="shared" si="8"/>
        <v>8</v>
      </c>
      <c r="I46" t="s">
        <v>87</v>
      </c>
      <c r="J46" s="6" t="s">
        <v>86</v>
      </c>
      <c r="N46" s="1">
        <f t="shared" si="9"/>
        <v>8</v>
      </c>
      <c r="O46" t="s">
        <v>87</v>
      </c>
      <c r="P46" s="6" t="s">
        <v>86</v>
      </c>
      <c r="T46" s="1">
        <f t="shared" si="6"/>
        <v>20</v>
      </c>
      <c r="U46" s="1"/>
    </row>
    <row r="48" spans="2:21" x14ac:dyDescent="0.35">
      <c r="B48" t="s">
        <v>26</v>
      </c>
      <c r="C48" t="s">
        <v>27</v>
      </c>
      <c r="D48" t="s">
        <v>28</v>
      </c>
      <c r="E48" t="s">
        <v>29</v>
      </c>
      <c r="F48" t="s">
        <v>30</v>
      </c>
      <c r="H48" t="s">
        <v>26</v>
      </c>
      <c r="I48" t="s">
        <v>27</v>
      </c>
      <c r="J48" t="s">
        <v>28</v>
      </c>
      <c r="K48" t="s">
        <v>29</v>
      </c>
      <c r="L48" t="s">
        <v>30</v>
      </c>
      <c r="N48" t="s">
        <v>26</v>
      </c>
      <c r="O48" t="s">
        <v>27</v>
      </c>
      <c r="P48" t="s">
        <v>28</v>
      </c>
      <c r="Q48" t="s">
        <v>29</v>
      </c>
      <c r="R48" t="s">
        <v>30</v>
      </c>
    </row>
    <row r="49" spans="2:18" x14ac:dyDescent="0.35">
      <c r="B49" s="1">
        <f t="shared" ref="B49:B68" si="10">ROW()-46</f>
        <v>3</v>
      </c>
      <c r="C49" t="s">
        <v>61</v>
      </c>
      <c r="H49" s="1">
        <f t="shared" ref="H49:H68" si="11">ROW()-46</f>
        <v>3</v>
      </c>
      <c r="I49" t="s">
        <v>61</v>
      </c>
      <c r="N49" s="1">
        <f t="shared" ref="N49:N68" si="12">ROW()-46</f>
        <v>3</v>
      </c>
      <c r="O49" t="s">
        <v>61</v>
      </c>
    </row>
    <row r="50" spans="2:18" x14ac:dyDescent="0.35">
      <c r="B50" s="1">
        <f t="shared" si="10"/>
        <v>4</v>
      </c>
      <c r="C50" t="s">
        <v>62</v>
      </c>
      <c r="D50" t="s">
        <v>67</v>
      </c>
      <c r="E50" t="s">
        <v>74</v>
      </c>
      <c r="H50" s="1">
        <f t="shared" si="11"/>
        <v>4</v>
      </c>
      <c r="I50" t="s">
        <v>62</v>
      </c>
      <c r="J50" t="s">
        <v>67</v>
      </c>
      <c r="K50" t="s">
        <v>74</v>
      </c>
      <c r="N50" s="1">
        <f t="shared" si="12"/>
        <v>4</v>
      </c>
      <c r="O50" t="s">
        <v>62</v>
      </c>
      <c r="P50" t="s">
        <v>67</v>
      </c>
      <c r="Q50" t="s">
        <v>74</v>
      </c>
    </row>
    <row r="51" spans="2:18" x14ac:dyDescent="0.35">
      <c r="B51" s="1">
        <f t="shared" si="10"/>
        <v>5</v>
      </c>
      <c r="C51" t="s">
        <v>63</v>
      </c>
      <c r="D51" t="s">
        <v>68</v>
      </c>
      <c r="H51" s="1">
        <f t="shared" si="11"/>
        <v>5</v>
      </c>
      <c r="I51" t="s">
        <v>63</v>
      </c>
      <c r="J51" t="s">
        <v>68</v>
      </c>
      <c r="N51" s="1">
        <f t="shared" si="12"/>
        <v>5</v>
      </c>
      <c r="O51" t="s">
        <v>63</v>
      </c>
      <c r="P51" t="s">
        <v>68</v>
      </c>
    </row>
    <row r="52" spans="2:18" x14ac:dyDescent="0.35">
      <c r="B52" s="1">
        <f t="shared" si="10"/>
        <v>6</v>
      </c>
      <c r="C52" t="s">
        <v>64</v>
      </c>
      <c r="D52" t="s">
        <v>69</v>
      </c>
      <c r="E52" t="s">
        <v>75</v>
      </c>
      <c r="H52" s="1">
        <f t="shared" si="11"/>
        <v>6</v>
      </c>
      <c r="I52" t="s">
        <v>64</v>
      </c>
      <c r="J52" t="s">
        <v>69</v>
      </c>
      <c r="K52" t="s">
        <v>75</v>
      </c>
      <c r="N52" s="1">
        <f t="shared" si="12"/>
        <v>6</v>
      </c>
      <c r="O52" t="s">
        <v>64</v>
      </c>
      <c r="P52" t="s">
        <v>69</v>
      </c>
      <c r="Q52" t="s">
        <v>75</v>
      </c>
    </row>
    <row r="53" spans="2:18" x14ac:dyDescent="0.35">
      <c r="B53" s="1">
        <f t="shared" si="10"/>
        <v>7</v>
      </c>
      <c r="C53" t="s">
        <v>63</v>
      </c>
      <c r="D53" t="s">
        <v>68</v>
      </c>
      <c r="H53" s="1">
        <f t="shared" si="11"/>
        <v>7</v>
      </c>
      <c r="I53" t="s">
        <v>63</v>
      </c>
      <c r="J53" t="s">
        <v>68</v>
      </c>
      <c r="N53" s="1">
        <f t="shared" si="12"/>
        <v>7</v>
      </c>
      <c r="O53" t="s">
        <v>63</v>
      </c>
      <c r="P53" t="s">
        <v>68</v>
      </c>
    </row>
    <row r="54" spans="2:18" x14ac:dyDescent="0.35">
      <c r="B54" s="1">
        <f t="shared" si="10"/>
        <v>8</v>
      </c>
      <c r="C54" t="s">
        <v>62</v>
      </c>
      <c r="D54" t="s">
        <v>70</v>
      </c>
      <c r="E54" t="s">
        <v>74</v>
      </c>
      <c r="H54" s="1">
        <f t="shared" si="11"/>
        <v>8</v>
      </c>
      <c r="I54" t="s">
        <v>62</v>
      </c>
      <c r="J54" t="s">
        <v>70</v>
      </c>
      <c r="K54" t="s">
        <v>74</v>
      </c>
      <c r="N54" s="1">
        <f t="shared" si="12"/>
        <v>8</v>
      </c>
      <c r="O54" t="s">
        <v>62</v>
      </c>
      <c r="P54" t="s">
        <v>70</v>
      </c>
      <c r="Q54" t="s">
        <v>74</v>
      </c>
    </row>
    <row r="55" spans="2:18" x14ac:dyDescent="0.35">
      <c r="B55" s="1">
        <f t="shared" si="10"/>
        <v>9</v>
      </c>
      <c r="C55" t="s">
        <v>63</v>
      </c>
      <c r="D55" t="s">
        <v>68</v>
      </c>
      <c r="H55" s="1">
        <f t="shared" si="11"/>
        <v>9</v>
      </c>
      <c r="I55" t="s">
        <v>63</v>
      </c>
      <c r="J55" t="s">
        <v>68</v>
      </c>
      <c r="N55" s="1">
        <f t="shared" si="12"/>
        <v>9</v>
      </c>
      <c r="O55" t="s">
        <v>63</v>
      </c>
      <c r="P55" t="s">
        <v>68</v>
      </c>
    </row>
    <row r="56" spans="2:18" x14ac:dyDescent="0.35">
      <c r="B56" s="1">
        <f t="shared" si="10"/>
        <v>10</v>
      </c>
      <c r="C56" t="s">
        <v>65</v>
      </c>
      <c r="D56" t="s">
        <v>71</v>
      </c>
      <c r="F56" t="s">
        <v>76</v>
      </c>
      <c r="H56" s="1">
        <f t="shared" si="11"/>
        <v>10</v>
      </c>
      <c r="I56" t="s">
        <v>65</v>
      </c>
      <c r="J56" t="s">
        <v>71</v>
      </c>
      <c r="L56" t="s">
        <v>76</v>
      </c>
      <c r="N56" s="1">
        <f t="shared" si="12"/>
        <v>10</v>
      </c>
      <c r="O56" t="s">
        <v>65</v>
      </c>
      <c r="P56" t="s">
        <v>71</v>
      </c>
      <c r="R56" t="s">
        <v>76</v>
      </c>
    </row>
    <row r="57" spans="2:18" x14ac:dyDescent="0.35">
      <c r="B57" s="1">
        <f t="shared" si="10"/>
        <v>11</v>
      </c>
      <c r="C57" t="s">
        <v>65</v>
      </c>
      <c r="D57" t="s">
        <v>72</v>
      </c>
      <c r="F57" t="s">
        <v>77</v>
      </c>
      <c r="H57" s="1">
        <f t="shared" si="11"/>
        <v>11</v>
      </c>
      <c r="I57" t="s">
        <v>65</v>
      </c>
      <c r="J57" t="s">
        <v>72</v>
      </c>
      <c r="L57" t="s">
        <v>77</v>
      </c>
      <c r="N57" s="1">
        <f t="shared" si="12"/>
        <v>11</v>
      </c>
      <c r="O57" t="s">
        <v>65</v>
      </c>
      <c r="P57" t="s">
        <v>72</v>
      </c>
      <c r="R57" t="s">
        <v>77</v>
      </c>
    </row>
    <row r="58" spans="2:18" x14ac:dyDescent="0.35">
      <c r="B58" s="1">
        <f t="shared" si="10"/>
        <v>12</v>
      </c>
      <c r="C58" t="s">
        <v>66</v>
      </c>
      <c r="D58" t="s">
        <v>73</v>
      </c>
      <c r="H58" s="1">
        <f t="shared" si="11"/>
        <v>12</v>
      </c>
      <c r="I58" t="s">
        <v>66</v>
      </c>
      <c r="J58" t="s">
        <v>73</v>
      </c>
      <c r="N58" s="1">
        <f t="shared" si="12"/>
        <v>12</v>
      </c>
      <c r="O58" t="s">
        <v>66</v>
      </c>
      <c r="P58" t="s">
        <v>73</v>
      </c>
    </row>
    <row r="59" spans="2:18" x14ac:dyDescent="0.35">
      <c r="B59" s="1">
        <f t="shared" si="10"/>
        <v>13</v>
      </c>
      <c r="H59" s="1">
        <f t="shared" si="11"/>
        <v>13</v>
      </c>
      <c r="N59" s="1">
        <f t="shared" si="12"/>
        <v>13</v>
      </c>
    </row>
    <row r="60" spans="2:18" x14ac:dyDescent="0.35">
      <c r="B60" s="1">
        <f t="shared" si="10"/>
        <v>14</v>
      </c>
      <c r="H60" s="1">
        <f t="shared" si="11"/>
        <v>14</v>
      </c>
      <c r="N60" s="1">
        <f t="shared" si="12"/>
        <v>14</v>
      </c>
    </row>
    <row r="61" spans="2:18" x14ac:dyDescent="0.35">
      <c r="B61" s="1">
        <f t="shared" si="10"/>
        <v>15</v>
      </c>
      <c r="H61" s="1">
        <f t="shared" si="11"/>
        <v>15</v>
      </c>
      <c r="N61" s="1">
        <f t="shared" si="12"/>
        <v>15</v>
      </c>
    </row>
    <row r="62" spans="2:18" x14ac:dyDescent="0.35">
      <c r="B62" s="1">
        <f t="shared" si="10"/>
        <v>16</v>
      </c>
      <c r="H62" s="1">
        <f t="shared" si="11"/>
        <v>16</v>
      </c>
      <c r="N62" s="1">
        <f t="shared" si="12"/>
        <v>16</v>
      </c>
    </row>
    <row r="63" spans="2:18" x14ac:dyDescent="0.35">
      <c r="B63" s="1">
        <f t="shared" si="10"/>
        <v>17</v>
      </c>
      <c r="H63" s="1">
        <f t="shared" si="11"/>
        <v>17</v>
      </c>
      <c r="N63" s="1">
        <f t="shared" si="12"/>
        <v>17</v>
      </c>
    </row>
    <row r="64" spans="2:18" x14ac:dyDescent="0.35">
      <c r="B64" s="1">
        <f t="shared" si="10"/>
        <v>18</v>
      </c>
      <c r="H64" s="1">
        <f t="shared" si="11"/>
        <v>18</v>
      </c>
      <c r="N64" s="1">
        <f t="shared" si="12"/>
        <v>18</v>
      </c>
    </row>
    <row r="65" spans="2:14" x14ac:dyDescent="0.35">
      <c r="B65" s="1">
        <f t="shared" si="10"/>
        <v>19</v>
      </c>
      <c r="H65" s="1">
        <f t="shared" si="11"/>
        <v>19</v>
      </c>
      <c r="N65" s="1">
        <f t="shared" si="12"/>
        <v>19</v>
      </c>
    </row>
    <row r="66" spans="2:14" x14ac:dyDescent="0.35">
      <c r="B66" s="1">
        <f t="shared" si="10"/>
        <v>20</v>
      </c>
      <c r="H66" s="1">
        <f t="shared" si="11"/>
        <v>20</v>
      </c>
      <c r="N66" s="1">
        <f t="shared" si="12"/>
        <v>20</v>
      </c>
    </row>
    <row r="67" spans="2:14" x14ac:dyDescent="0.35">
      <c r="B67" s="1">
        <f t="shared" si="10"/>
        <v>21</v>
      </c>
      <c r="H67" s="1">
        <f t="shared" si="11"/>
        <v>21</v>
      </c>
      <c r="N67" s="1">
        <f t="shared" si="12"/>
        <v>21</v>
      </c>
    </row>
    <row r="68" spans="2:14" x14ac:dyDescent="0.35">
      <c r="B68" s="1">
        <f t="shared" si="10"/>
        <v>22</v>
      </c>
      <c r="H68" s="1">
        <f t="shared" si="11"/>
        <v>22</v>
      </c>
      <c r="N68" s="1">
        <f t="shared" si="12"/>
        <v>22</v>
      </c>
    </row>
  </sheetData>
  <mergeCells count="8">
    <mergeCell ref="T2:U2"/>
    <mergeCell ref="B2:F2"/>
    <mergeCell ref="H2:L2"/>
    <mergeCell ref="N2:R2"/>
    <mergeCell ref="B36:F36"/>
    <mergeCell ref="H36:L36"/>
    <mergeCell ref="N36:R36"/>
    <mergeCell ref="T25:U25"/>
  </mergeCells>
  <phoneticPr fontId="2" type="noConversion"/>
  <pageMargins left="0.7" right="0.7" top="0.75" bottom="0.75" header="0.3" footer="0.3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7AB8D-6D95-4A0F-8D56-94D04D76672E}">
  <sheetPr codeName="Sheet2"/>
  <dimension ref="B1:U12"/>
  <sheetViews>
    <sheetView showGridLines="0" tabSelected="1" zoomScale="90" zoomScaleNormal="90" workbookViewId="0">
      <selection activeCell="E4" sqref="E4"/>
    </sheetView>
  </sheetViews>
  <sheetFormatPr defaultRowHeight="16.5" x14ac:dyDescent="0.35"/>
  <cols>
    <col min="1" max="1" width="1.5" customWidth="1"/>
    <col min="2" max="2" width="4.5" bestFit="1" customWidth="1"/>
    <col min="3" max="3" width="26.125" bestFit="1" customWidth="1"/>
    <col min="4" max="4" width="7.75" customWidth="1"/>
    <col min="5" max="5" width="6.25" customWidth="1"/>
    <col min="6" max="6" width="8.25" bestFit="1" customWidth="1"/>
    <col min="7" max="13" width="9.125" customWidth="1"/>
    <col min="14" max="14" width="7.625" customWidth="1"/>
    <col min="15" max="15" width="8.375" customWidth="1"/>
    <col min="16" max="22" width="12.75" customWidth="1"/>
  </cols>
  <sheetData>
    <row r="1" spans="2:21" ht="8.4499999999999993" customHeight="1" x14ac:dyDescent="0.35"/>
    <row r="2" spans="2:21" ht="33" x14ac:dyDescent="0.35">
      <c r="B2" s="9" t="s">
        <v>0</v>
      </c>
      <c r="C2" s="9" t="s">
        <v>6</v>
      </c>
      <c r="D2" s="9" t="s">
        <v>4</v>
      </c>
      <c r="E2" s="9" t="s">
        <v>91</v>
      </c>
      <c r="F2" s="9" t="s">
        <v>96</v>
      </c>
      <c r="G2" s="9" t="s">
        <v>8</v>
      </c>
      <c r="H2" s="9" t="s">
        <v>7</v>
      </c>
      <c r="I2" s="9" t="s">
        <v>9</v>
      </c>
      <c r="J2" s="9" t="s">
        <v>10</v>
      </c>
      <c r="K2" s="9" t="s">
        <v>11</v>
      </c>
      <c r="L2" s="9" t="s">
        <v>12</v>
      </c>
      <c r="M2" s="9" t="s">
        <v>5</v>
      </c>
      <c r="N2" s="9" t="s">
        <v>85</v>
      </c>
      <c r="O2" s="9" t="s">
        <v>38</v>
      </c>
      <c r="P2" s="9" t="s">
        <v>39</v>
      </c>
      <c r="Q2" s="9" t="s">
        <v>40</v>
      </c>
      <c r="R2" s="9" t="s">
        <v>41</v>
      </c>
      <c r="S2" s="9" t="s">
        <v>42</v>
      </c>
      <c r="T2" s="9" t="s">
        <v>43</v>
      </c>
      <c r="U2" s="9" t="s">
        <v>44</v>
      </c>
    </row>
    <row r="3" spans="2:21" ht="33" x14ac:dyDescent="0.35">
      <c r="B3" s="2">
        <f t="shared" ref="B3:B12" si="0">ROW()-2</f>
        <v>1</v>
      </c>
      <c r="C3" s="21" t="str">
        <f>IF(功能首页!F4&lt;&gt;"",功能首页!F4,"")</f>
        <v>25min纯快充 2-97%SOC 45℃</v>
      </c>
      <c r="D3" s="2">
        <v>100</v>
      </c>
      <c r="E3" s="2">
        <v>90</v>
      </c>
      <c r="F3" s="8" t="s">
        <v>99</v>
      </c>
      <c r="G3" s="2"/>
      <c r="H3" s="2"/>
      <c r="I3" s="2">
        <v>59</v>
      </c>
      <c r="J3" s="2">
        <v>60</v>
      </c>
      <c r="K3" s="2"/>
      <c r="L3" s="2"/>
      <c r="M3" s="2" t="s">
        <v>32</v>
      </c>
      <c r="N3" s="2">
        <v>1</v>
      </c>
      <c r="O3" s="2"/>
      <c r="P3" s="2"/>
      <c r="Q3" s="2"/>
      <c r="R3" s="2"/>
      <c r="S3" s="2"/>
      <c r="T3" s="2"/>
      <c r="U3" s="2"/>
    </row>
    <row r="4" spans="2:21" ht="33" x14ac:dyDescent="0.35">
      <c r="B4" s="2">
        <f t="shared" si="0"/>
        <v>2</v>
      </c>
      <c r="C4" s="21" t="str">
        <f>IF(功能首页!F5&lt;&gt;"",功能首页!F5,"")</f>
        <v/>
      </c>
      <c r="D4" s="2">
        <v>75</v>
      </c>
      <c r="E4" s="2"/>
      <c r="F4" s="8" t="s">
        <v>90</v>
      </c>
      <c r="G4" s="2"/>
      <c r="H4" s="2"/>
      <c r="I4" s="2">
        <v>59</v>
      </c>
      <c r="J4" s="2">
        <v>60</v>
      </c>
      <c r="K4" s="2"/>
      <c r="L4" s="2"/>
      <c r="M4" s="2" t="s">
        <v>46</v>
      </c>
      <c r="N4" s="2">
        <v>1</v>
      </c>
      <c r="O4" s="2" t="s">
        <v>45</v>
      </c>
      <c r="P4" s="2"/>
      <c r="Q4" s="2"/>
      <c r="R4" s="2">
        <v>25</v>
      </c>
      <c r="S4" s="2">
        <v>26</v>
      </c>
      <c r="T4" s="2"/>
      <c r="U4" s="2"/>
    </row>
    <row r="5" spans="2:21" x14ac:dyDescent="0.35">
      <c r="B5" s="2">
        <f t="shared" si="0"/>
        <v>3</v>
      </c>
      <c r="C5" s="21" t="str">
        <f>IF(功能首页!F6&lt;&gt;"",功能首页!F6,"")</f>
        <v/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35">
      <c r="B6" s="2">
        <f t="shared" si="0"/>
        <v>4</v>
      </c>
      <c r="C6" s="21" t="str">
        <f>IF(功能首页!F7&lt;&gt;"",功能首页!F7,"")</f>
        <v/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35">
      <c r="B7" s="2">
        <f t="shared" si="0"/>
        <v>5</v>
      </c>
      <c r="C7" s="21" t="str">
        <f>IF(功能首页!F8&lt;&gt;"",功能首页!F8,"")</f>
        <v/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35">
      <c r="B8" s="2">
        <f t="shared" si="0"/>
        <v>6</v>
      </c>
      <c r="C8" s="21" t="str">
        <f>IF(功能首页!F9&lt;&gt;"",功能首页!F9,"")</f>
        <v/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35">
      <c r="B9" s="2">
        <f t="shared" si="0"/>
        <v>7</v>
      </c>
      <c r="C9" s="21" t="str">
        <f>IF(功能首页!F10&lt;&gt;"",功能首页!F10,"")</f>
        <v/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35">
      <c r="B10" s="2">
        <f t="shared" si="0"/>
        <v>8</v>
      </c>
      <c r="C10" s="21" t="str">
        <f>IF(功能首页!F11&lt;&gt;"",功能首页!F11,"")</f>
        <v/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35">
      <c r="B11" s="2">
        <f t="shared" si="0"/>
        <v>9</v>
      </c>
      <c r="C11" s="21" t="str">
        <f>IF(功能首页!F12&lt;&gt;"",功能首页!F12,"")</f>
        <v/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35">
      <c r="B12" s="2">
        <f t="shared" si="0"/>
        <v>10</v>
      </c>
      <c r="C12" s="21" t="str">
        <f>IF(功能首页!F13&lt;&gt;"",功能首页!F13,"")</f>
        <v/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</sheetData>
  <sheetProtection sheet="1" insertRows="0" deleteRows="0"/>
  <phoneticPr fontId="2" type="noConversion"/>
  <conditionalFormatting sqref="O3:U12">
    <cfRule type="expression" dxfId="26" priority="1">
      <formula>ISBLANK($O3)</formula>
    </cfRule>
  </conditionalFormatting>
  <dataValidations count="6">
    <dataValidation type="list" allowBlank="1" showInputMessage="1" showErrorMessage="1" sqref="M3:M12" xr:uid="{3DE4BDD8-682A-40B5-BE05-3BD623571FCE}">
      <formula1>"10s,30s"</formula1>
    </dataValidation>
    <dataValidation type="list" allowBlank="1" showInputMessage="1" showErrorMessage="1" sqref="O3:O12" xr:uid="{B9F0752A-E246-4C59-86AD-825F9B7F6F50}">
      <formula1>"是"</formula1>
    </dataValidation>
    <dataValidation type="whole" operator="greaterThanOrEqual" allowBlank="1" showInputMessage="1" showErrorMessage="1" sqref="P3:U12" xr:uid="{1C5F7B97-6B59-4D3C-885F-56D06CF1A0EE}">
      <formula1>0</formula1>
    </dataValidation>
    <dataValidation type="list" allowBlank="1" showInputMessage="1" showErrorMessage="1" sqref="N3:N12" xr:uid="{B9ABCC0C-4FAC-4192-840B-AB862EF6AAB3}">
      <formula1>"1,2,3,4,5,6"</formula1>
    </dataValidation>
    <dataValidation type="whole" operator="greaterThan" allowBlank="1" showInputMessage="1" showErrorMessage="1" sqref="G3:L12 D3:E12" xr:uid="{C355C07D-DF66-4C1A-9FD8-042CFFF7871F}">
      <formula1>0</formula1>
    </dataValidation>
    <dataValidation type="list" operator="greaterThan" allowBlank="1" showInputMessage="1" showErrorMessage="1" sqref="F3:F12" xr:uid="{05723772-C149-4EE2-8DA3-99EDBBABFEA2}">
      <formula1>"三圈中检求平均值,仅中检一次"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20220-15C7-4BA3-AEA5-7AB77ED436D4}">
  <sheetPr codeName="Sheet4"/>
  <dimension ref="B2:G12"/>
  <sheetViews>
    <sheetView showGridLines="0" workbookViewId="0">
      <selection activeCell="D10" sqref="D10"/>
    </sheetView>
  </sheetViews>
  <sheetFormatPr defaultRowHeight="16.5" x14ac:dyDescent="0.35"/>
  <cols>
    <col min="2" max="2" width="6.75" bestFit="1" customWidth="1"/>
    <col min="3" max="3" width="30" bestFit="1" customWidth="1"/>
    <col min="4" max="4" width="13.75" bestFit="1" customWidth="1"/>
    <col min="5" max="5" width="13.75" customWidth="1"/>
    <col min="6" max="6" width="13.25" bestFit="1" customWidth="1"/>
  </cols>
  <sheetData>
    <row r="2" spans="2:7" x14ac:dyDescent="0.35">
      <c r="B2" t="s">
        <v>0</v>
      </c>
      <c r="C2" t="s">
        <v>6</v>
      </c>
      <c r="D2" t="s">
        <v>4</v>
      </c>
      <c r="E2" t="s">
        <v>22</v>
      </c>
      <c r="F2" t="s">
        <v>23</v>
      </c>
      <c r="G2" t="s">
        <v>15</v>
      </c>
    </row>
    <row r="3" spans="2:7" x14ac:dyDescent="0.35">
      <c r="B3">
        <f t="shared" ref="B3:B9" si="0">ROW()-2</f>
        <v>1</v>
      </c>
      <c r="C3" t="str">
        <f>IF(功能首页!E17&lt;&gt;"",功能首页!E17,"")</f>
        <v>日历寿命 100%SOC60℃-68B</v>
      </c>
      <c r="D3">
        <v>15</v>
      </c>
      <c r="E3" s="4" t="s">
        <v>32</v>
      </c>
      <c r="F3" s="4" t="s">
        <v>24</v>
      </c>
      <c r="G3">
        <v>4</v>
      </c>
    </row>
    <row r="4" spans="2:7" x14ac:dyDescent="0.35">
      <c r="B4">
        <f t="shared" si="0"/>
        <v>2</v>
      </c>
      <c r="C4" t="str">
        <f>IF(功能首页!E18&lt;&gt;"",功能首页!E18,"")</f>
        <v/>
      </c>
      <c r="E4" s="4"/>
      <c r="F4" s="4"/>
    </row>
    <row r="5" spans="2:7" x14ac:dyDescent="0.35">
      <c r="B5">
        <f t="shared" si="0"/>
        <v>3</v>
      </c>
      <c r="C5" t="str">
        <f>IF(功能首页!E19&lt;&gt;"",功能首页!E19,"")</f>
        <v/>
      </c>
      <c r="E5" s="4"/>
      <c r="F5" s="4"/>
    </row>
    <row r="6" spans="2:7" x14ac:dyDescent="0.35">
      <c r="B6">
        <f t="shared" si="0"/>
        <v>4</v>
      </c>
      <c r="C6" t="str">
        <f>IF(功能首页!E20&lt;&gt;"",功能首页!E20,"")</f>
        <v/>
      </c>
      <c r="E6" s="4"/>
      <c r="F6" s="4"/>
    </row>
    <row r="7" spans="2:7" x14ac:dyDescent="0.35">
      <c r="B7">
        <f t="shared" si="0"/>
        <v>5</v>
      </c>
      <c r="C7" t="str">
        <f>IF(功能首页!E21&lt;&gt;"",功能首页!E21,"")</f>
        <v/>
      </c>
      <c r="E7" s="4"/>
      <c r="F7" s="4"/>
    </row>
    <row r="8" spans="2:7" x14ac:dyDescent="0.35">
      <c r="B8">
        <f t="shared" si="0"/>
        <v>6</v>
      </c>
      <c r="C8" t="str">
        <f>IF(功能首页!E22&lt;&gt;"",功能首页!E22,"")</f>
        <v/>
      </c>
      <c r="E8" s="4"/>
      <c r="F8" s="4"/>
    </row>
    <row r="9" spans="2:7" x14ac:dyDescent="0.35">
      <c r="B9">
        <f t="shared" si="0"/>
        <v>7</v>
      </c>
      <c r="C9" t="str">
        <f>IF(功能首页!E23&lt;&gt;"",功能首页!E23,"")</f>
        <v/>
      </c>
      <c r="E9" s="4"/>
      <c r="F9" s="4"/>
    </row>
    <row r="10" spans="2:7" x14ac:dyDescent="0.35">
      <c r="B10">
        <f>ROW()-2</f>
        <v>8</v>
      </c>
      <c r="C10" t="str">
        <f>IF(功能首页!E24&lt;&gt;"",功能首页!E24,"")</f>
        <v/>
      </c>
      <c r="E10" s="4"/>
      <c r="F10" s="4"/>
    </row>
    <row r="11" spans="2:7" x14ac:dyDescent="0.35">
      <c r="B11">
        <f>ROW()-2</f>
        <v>9</v>
      </c>
      <c r="C11" t="str">
        <f>IF(功能首页!E25&lt;&gt;"",功能首页!E25,"")</f>
        <v/>
      </c>
      <c r="E11" s="4"/>
      <c r="F11" s="4"/>
    </row>
    <row r="12" spans="2:7" x14ac:dyDescent="0.35">
      <c r="B12">
        <f>ROW()-2</f>
        <v>10</v>
      </c>
      <c r="C12" t="str">
        <f>IF(功能首页!E26&lt;&gt;"",功能首页!E26,"")</f>
        <v/>
      </c>
      <c r="E12" s="4"/>
      <c r="F12" s="4"/>
    </row>
  </sheetData>
  <phoneticPr fontId="2" type="noConversion"/>
  <dataValidations count="1">
    <dataValidation type="list" allowBlank="1" showInputMessage="1" showErrorMessage="1" sqref="E3:E12" xr:uid="{E3A18A2E-AE71-4C9F-9D2E-5FE0FE0C1492}">
      <formula1>"10s,30s"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功能首页</vt:lpstr>
      <vt:lpstr>公共配置</vt:lpstr>
      <vt:lpstr>循环配置</vt:lpstr>
      <vt:lpstr>存储配置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Steins Wu</dc:creator>
  <cp:lastModifiedBy>Administrator</cp:lastModifiedBy>
  <dcterms:created xsi:type="dcterms:W3CDTF">2023-11-27T00:59:58Z</dcterms:created>
  <dcterms:modified xsi:type="dcterms:W3CDTF">2024-12-31T03:27:11Z</dcterms:modified>
</cp:coreProperties>
</file>