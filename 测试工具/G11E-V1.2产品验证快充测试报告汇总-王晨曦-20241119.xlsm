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3.xml" ContentType="application/vnd.openxmlformats-officedocument.drawing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R:\我的资料\待办区\vba项目\蒋晓冰-测试报告生成工具\快充循环\王晨曦-大小中检\"/>
    </mc:Choice>
  </mc:AlternateContent>
  <xr:revisionPtr revIDLastSave="0" documentId="13_ncr:1_{30F6A917-0CCC-4797-BB69-F1BE89A37B68}" xr6:coauthVersionLast="36" xr6:coauthVersionMax="36" xr10:uidLastSave="{00000000-0000-0000-0000-000000000000}"/>
  <bookViews>
    <workbookView xWindow="-105" yWindow="-105" windowWidth="23250" windowHeight="11535" tabRatio="939" firstSheet="1" activeTab="6" xr2:uid="{1C475F01-A139-4A55-9A9A-1A1ECFAC193E}"/>
  </bookViews>
  <sheets>
    <sheet name="快充循环整合" sheetId="71" state="hidden" r:id="rId1"/>
    <sheet name="功能首页" sheetId="1" r:id="rId2"/>
    <sheet name="公共配置" sheetId="38" r:id="rId3"/>
    <sheet name="循环配置" sheetId="13" r:id="rId4"/>
    <sheet name="存储配置" sheetId="26" state="hidden" r:id="rId5"/>
    <sheet name="大小中检" sheetId="85" r:id="rId6"/>
    <sheet name="G11E-V1.2-PreA-0.5C_0.5C循环 25℃" sheetId="89" r:id="rId7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2" i="85" l="1"/>
  <c r="L73" i="85"/>
  <c r="L74" i="85"/>
  <c r="L75" i="85"/>
  <c r="L76" i="85"/>
  <c r="L71" i="85"/>
  <c r="L62" i="85"/>
  <c r="L63" i="85"/>
  <c r="L64" i="85"/>
  <c r="L65" i="85"/>
  <c r="L66" i="85"/>
  <c r="L61" i="85"/>
  <c r="L52" i="85"/>
  <c r="L53" i="85"/>
  <c r="L54" i="85"/>
  <c r="L55" i="85"/>
  <c r="L56" i="85"/>
  <c r="L51" i="85"/>
  <c r="L44" i="85"/>
  <c r="L45" i="85"/>
  <c r="L46" i="85"/>
  <c r="L42" i="85"/>
  <c r="L43" i="85"/>
  <c r="L41" i="85"/>
  <c r="L22" i="85"/>
  <c r="L23" i="85"/>
  <c r="L24" i="85"/>
  <c r="L25" i="85"/>
  <c r="L26" i="85"/>
  <c r="L32" i="85"/>
  <c r="L33" i="85"/>
  <c r="L34" i="85"/>
  <c r="L35" i="85"/>
  <c r="L36" i="85"/>
  <c r="L31" i="85"/>
  <c r="L21" i="85"/>
  <c r="C7" i="13" l="1"/>
  <c r="C6" i="13"/>
  <c r="T46" i="38" l="1"/>
  <c r="T40" i="38"/>
  <c r="T41" i="38"/>
  <c r="T42" i="38"/>
  <c r="T43" i="38"/>
  <c r="T44" i="38"/>
  <c r="T45" i="38"/>
  <c r="T38" i="38"/>
  <c r="T39" i="38"/>
  <c r="T27" i="38"/>
  <c r="T28" i="38"/>
  <c r="T29" i="38"/>
  <c r="T30" i="38"/>
  <c r="T31" i="38"/>
  <c r="T32" i="38"/>
  <c r="T33" i="38"/>
  <c r="T34" i="38"/>
  <c r="T35" i="38"/>
  <c r="T36" i="38"/>
  <c r="T37" i="38"/>
  <c r="N39" i="38" l="1"/>
  <c r="N40" i="38"/>
  <c r="N41" i="38"/>
  <c r="N42" i="38"/>
  <c r="N43" i="38"/>
  <c r="N44" i="38"/>
  <c r="N45" i="38"/>
  <c r="N46" i="38"/>
  <c r="H39" i="38"/>
  <c r="H40" i="38"/>
  <c r="H41" i="38"/>
  <c r="H42" i="38"/>
  <c r="H43" i="38"/>
  <c r="H44" i="38"/>
  <c r="H45" i="38"/>
  <c r="H46" i="38"/>
  <c r="B39" i="38"/>
  <c r="B40" i="38"/>
  <c r="B41" i="38"/>
  <c r="B42" i="38"/>
  <c r="B43" i="38"/>
  <c r="B44" i="38"/>
  <c r="B45" i="38"/>
  <c r="B46" i="38"/>
  <c r="N15" i="38"/>
  <c r="N16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N31" i="38"/>
  <c r="N32" i="38"/>
  <c r="N33" i="38"/>
  <c r="N3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C4" i="13"/>
  <c r="C5" i="13"/>
  <c r="C8" i="13"/>
  <c r="C9" i="13"/>
  <c r="C10" i="13"/>
  <c r="C11" i="13"/>
  <c r="C12" i="13"/>
  <c r="C13" i="13"/>
  <c r="C12" i="26" l="1"/>
  <c r="B12" i="26"/>
  <c r="C11" i="26"/>
  <c r="B11" i="26"/>
  <c r="C10" i="26"/>
  <c r="B10" i="26"/>
  <c r="C9" i="26"/>
  <c r="B9" i="26"/>
  <c r="C8" i="26"/>
  <c r="B8" i="26"/>
  <c r="C7" i="26"/>
  <c r="B7" i="26"/>
  <c r="C6" i="26"/>
  <c r="B6" i="26"/>
  <c r="C5" i="26"/>
  <c r="B5" i="26"/>
  <c r="C4" i="26"/>
  <c r="B4" i="26"/>
  <c r="C3" i="26"/>
  <c r="B3" i="26"/>
  <c r="N68" i="38"/>
  <c r="H68" i="38"/>
  <c r="B68" i="38"/>
  <c r="N67" i="38"/>
  <c r="H67" i="38"/>
  <c r="B67" i="38"/>
  <c r="N66" i="38"/>
  <c r="H66" i="38"/>
  <c r="B66" i="38"/>
  <c r="N65" i="38"/>
  <c r="H65" i="38"/>
  <c r="B65" i="38"/>
  <c r="N64" i="38"/>
  <c r="H64" i="38"/>
  <c r="B64" i="38"/>
  <c r="N63" i="38"/>
  <c r="H63" i="38"/>
  <c r="B63" i="38"/>
  <c r="N62" i="38"/>
  <c r="H62" i="38"/>
  <c r="B62" i="38"/>
  <c r="N61" i="38"/>
  <c r="H61" i="38"/>
  <c r="B61" i="38"/>
  <c r="N60" i="38"/>
  <c r="H60" i="38"/>
  <c r="B60" i="38"/>
  <c r="N59" i="38"/>
  <c r="H59" i="38"/>
  <c r="B59" i="38"/>
  <c r="N58" i="38"/>
  <c r="H58" i="38"/>
  <c r="B58" i="38"/>
  <c r="N57" i="38"/>
  <c r="H57" i="38"/>
  <c r="B57" i="38"/>
  <c r="N56" i="38"/>
  <c r="H56" i="38"/>
  <c r="B56" i="38"/>
  <c r="N55" i="38"/>
  <c r="H55" i="38"/>
  <c r="B55" i="38"/>
  <c r="N54" i="38"/>
  <c r="H54" i="38"/>
  <c r="B54" i="38"/>
  <c r="N53" i="38"/>
  <c r="H53" i="38"/>
  <c r="B53" i="38"/>
  <c r="N52" i="38"/>
  <c r="H52" i="38"/>
  <c r="B52" i="38"/>
  <c r="N51" i="38"/>
  <c r="H51" i="38"/>
  <c r="B51" i="38"/>
  <c r="N50" i="38"/>
  <c r="H50" i="38"/>
  <c r="B50" i="38"/>
  <c r="N49" i="38"/>
  <c r="H49" i="38"/>
  <c r="B49" i="38"/>
  <c r="N12" i="38"/>
  <c r="H12" i="38"/>
  <c r="B12" i="38"/>
  <c r="N11" i="38"/>
  <c r="H11" i="38"/>
  <c r="B11" i="38"/>
  <c r="N10" i="38"/>
  <c r="H10" i="38"/>
  <c r="B10" i="38"/>
  <c r="N9" i="38"/>
  <c r="H9" i="38"/>
  <c r="B9" i="38"/>
  <c r="N8" i="38"/>
  <c r="H8" i="38"/>
  <c r="B8" i="38"/>
  <c r="N7" i="38"/>
  <c r="H7" i="38"/>
  <c r="B7" i="38"/>
  <c r="N6" i="38"/>
  <c r="H6" i="38"/>
  <c r="B6" i="38"/>
  <c r="N5" i="38"/>
  <c r="H5" i="38"/>
  <c r="B5" i="38"/>
  <c r="B38" i="1"/>
  <c r="B37" i="1"/>
  <c r="B36" i="1"/>
  <c r="B35" i="1"/>
  <c r="B34" i="1"/>
  <c r="B33" i="1"/>
  <c r="B32" i="1"/>
  <c r="B31" i="1"/>
  <c r="B30" i="1"/>
  <c r="B26" i="1"/>
  <c r="B25" i="1"/>
  <c r="B24" i="1"/>
  <c r="B23" i="1"/>
  <c r="B22" i="1"/>
  <c r="B21" i="1"/>
  <c r="B20" i="1"/>
  <c r="B19" i="1"/>
  <c r="B18" i="1"/>
  <c r="B17" i="1"/>
  <c r="B13" i="1"/>
  <c r="B12" i="1"/>
  <c r="B11" i="1"/>
  <c r="B10" i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<sst xmlns="http://schemas.openxmlformats.org/spreadsheetml/2006/main" count="771" uniqueCount="203">
  <si>
    <t>序号</t>
    <phoneticPr fontId="4" type="noConversion"/>
  </si>
  <si>
    <t>更新第</t>
    <phoneticPr fontId="4" type="noConversion"/>
  </si>
  <si>
    <t>份报告</t>
    <phoneticPr fontId="4" type="noConversion"/>
  </si>
  <si>
    <t>输出的测试报标题</t>
    <phoneticPr fontId="4" type="noConversion"/>
  </si>
  <si>
    <t>中检间隔圈数</t>
    <phoneticPr fontId="4" type="noConversion"/>
  </si>
  <si>
    <t>放电时间</t>
    <phoneticPr fontId="4" type="noConversion"/>
  </si>
  <si>
    <t>测试报告标题</t>
    <phoneticPr fontId="4" type="noConversion"/>
  </si>
  <si>
    <t>90%SOC放电工步号</t>
    <phoneticPr fontId="4" type="noConversion"/>
  </si>
  <si>
    <t>90%SOC搁置工步号</t>
    <phoneticPr fontId="4" type="noConversion"/>
  </si>
  <si>
    <t>50%SOC搁置工步号</t>
    <phoneticPr fontId="4" type="noConversion"/>
  </si>
  <si>
    <t>50%SOC放电工步号</t>
    <phoneticPr fontId="4" type="noConversion"/>
  </si>
  <si>
    <t>10%SOC搁置工步号</t>
    <phoneticPr fontId="4" type="noConversion"/>
  </si>
  <si>
    <t>10%SOC放电工步号</t>
    <phoneticPr fontId="4" type="noConversion"/>
  </si>
  <si>
    <t>实验单号</t>
    <phoneticPr fontId="4" type="noConversion"/>
  </si>
  <si>
    <t>工步模板行数</t>
    <phoneticPr fontId="4" type="noConversion"/>
  </si>
  <si>
    <t>快充循环</t>
    <phoneticPr fontId="4" type="noConversion"/>
  </si>
  <si>
    <t>日历存储</t>
    <phoneticPr fontId="4" type="noConversion"/>
  </si>
  <si>
    <t>输入中检DCR数据的文件名</t>
    <phoneticPr fontId="4" type="noConversion"/>
  </si>
  <si>
    <t>输入中检容量数据的文件名</t>
    <phoneticPr fontId="4" type="noConversion"/>
  </si>
  <si>
    <t>输入循环数据的文件名</t>
    <phoneticPr fontId="4" type="noConversion"/>
  </si>
  <si>
    <t>放电时间</t>
    <phoneticPr fontId="4" type="noConversion"/>
  </si>
  <si>
    <t>实验单号</t>
    <phoneticPr fontId="4" type="noConversion"/>
  </si>
  <si>
    <t>EX2222</t>
    <phoneticPr fontId="4" type="noConversion"/>
  </si>
  <si>
    <t>1.测试方法：</t>
  </si>
  <si>
    <t>序号</t>
  </si>
  <si>
    <t>工步</t>
  </si>
  <si>
    <t>具体步骤</t>
  </si>
  <si>
    <t>时间保护</t>
  </si>
  <si>
    <t>备注</t>
  </si>
  <si>
    <t>30s</t>
  </si>
  <si>
    <t>列2</t>
  </si>
  <si>
    <t>列3</t>
  </si>
  <si>
    <t>序号</t>
    <phoneticPr fontId="4" type="noConversion"/>
  </si>
  <si>
    <t>输出的测试报标题</t>
    <phoneticPr fontId="4" type="noConversion"/>
  </si>
  <si>
    <t>HPPC</t>
    <phoneticPr fontId="4" type="noConversion"/>
  </si>
  <si>
    <t>是否存在大中检</t>
    <phoneticPr fontId="4" type="noConversion"/>
  </si>
  <si>
    <t>大中检90%SOC搁置工步号</t>
    <phoneticPr fontId="4" type="noConversion"/>
  </si>
  <si>
    <t>大中检90%SOC放电工步号</t>
    <phoneticPr fontId="4" type="noConversion"/>
  </si>
  <si>
    <t>大中检50%SOC搁置工步号</t>
    <phoneticPr fontId="4" type="noConversion"/>
  </si>
  <si>
    <t>大中检50%SOC放电工步号</t>
    <phoneticPr fontId="4" type="noConversion"/>
  </si>
  <si>
    <t>大中检10%SOC搁置工步号</t>
    <phoneticPr fontId="4" type="noConversion"/>
  </si>
  <si>
    <t>大中检10%SOC放电工步号</t>
    <phoneticPr fontId="4" type="noConversion"/>
  </si>
  <si>
    <t>项目</t>
    <phoneticPr fontId="4" type="noConversion"/>
  </si>
  <si>
    <t>内容</t>
    <phoneticPr fontId="4" type="noConversion"/>
  </si>
  <si>
    <t>测试数量</t>
    <phoneticPr fontId="4" type="noConversion"/>
  </si>
  <si>
    <t>测试温度</t>
    <phoneticPr fontId="4" type="noConversion"/>
  </si>
  <si>
    <t>测试地点</t>
    <phoneticPr fontId="4" type="noConversion"/>
  </si>
  <si>
    <t>使用夹具</t>
    <phoneticPr fontId="4" type="noConversion"/>
  </si>
  <si>
    <t>测试结果</t>
    <phoneticPr fontId="4" type="noConversion"/>
  </si>
  <si>
    <t>25±2℃</t>
    <phoneticPr fontId="4" type="noConversion"/>
  </si>
  <si>
    <t>B4 三楼</t>
    <phoneticPr fontId="4" type="noConversion"/>
  </si>
  <si>
    <t>G16 Type B</t>
    <phoneticPr fontId="4" type="noConversion"/>
  </si>
  <si>
    <t>202212130068</t>
    <phoneticPr fontId="4" type="noConversion"/>
  </si>
  <si>
    <t>OK</t>
    <phoneticPr fontId="4" type="noConversion"/>
  </si>
  <si>
    <t>60s</t>
    <phoneticPr fontId="4" type="noConversion"/>
  </si>
  <si>
    <t>记录</t>
    <phoneticPr fontId="4" type="noConversion"/>
  </si>
  <si>
    <t>RPT1</t>
  </si>
  <si>
    <t>discharge</t>
  </si>
  <si>
    <t>rest</t>
  </si>
  <si>
    <t>charge</t>
  </si>
  <si>
    <t>cycle</t>
  </si>
  <si>
    <t>RPT2</t>
  </si>
  <si>
    <t>CC， 0.33C0， 2.8V</t>
  </si>
  <si>
    <t>30min</t>
  </si>
  <si>
    <t>CCCV，0.5C0， 0.05C，4.25V</t>
  </si>
  <si>
    <t>CC， 1C0， 2.8V</t>
  </si>
  <si>
    <t>工步38-41工步 共测试100次</t>
  </si>
  <si>
    <t>工步4-42  共测试15次</t>
  </si>
  <si>
    <t>送检人后续输入测试工步</t>
  </si>
  <si>
    <t>3.5h</t>
  </si>
  <si>
    <t>4h</t>
  </si>
  <si>
    <t>循环100次</t>
  </si>
  <si>
    <t>循环1500次</t>
  </si>
  <si>
    <t>工步信息1</t>
    <phoneticPr fontId="4" type="noConversion"/>
  </si>
  <si>
    <t>工步信息2</t>
    <phoneticPr fontId="4" type="noConversion"/>
  </si>
  <si>
    <t>工步信息3</t>
    <phoneticPr fontId="4" type="noConversion"/>
  </si>
  <si>
    <t>工步信息4</t>
    <phoneticPr fontId="4" type="noConversion"/>
  </si>
  <si>
    <t>工步信息5</t>
    <phoneticPr fontId="4" type="noConversion"/>
  </si>
  <si>
    <t>工步信息6</t>
    <phoneticPr fontId="4" type="noConversion"/>
  </si>
  <si>
    <t>输出的测试报告标题</t>
    <phoneticPr fontId="4" type="noConversion"/>
  </si>
  <si>
    <t>工步模板序号</t>
    <phoneticPr fontId="4" type="noConversion"/>
  </si>
  <si>
    <t>stepcharge Ch：2%-97%SOC  Dch：0.5C 2%-97%SOC &amp;45℃</t>
    <phoneticPr fontId="4" type="noConversion"/>
  </si>
  <si>
    <t>报告概述</t>
    <phoneticPr fontId="4" type="noConversion"/>
  </si>
  <si>
    <t>2.测试数量：3pcs/组</t>
  </si>
  <si>
    <t>3.测试温度：25±2℃</t>
  </si>
  <si>
    <t>4.测试地点：B4 三楼</t>
  </si>
  <si>
    <t>5.使用夹具：G16 Type B</t>
  </si>
  <si>
    <t>6.实验单号：202212130068</t>
  </si>
  <si>
    <t>7.记录：60s</t>
  </si>
  <si>
    <t>8.测试结果</t>
  </si>
  <si>
    <t>值</t>
    <phoneticPr fontId="4" type="noConversion"/>
  </si>
  <si>
    <t>散点图颜色配置</t>
    <phoneticPr fontId="4" type="noConversion"/>
  </si>
  <si>
    <t>三圈中检求平均值</t>
  </si>
  <si>
    <t>显示工步号</t>
    <phoneticPr fontId="4" type="noConversion"/>
  </si>
  <si>
    <t>电池名字</t>
    <phoneticPr fontId="4" type="noConversion"/>
  </si>
  <si>
    <t>名字</t>
    <phoneticPr fontId="4" type="noConversion"/>
  </si>
  <si>
    <t>容量标定方式</t>
    <phoneticPr fontId="4" type="noConversion"/>
  </si>
  <si>
    <t>更多工具请至这里下载：</t>
    <phoneticPr fontId="4" type="noConversion"/>
  </si>
  <si>
    <t>http://cf.evebattery.com/pages/viewpage.action?pageId=104520419</t>
    <phoneticPr fontId="4" type="noConversion"/>
  </si>
  <si>
    <t>202403050098</t>
    <phoneticPr fontId="4" type="noConversion"/>
  </si>
  <si>
    <t>stepcharge Ch：5%-95%SOC  Dch：0.5C 5%-95%SOC &amp;25℃</t>
    <phoneticPr fontId="4" type="noConversion"/>
  </si>
  <si>
    <t>60min</t>
    <phoneticPr fontId="4" type="noConversion"/>
  </si>
  <si>
    <t>工步63-83工步 共测试5次</t>
    <phoneticPr fontId="4" type="noConversion"/>
  </si>
  <si>
    <t>循环50次</t>
    <phoneticPr fontId="4" type="noConversion"/>
  </si>
  <si>
    <t>工步43-84  共测试30次</t>
    <phoneticPr fontId="4" type="noConversion"/>
  </si>
  <si>
    <t>程序版本：3.1.1</t>
    <phoneticPr fontId="4" type="noConversion"/>
  </si>
  <si>
    <t>G11E-V1.2-435体系0.5C_0.5C循环数据</t>
  </si>
  <si>
    <t>G11E-V1.2-435体系0.5C_0.5C循环数据</t>
    <phoneticPr fontId="4" type="noConversion"/>
  </si>
  <si>
    <t>是</t>
  </si>
  <si>
    <t>G11E-V1.2-0.5C_0.5C循环</t>
  </si>
  <si>
    <t>G11E-V1.2-0.5C_0.5C循环中检</t>
  </si>
  <si>
    <t>G11E-V1.2-3N3F</t>
  </si>
  <si>
    <t>G11E-V1.2-3N3F中检数据</t>
  </si>
  <si>
    <t>G11E-V1.2-0.5C_0.5C循环DCR</t>
    <phoneticPr fontId="4" type="noConversion"/>
  </si>
  <si>
    <t>DCIR(mΩ),30s</t>
  </si>
  <si>
    <t>DC-IR Rise(%),30s</t>
  </si>
  <si>
    <t>G11E-V1.2-PreB-1N1F 23℃</t>
    <phoneticPr fontId="4" type="noConversion"/>
  </si>
  <si>
    <t>G11E-V1.2-PreB-1N1F 35℃</t>
    <phoneticPr fontId="4" type="noConversion"/>
  </si>
  <si>
    <t>PREB样35度1N1FDCR旧</t>
    <phoneticPr fontId="4" type="noConversion"/>
  </si>
  <si>
    <t>PREB样35度1N1F循环旧</t>
    <phoneticPr fontId="4" type="noConversion"/>
  </si>
  <si>
    <t>PREB样35度1N1F中检旧</t>
    <phoneticPr fontId="4" type="noConversion"/>
  </si>
  <si>
    <t>1#</t>
    <phoneticPr fontId="4" type="noConversion"/>
  </si>
  <si>
    <t>2#</t>
  </si>
  <si>
    <t>3#</t>
  </si>
  <si>
    <t>4#</t>
  </si>
  <si>
    <t>5#</t>
  </si>
  <si>
    <t>6#</t>
  </si>
  <si>
    <t>仅中检一次</t>
  </si>
  <si>
    <t>PreA 435&amp;450</t>
    <phoneticPr fontId="14" type="noConversion"/>
  </si>
  <si>
    <t>注液量
验证</t>
    <phoneticPr fontId="14" type="noConversion"/>
  </si>
  <si>
    <t>3N3F 25℃</t>
    <phoneticPr fontId="4" type="noConversion"/>
  </si>
  <si>
    <t>DFG+QE9
验证</t>
    <phoneticPr fontId="14" type="noConversion"/>
  </si>
  <si>
    <t>1N1F 23℃</t>
    <phoneticPr fontId="4" type="noConversion"/>
  </si>
  <si>
    <t>1N1F 35℃</t>
    <phoneticPr fontId="4" type="noConversion"/>
  </si>
  <si>
    <t>注液量验证25度3N3F中检</t>
  </si>
  <si>
    <t>注液量验证25度3N3F循环</t>
    <phoneticPr fontId="4" type="noConversion"/>
  </si>
  <si>
    <t>注液量验证25度3N3FDCR</t>
  </si>
  <si>
    <t>DFG+QE9-25度3N3F中检</t>
  </si>
  <si>
    <t>DFG+QE9-25度3N3F循环</t>
  </si>
  <si>
    <t>DFG+QE9-25度3N3FDCR</t>
  </si>
  <si>
    <t>39.5g</t>
    <phoneticPr fontId="4" type="noConversion"/>
  </si>
  <si>
    <t>41g</t>
    <phoneticPr fontId="4" type="noConversion"/>
  </si>
  <si>
    <t>42g</t>
    <phoneticPr fontId="4" type="noConversion"/>
  </si>
  <si>
    <t>43g</t>
    <phoneticPr fontId="4" type="noConversion"/>
  </si>
  <si>
    <t>44g</t>
    <phoneticPr fontId="4" type="noConversion"/>
  </si>
  <si>
    <t>45g</t>
    <phoneticPr fontId="4" type="noConversion"/>
  </si>
  <si>
    <t>435-1</t>
    <phoneticPr fontId="4" type="noConversion"/>
  </si>
  <si>
    <t>435-2</t>
  </si>
  <si>
    <t>435-3</t>
  </si>
  <si>
    <t>450-1</t>
    <phoneticPr fontId="4" type="noConversion"/>
  </si>
  <si>
    <t>450-2</t>
  </si>
  <si>
    <t>450-3</t>
  </si>
  <si>
    <t>G11E-V1.2-3N3F-DCR</t>
    <phoneticPr fontId="4" type="noConversion"/>
  </si>
  <si>
    <t>G11E-V1.2-PreA-0.5C_0.5C循环 25℃</t>
  </si>
  <si>
    <t>G11E-V1.2-PreA-0.5C_0.5C循环 25℃</t>
    <phoneticPr fontId="4" type="noConversion"/>
  </si>
  <si>
    <t>G11E-V1.2-PreA-3N3F 25℃</t>
    <phoneticPr fontId="4" type="noConversion"/>
  </si>
  <si>
    <t>DFG+QE9验证-3N3F 25℃</t>
    <phoneticPr fontId="4" type="noConversion"/>
  </si>
  <si>
    <t>注液量验证-3N3F 25℃</t>
    <phoneticPr fontId="4" type="noConversion"/>
  </si>
  <si>
    <t>Pre B</t>
    <phoneticPr fontId="14" type="noConversion"/>
  </si>
  <si>
    <t>验证方案</t>
    <phoneticPr fontId="4" type="noConversion"/>
  </si>
  <si>
    <t>循环周数</t>
    <phoneticPr fontId="4" type="noConversion"/>
  </si>
  <si>
    <t>放电能量</t>
    <phoneticPr fontId="4" type="noConversion"/>
  </si>
  <si>
    <t>能量保持率</t>
    <phoneticPr fontId="4" type="noConversion"/>
  </si>
  <si>
    <t>放电容量</t>
    <phoneticPr fontId="4" type="noConversion"/>
  </si>
  <si>
    <t>容量保持率</t>
    <phoneticPr fontId="4" type="noConversion"/>
  </si>
  <si>
    <t>工步号</t>
    <phoneticPr fontId="4" type="noConversion"/>
  </si>
  <si>
    <t>容量/Ah</t>
    <phoneticPr fontId="4" type="noConversion"/>
  </si>
  <si>
    <t>能量/Wh</t>
    <phoneticPr fontId="4" type="noConversion"/>
  </si>
  <si>
    <t>90%</t>
    <phoneticPr fontId="4" type="noConversion"/>
  </si>
  <si>
    <t>50%</t>
    <phoneticPr fontId="4" type="noConversion"/>
  </si>
  <si>
    <t>10%</t>
    <phoneticPr fontId="4" type="noConversion"/>
  </si>
  <si>
    <t>显示工步号</t>
    <phoneticPr fontId="4" type="noConversion"/>
  </si>
  <si>
    <t>3N3F</t>
    <phoneticPr fontId="4" type="noConversion"/>
  </si>
  <si>
    <t>435-1</t>
  </si>
  <si>
    <t>450-1</t>
  </si>
  <si>
    <t>显示工步号</t>
    <phoneticPr fontId="4" type="noConversion"/>
  </si>
  <si>
    <t>PREB样23度1N1F循环旧</t>
    <phoneticPr fontId="4" type="noConversion"/>
  </si>
  <si>
    <t>PREB样23度1N1F中检旧</t>
    <phoneticPr fontId="4" type="noConversion"/>
  </si>
  <si>
    <t>PREB样23度1N1FDCR旧</t>
    <phoneticPr fontId="4" type="noConversion"/>
  </si>
  <si>
    <t>循环周数</t>
    <phoneticPr fontId="4" type="noConversion"/>
  </si>
  <si>
    <t>放电能量</t>
    <phoneticPr fontId="4" type="noConversion"/>
  </si>
  <si>
    <t>能量保持率</t>
    <phoneticPr fontId="4" type="noConversion"/>
  </si>
  <si>
    <t>放电容量</t>
    <phoneticPr fontId="4" type="noConversion"/>
  </si>
  <si>
    <t>容量保持率</t>
    <phoneticPr fontId="4" type="noConversion"/>
  </si>
  <si>
    <t>工步号</t>
    <phoneticPr fontId="4" type="noConversion"/>
  </si>
  <si>
    <t>容量/Ah</t>
    <phoneticPr fontId="4" type="noConversion"/>
  </si>
  <si>
    <t>能量/Wh</t>
    <phoneticPr fontId="4" type="noConversion"/>
  </si>
  <si>
    <t>90%</t>
    <phoneticPr fontId="4" type="noConversion"/>
  </si>
  <si>
    <t>50%</t>
    <phoneticPr fontId="4" type="noConversion"/>
  </si>
  <si>
    <t>10%</t>
    <phoneticPr fontId="4" type="noConversion"/>
  </si>
  <si>
    <t>435体系无CNT验证</t>
    <phoneticPr fontId="14" type="noConversion"/>
  </si>
  <si>
    <t>435体系无CNT验证23度1N1FDCR</t>
  </si>
  <si>
    <t>435体系无CNT验证23度1N1F循环</t>
  </si>
  <si>
    <t>435体系无CNT验证23度1N1F中检</t>
  </si>
  <si>
    <r>
      <t>435</t>
    </r>
    <r>
      <rPr>
        <b/>
        <sz val="10"/>
        <color rgb="FF172B4D"/>
        <rFont val="微软雅黑"/>
        <family val="2"/>
        <charset val="134"/>
      </rPr>
      <t>正极无CNT-1N1F-23℃</t>
    </r>
    <phoneticPr fontId="4" type="noConversion"/>
  </si>
  <si>
    <t>7#</t>
  </si>
  <si>
    <t>8#</t>
  </si>
  <si>
    <t>9#</t>
  </si>
  <si>
    <t>10#</t>
  </si>
  <si>
    <r>
      <t>435</t>
    </r>
    <r>
      <rPr>
        <b/>
        <sz val="10"/>
        <color rgb="FF172B4D"/>
        <rFont val="微软雅黑"/>
        <family val="2"/>
        <charset val="134"/>
      </rPr>
      <t>正极无CNT-1N1F-35℃</t>
    </r>
    <phoneticPr fontId="4" type="noConversion"/>
  </si>
  <si>
    <t>435体系无CNT验证35度1N1F中检</t>
  </si>
  <si>
    <t>435体系无CNT验证35度1N1FDCR</t>
  </si>
  <si>
    <t>435体系无CNT验证35度1N1F循环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</si>
</sst>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sz val="11"/>
      <color rgb="FF000000"/>
      <name val="等线"/>
      <family val="3"/>
      <charset val="134"/>
    </font>
    <font>
      <b/>
      <sz val="10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9"/>
      <name val="等线"/>
      <family val="3"/>
      <charset val="134"/>
      <scheme val="minor"/>
    </font>
    <font>
      <b/>
      <sz val="10"/>
      <color rgb="FF172B4D"/>
      <name val="微软雅黑"/>
      <family val="2"/>
      <charset val="134"/>
    </font>
  </fonts>
  <fills count="1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D501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6699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rgb="FFADD8E6"/>
      </left>
      <right style="thin">
        <color rgb="FFADD8E6"/>
      </right>
      <top style="thin">
        <color rgb="FFADD8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1" fillId="0" borderId="0">
      <alignment vertical="top"/>
      <protection locked="0"/>
    </xf>
  </cellStyleXfs>
  <cellXfs count="8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9" fillId="0" borderId="0" xfId="0" applyFon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0" fillId="4" borderId="0" xfId="0" applyFill="1" applyAlignment="1">
      <alignment horizontal="center" vertical="center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58" fontId="0" fillId="0" borderId="0" xfId="0" applyNumberForma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8" borderId="21" xfId="0" applyFont="1" applyFill="1" applyBorder="1" applyAlignment="1">
      <alignment horizontal="center" vertical="center"/>
    </xf>
    <xf numFmtId="0" fontId="0" fillId="6" borderId="21" xfId="0" applyFont="1" applyFill="1" applyBorder="1" applyAlignment="1">
      <alignment horizontal="center" vertical="center"/>
    </xf>
    <xf numFmtId="0" fontId="0" fillId="10" borderId="21" xfId="0" applyFont="1" applyFill="1" applyBorder="1" applyAlignment="1">
      <alignment horizontal="center" vertical="center"/>
    </xf>
    <xf numFmtId="0" fontId="0" fillId="11" borderId="21" xfId="0" applyFont="1" applyFill="1" applyBorder="1" applyAlignment="1">
      <alignment horizontal="center" vertical="center"/>
    </xf>
    <xf numFmtId="0" fontId="0" fillId="5" borderId="21" xfId="0" applyFont="1" applyFill="1" applyBorder="1" applyAlignment="1">
      <alignment horizontal="center" vertical="center"/>
    </xf>
    <xf numFmtId="0" fontId="0" fillId="9" borderId="21" xfId="0" applyFont="1" applyFill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27" xfId="0" applyBorder="1">
      <alignment vertical="center"/>
    </xf>
    <xf numFmtId="0" fontId="0" fillId="0" borderId="0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9" fillId="12" borderId="6" xfId="0" applyFont="1" applyFill="1" applyBorder="1" applyAlignment="1">
      <alignment horizontal="center" vertical="center"/>
    </xf>
    <xf numFmtId="0" fontId="0" fillId="12" borderId="12" xfId="0" applyFill="1" applyBorder="1">
      <alignment vertical="center"/>
    </xf>
    <xf numFmtId="0" fontId="0" fillId="12" borderId="0" xfId="0" applyFill="1" applyBorder="1">
      <alignment vertical="center"/>
    </xf>
    <xf numFmtId="0" fontId="0" fillId="12" borderId="0" xfId="0" applyFill="1">
      <alignment vertical="center"/>
    </xf>
    <xf numFmtId="0" fontId="9" fillId="0" borderId="0" xfId="0" applyFont="1" applyAlignment="1">
      <alignment horizontal="center" vertical="center"/>
    </xf>
    <xf numFmtId="0" fontId="0" fillId="13" borderId="3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13" borderId="3" xfId="0" applyFont="1" applyFill="1" applyBorder="1" applyAlignment="1" applyProtection="1">
      <alignment horizontal="center" vertical="center"/>
      <protection locked="0"/>
    </xf>
    <xf numFmtId="0" fontId="0" fillId="0" borderId="3" xfId="0" applyFont="1" applyBorder="1" applyAlignment="1" applyProtection="1">
      <alignment horizontal="center" vertical="center"/>
      <protection locked="0"/>
    </xf>
    <xf numFmtId="0" fontId="9" fillId="0" borderId="6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14" borderId="21" xfId="0" applyFont="1" applyFill="1" applyBorder="1" applyAlignment="1">
      <alignment horizontal="center" vertical="center"/>
    </xf>
    <xf numFmtId="0" fontId="0" fillId="15" borderId="21" xfId="0" applyFont="1" applyFill="1" applyBorder="1" applyAlignment="1">
      <alignment horizontal="center" vertical="center"/>
    </xf>
    <xf numFmtId="0" fontId="0" fillId="16" borderId="21" xfId="0" applyFont="1" applyFill="1" applyBorder="1" applyAlignment="1">
      <alignment horizontal="center" vertical="center"/>
    </xf>
    <xf numFmtId="0" fontId="0" fillId="17" borderId="21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12" fillId="4" borderId="20" xfId="0" applyFont="1" applyFill="1" applyBorder="1" applyAlignment="1">
      <alignment horizontal="center" vertical="center"/>
    </xf>
    <xf numFmtId="0" fontId="12" fillId="4" borderId="21" xfId="0" applyFont="1" applyFill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center" vertical="center"/>
    </xf>
    <xf numFmtId="0" fontId="12" fillId="3" borderId="13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left" vertical="center"/>
    </xf>
    <xf numFmtId="0" fontId="0" fillId="0" borderId="18" xfId="0" applyFill="1" applyBorder="1" applyAlignment="1">
      <alignment horizontal="left" vertical="center"/>
    </xf>
    <xf numFmtId="0" fontId="0" fillId="0" borderId="19" xfId="0" applyFill="1" applyBorder="1" applyAlignment="1">
      <alignment horizontal="left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/>
    </xf>
    <xf numFmtId="0" fontId="0" fillId="0" borderId="16" xfId="0" applyFill="1" applyBorder="1" applyAlignment="1">
      <alignment horizontal="left" vertical="center"/>
    </xf>
    <xf numFmtId="0" fontId="13" fillId="7" borderId="22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</cellXfs>
  <cellStyles count="6">
    <cellStyle name="百分比 2" xfId="2" xr:uid="{EB487C2C-D6E3-4C72-AAC6-D2FF6568023A}"/>
    <cellStyle name="百分比 3" xfId="5" xr:uid="{85AC1B72-384E-42BE-B10E-E3BA641A7C11}"/>
    <cellStyle name="常规" xfId="0" builtinId="0"/>
    <cellStyle name="常规 2" xfId="1" xr:uid="{22406A7A-F79F-4A48-95DB-7AAB1E764062}"/>
    <cellStyle name="常规 2 10 2" xfId="4" xr:uid="{F5A6CFAA-6CE9-47EA-8100-90B4FC41E413}"/>
    <cellStyle name="常规 6 2" xfId="3" xr:uid="{598BECCF-305F-4885-910D-AA70D9643A71}"/>
  </cellStyles>
  <dxfs count="190"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numFmt numFmtId="0" formatCode="General"/>
      <alignment horizontal="left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indent="0" justifyLastLine="0" shrinkToFit="0" readingOrder="0"/>
      <protection locked="0" hidden="0"/>
    </dxf>
    <dxf>
      <protection locked="0" hidden="0"/>
    </dxf>
    <dxf>
      <alignment horizontal="center" vertical="center" textRotation="0" wrapText="1" indent="0" justifyLastLine="0" shrinkToFit="0" readingOrder="0"/>
    </dxf>
    <dxf>
      <font>
        <strike/>
        <color theme="0" tint="-0.34998626667073579"/>
      </font>
      <fill>
        <patternFill>
          <bgColor theme="2"/>
        </patternFill>
      </fill>
    </dxf>
    <dxf>
      <font>
        <strike/>
        <color theme="0" tint="-0.34998626667073579"/>
      </font>
      <fill>
        <patternFill>
          <bgColor theme="2"/>
        </patternFill>
      </fill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6699"/>
      <color rgb="FF009999"/>
      <color rgb="FF669900"/>
      <color rgb="FFFF3399"/>
      <color rgb="FF00CC99"/>
      <color rgb="FFFF6600"/>
      <color rgb="FF9966FF"/>
      <color rgb="FFCC3300"/>
      <color rgb="FF6600CC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G11E-V1.2-PreA-3N3F 25℃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435-1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19-4AF6-8606-BA9713E30305}"/>
            </c:ext>
          </c:extLst>
        </c:ser>
        <c:ser>
          <c:idx val="1"/>
          <c:order val="1"/>
          <c:tx>
            <c:v>435-2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19-4AF6-8606-BA9713E30305}"/>
            </c:ext>
          </c:extLst>
        </c:ser>
        <c:ser>
          <c:idx val="2"/>
          <c:order val="2"/>
          <c:tx>
            <c:v>435-3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19-4AF6-8606-BA9713E30305}"/>
            </c:ext>
          </c:extLst>
        </c:ser>
        <c:ser>
          <c:idx val="3"/>
          <c:order val="3"/>
          <c:tx>
            <c:v>450-1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19-4AF6-8606-BA9713E30305}"/>
            </c:ext>
          </c:extLst>
        </c:ser>
        <c:ser>
          <c:idx val="4"/>
          <c:order val="4"/>
          <c:tx>
            <c:v>450-2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19-4AF6-8606-BA9713E30305}"/>
            </c:ext>
          </c:extLst>
        </c:ser>
        <c:ser>
          <c:idx val="5"/>
          <c:order val="5"/>
          <c:tx>
            <c:v>450-3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919-4AF6-8606-BA9713E30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425440"/>
        <c:axId val="1398530720"/>
      </c:scatterChart>
      <c:valAx>
        <c:axId val="1116425440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398530720"/>
        <c:crosses val="autoZero"/>
        <c:crossBetween val="midCat"/>
      </c:valAx>
      <c:valAx>
        <c:axId val="1398530720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Capacity Retention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116425440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76985464427171557"/>
          <c:y val="0.15276293861325588"/>
          <c:w val="0.18937872906731729"/>
          <c:h val="0.31730708661417323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400">
                <a:latin typeface="Times New Roman"/>
                <a:ea typeface="Times New Roman"/>
                <a:cs typeface="Times New Roman"/>
              </a:defRPr>
            </a:pPr>
            <a:r>
              <a:rPr lang="zh-CN"/>
              <a:t>注液量验证</a:t>
            </a:r>
            <a:r>
              <a:rPr lang="en-US"/>
              <a:t>-3N3F 25℃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39.5g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84-429F-80F1-AF0292F4BB2C}"/>
            </c:ext>
          </c:extLst>
        </c:ser>
        <c:ser>
          <c:idx val="1"/>
          <c:order val="1"/>
          <c:tx>
            <c:v>0002#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84-429F-80F1-AF0292F4BB2C}"/>
            </c:ext>
          </c:extLst>
        </c:ser>
        <c:ser>
          <c:idx val="2"/>
          <c:order val="2"/>
          <c:tx>
            <c:v>0003#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84-429F-80F1-AF0292F4BB2C}"/>
            </c:ext>
          </c:extLst>
        </c:ser>
        <c:ser>
          <c:idx val="3"/>
          <c:order val="3"/>
          <c:tx>
            <c:v>41g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84-429F-80F1-AF0292F4BB2C}"/>
            </c:ext>
          </c:extLst>
        </c:ser>
        <c:ser>
          <c:idx val="4"/>
          <c:order val="4"/>
          <c:tx>
            <c:v>0005#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84-429F-80F1-AF0292F4BB2C}"/>
            </c:ext>
          </c:extLst>
        </c:ser>
        <c:ser>
          <c:idx val="5"/>
          <c:order val="5"/>
          <c:tx>
            <c:v>0006#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84-429F-80F1-AF0292F4BB2C}"/>
            </c:ext>
          </c:extLst>
        </c:ser>
        <c:ser>
          <c:idx val="6"/>
          <c:order val="6"/>
          <c:tx>
            <c:v>42g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E84-429F-80F1-AF0292F4BB2C}"/>
            </c:ext>
          </c:extLst>
        </c:ser>
        <c:ser>
          <c:idx val="7"/>
          <c:order val="7"/>
          <c:tx>
            <c:v>0008#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E84-429F-80F1-AF0292F4BB2C}"/>
            </c:ext>
          </c:extLst>
        </c:ser>
        <c:ser>
          <c:idx val="8"/>
          <c:order val="8"/>
          <c:tx>
            <c:v>0009#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E84-429F-80F1-AF0292F4BB2C}"/>
            </c:ext>
          </c:extLst>
        </c:ser>
        <c:ser>
          <c:idx val="9"/>
          <c:order val="9"/>
          <c:tx>
            <c:v>43g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E84-429F-80F1-AF0292F4BB2C}"/>
            </c:ext>
          </c:extLst>
        </c:ser>
        <c:ser>
          <c:idx val="10"/>
          <c:order val="10"/>
          <c:tx>
            <c:v>0011#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E84-429F-80F1-AF0292F4BB2C}"/>
            </c:ext>
          </c:extLst>
        </c:ser>
        <c:ser>
          <c:idx val="11"/>
          <c:order val="11"/>
          <c:tx>
            <c:v>0012#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E84-429F-80F1-AF0292F4BB2C}"/>
            </c:ext>
          </c:extLst>
        </c:ser>
        <c:ser>
          <c:idx val="12"/>
          <c:order val="12"/>
          <c:tx>
            <c:v>44g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E84-429F-80F1-AF0292F4BB2C}"/>
            </c:ext>
          </c:extLst>
        </c:ser>
        <c:ser>
          <c:idx val="13"/>
          <c:order val="13"/>
          <c:tx>
            <c:v>0014#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E84-429F-80F1-AF0292F4BB2C}"/>
            </c:ext>
          </c:extLst>
        </c:ser>
        <c:ser>
          <c:idx val="14"/>
          <c:order val="14"/>
          <c:tx>
            <c:v>0015#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E84-429F-80F1-AF0292F4BB2C}"/>
            </c:ext>
          </c:extLst>
        </c:ser>
        <c:ser>
          <c:idx val="15"/>
          <c:order val="15"/>
          <c:tx>
            <c:v>45g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E84-429F-80F1-AF0292F4BB2C}"/>
            </c:ext>
          </c:extLst>
        </c:ser>
        <c:ser>
          <c:idx val="16"/>
          <c:order val="16"/>
          <c:tx>
            <c:v>0017#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E84-429F-80F1-AF0292F4BB2C}"/>
            </c:ext>
          </c:extLst>
        </c:ser>
        <c:ser>
          <c:idx val="17"/>
          <c:order val="17"/>
          <c:tx>
            <c:v>0018#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E84-429F-80F1-AF0292F4B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604960"/>
        <c:axId val="1636576208"/>
      </c:scatterChart>
      <c:valAx>
        <c:axId val="1400604960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636576208"/>
        <c:crosses val="autoZero"/>
        <c:crossBetween val="midCat"/>
      </c:valAx>
      <c:valAx>
        <c:axId val="1636576208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Capacity Retention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400604960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6"/>
        <c:delete val="1"/>
      </c:legendEntry>
      <c:legendEntry>
        <c:idx val="17"/>
        <c:delete val="1"/>
      </c:legendEntry>
      <c:layout>
        <c:manualLayout>
          <c:xMode val="edge"/>
          <c:yMode val="edge"/>
          <c:x val="0.75679982502187215"/>
          <c:y val="0.15186167979002624"/>
          <c:w val="0.17444444444444443"/>
          <c:h val="0.30666666666666664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DFG+QE9</a:t>
            </a:r>
            <a:r>
              <a:rPr lang="zh-CN"/>
              <a:t>验证</a:t>
            </a:r>
            <a:r>
              <a:rPr lang="en-US"/>
              <a:t>-3N3F 25℃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A7-4FB8-9E1B-F8C8EF9255CE}"/>
            </c:ext>
          </c:extLst>
        </c:ser>
        <c:ser>
          <c:idx val="1"/>
          <c:order val="1"/>
          <c:tx>
            <c:v>2#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A7-4FB8-9E1B-F8C8EF9255CE}"/>
            </c:ext>
          </c:extLst>
        </c:ser>
        <c:ser>
          <c:idx val="2"/>
          <c:order val="2"/>
          <c:tx>
            <c:v>3#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A7-4FB8-9E1B-F8C8EF9255CE}"/>
            </c:ext>
          </c:extLst>
        </c:ser>
        <c:ser>
          <c:idx val="3"/>
          <c:order val="3"/>
          <c:tx>
            <c:v>4#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A7-4FB8-9E1B-F8C8EF9255CE}"/>
            </c:ext>
          </c:extLst>
        </c:ser>
        <c:ser>
          <c:idx val="4"/>
          <c:order val="4"/>
          <c:tx>
            <c:v>5#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AA7-4FB8-9E1B-F8C8EF9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323520"/>
        <c:axId val="1384671616"/>
      </c:scatterChart>
      <c:valAx>
        <c:axId val="1493323520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384671616"/>
        <c:crosses val="autoZero"/>
        <c:crossBetween val="midCat"/>
      </c:valAx>
      <c:valAx>
        <c:axId val="1384671616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Capacity Retention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493323520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80921937737915206"/>
          <c:y val="0.12519501312335962"/>
          <c:w val="0.15289190175731346"/>
          <c:h val="0.35646650596884677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G11E-V1.2-PreB-1N1F 23℃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A2-4E7B-8955-D606612E364B}"/>
            </c:ext>
          </c:extLst>
        </c:ser>
        <c:ser>
          <c:idx val="1"/>
          <c:order val="1"/>
          <c:tx>
            <c:v>2#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A2-4E7B-8955-D606612E364B}"/>
            </c:ext>
          </c:extLst>
        </c:ser>
        <c:ser>
          <c:idx val="2"/>
          <c:order val="2"/>
          <c:tx>
            <c:v>3#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A2-4E7B-8955-D606612E364B}"/>
            </c:ext>
          </c:extLst>
        </c:ser>
        <c:ser>
          <c:idx val="3"/>
          <c:order val="3"/>
          <c:tx>
            <c:v>4#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A2-4E7B-8955-D606612E364B}"/>
            </c:ext>
          </c:extLst>
        </c:ser>
        <c:ser>
          <c:idx val="4"/>
          <c:order val="4"/>
          <c:tx>
            <c:v>5#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5A2-4E7B-8955-D606612E3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4459248"/>
        <c:axId val="1394726480"/>
      </c:scatterChart>
      <c:valAx>
        <c:axId val="1394459248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394726480"/>
        <c:crosses val="autoZero"/>
        <c:crossBetween val="midCat"/>
      </c:valAx>
      <c:valAx>
        <c:axId val="1394726480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Capacity Retention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394459248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80145359966708285"/>
          <c:y val="0.14922519509476034"/>
          <c:w val="0.13687473990844778"/>
          <c:h val="0.3037510838597795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G11E-V1.2-PreB-1N1F 35℃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99-4907-8C22-EE2806B5A08B}"/>
            </c:ext>
          </c:extLst>
        </c:ser>
        <c:ser>
          <c:idx val="1"/>
          <c:order val="1"/>
          <c:tx>
            <c:v>2#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99-4907-8C22-EE2806B5A08B}"/>
            </c:ext>
          </c:extLst>
        </c:ser>
        <c:ser>
          <c:idx val="2"/>
          <c:order val="2"/>
          <c:tx>
            <c:v>3#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99-4907-8C22-EE2806B5A08B}"/>
            </c:ext>
          </c:extLst>
        </c:ser>
        <c:ser>
          <c:idx val="3"/>
          <c:order val="3"/>
          <c:tx>
            <c:v>4#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99-4907-8C22-EE2806B5A08B}"/>
            </c:ext>
          </c:extLst>
        </c:ser>
        <c:ser>
          <c:idx val="4"/>
          <c:order val="4"/>
          <c:tx>
            <c:v>5#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99-4907-8C22-EE2806B5A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19567"/>
        <c:axId val="860040511"/>
      </c:scatterChart>
      <c:valAx>
        <c:axId val="488919567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860040511"/>
        <c:crosses val="autoZero"/>
        <c:crossBetween val="midCat"/>
      </c:valAx>
      <c:valAx>
        <c:axId val="860040511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Capacity Retention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488919567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79879238258645002"/>
          <c:y val="0.14136706159639842"/>
          <c:w val="0.14481647957379581"/>
          <c:h val="0.2880291804371613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435</a:t>
            </a:r>
            <a:r>
              <a:rPr lang="zh-CN"/>
              <a:t>正极无</a:t>
            </a:r>
            <a:r>
              <a:rPr lang="en-US"/>
              <a:t>CNT-1N1F-23℃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16-4E36-8DB6-4B50941036E4}"/>
            </c:ext>
          </c:extLst>
        </c:ser>
        <c:ser>
          <c:idx val="1"/>
          <c:order val="1"/>
          <c:tx>
            <c:v>2#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16-4E36-8DB6-4B50941036E4}"/>
            </c:ext>
          </c:extLst>
        </c:ser>
        <c:ser>
          <c:idx val="2"/>
          <c:order val="2"/>
          <c:tx>
            <c:v>3#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16-4E36-8DB6-4B50941036E4}"/>
            </c:ext>
          </c:extLst>
        </c:ser>
        <c:ser>
          <c:idx val="3"/>
          <c:order val="3"/>
          <c:tx>
            <c:v>4#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16-4E36-8DB6-4B50941036E4}"/>
            </c:ext>
          </c:extLst>
        </c:ser>
        <c:ser>
          <c:idx val="4"/>
          <c:order val="4"/>
          <c:tx>
            <c:v>5#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16-4E36-8DB6-4B50941036E4}"/>
            </c:ext>
          </c:extLst>
        </c:ser>
        <c:ser>
          <c:idx val="5"/>
          <c:order val="5"/>
          <c:tx>
            <c:v>6#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16-4E36-8DB6-4B50941036E4}"/>
            </c:ext>
          </c:extLst>
        </c:ser>
        <c:ser>
          <c:idx val="6"/>
          <c:order val="6"/>
          <c:tx>
            <c:v>7#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116-4E36-8DB6-4B50941036E4}"/>
            </c:ext>
          </c:extLst>
        </c:ser>
        <c:ser>
          <c:idx val="7"/>
          <c:order val="7"/>
          <c:tx>
            <c:v>8#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16-4E36-8DB6-4B50941036E4}"/>
            </c:ext>
          </c:extLst>
        </c:ser>
        <c:ser>
          <c:idx val="8"/>
          <c:order val="8"/>
          <c:tx>
            <c:v>9#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116-4E36-8DB6-4B50941036E4}"/>
            </c:ext>
          </c:extLst>
        </c:ser>
        <c:ser>
          <c:idx val="9"/>
          <c:order val="9"/>
          <c:tx>
            <c:v>10#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16-4E36-8DB6-4B5094103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804144"/>
        <c:axId val="738077968"/>
      </c:scatterChart>
      <c:valAx>
        <c:axId val="631804144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738077968"/>
        <c:crosses val="autoZero"/>
        <c:crossBetween val="midCat"/>
      </c:valAx>
      <c:valAx>
        <c:axId val="738077968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Capacity Retention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631804144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87544444444444447"/>
          <c:y val="0.12519501312335962"/>
          <c:w val="9.6666666666666665E-2"/>
          <c:h val="0.5288451443569554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435</a:t>
            </a:r>
            <a:r>
              <a:rPr lang="zh-CN"/>
              <a:t>正极无</a:t>
            </a:r>
            <a:r>
              <a:rPr lang="en-US"/>
              <a:t>CNT-1N1F-35℃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06-47F6-9671-CE59F7D5F108}"/>
            </c:ext>
          </c:extLst>
        </c:ser>
        <c:ser>
          <c:idx val="1"/>
          <c:order val="1"/>
          <c:tx>
            <c:v>2#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06-47F6-9671-CE59F7D5F108}"/>
            </c:ext>
          </c:extLst>
        </c:ser>
        <c:ser>
          <c:idx val="2"/>
          <c:order val="2"/>
          <c:tx>
            <c:v>3#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06-47F6-9671-CE59F7D5F108}"/>
            </c:ext>
          </c:extLst>
        </c:ser>
        <c:ser>
          <c:idx val="3"/>
          <c:order val="3"/>
          <c:tx>
            <c:v>4#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06-47F6-9671-CE59F7D5F108}"/>
            </c:ext>
          </c:extLst>
        </c:ser>
        <c:ser>
          <c:idx val="4"/>
          <c:order val="4"/>
          <c:tx>
            <c:v>5#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C06-47F6-9671-CE59F7D5F108}"/>
            </c:ext>
          </c:extLst>
        </c:ser>
        <c:ser>
          <c:idx val="5"/>
          <c:order val="5"/>
          <c:tx>
            <c:v>6#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C06-47F6-9671-CE59F7D5F108}"/>
            </c:ext>
          </c:extLst>
        </c:ser>
        <c:ser>
          <c:idx val="6"/>
          <c:order val="6"/>
          <c:tx>
            <c:v>7#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C06-47F6-9671-CE59F7D5F108}"/>
            </c:ext>
          </c:extLst>
        </c:ser>
        <c:ser>
          <c:idx val="7"/>
          <c:order val="7"/>
          <c:tx>
            <c:v>8#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C06-47F6-9671-CE59F7D5F108}"/>
            </c:ext>
          </c:extLst>
        </c:ser>
        <c:ser>
          <c:idx val="8"/>
          <c:order val="8"/>
          <c:tx>
            <c:v>9#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C06-47F6-9671-CE59F7D5F108}"/>
            </c:ext>
          </c:extLst>
        </c:ser>
        <c:ser>
          <c:idx val="9"/>
          <c:order val="9"/>
          <c:tx>
            <c:v>10#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C06-47F6-9671-CE59F7D5F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1792672"/>
        <c:axId val="377405744"/>
      </c:scatterChart>
      <c:valAx>
        <c:axId val="711792672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377405744"/>
        <c:crosses val="autoZero"/>
        <c:crossBetween val="midCat"/>
      </c:valAx>
      <c:valAx>
        <c:axId val="377405744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Capacity Retention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711792672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87544444444444447"/>
          <c:y val="0.12519501312335962"/>
          <c:w val="9.6666666666666665E-2"/>
          <c:h val="0.5288451443569554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G11E-V1.2-PreA-0.5C_0.5C</a:t>
            </a:r>
            <a:r>
              <a:rPr lang="zh-CN"/>
              <a:t>循环 </a:t>
            </a:r>
            <a:r>
              <a:rPr lang="en-US"/>
              <a:t>25℃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435-1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大小中检!$O$3:$O$486</c:f>
              <c:numCache>
                <c:formatCode>General</c:formatCode>
                <c:ptCount val="4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</c:numCache>
            </c:numRef>
          </c:xVal>
          <c:yVal>
            <c:numRef>
              <c:f>大小中检!$S$3:$S$486</c:f>
              <c:numCache>
                <c:formatCode>0.00%</c:formatCode>
                <c:ptCount val="484"/>
                <c:pt idx="0">
                  <c:v>1</c:v>
                </c:pt>
                <c:pt idx="1">
                  <c:v>1.000707255260211</c:v>
                </c:pt>
                <c:pt idx="2">
                  <c:v>1.0005893793835092</c:v>
                </c:pt>
                <c:pt idx="3">
                  <c:v>1.0006483173218603</c:v>
                </c:pt>
                <c:pt idx="4">
                  <c:v>1.000707255260211</c:v>
                </c:pt>
                <c:pt idx="5">
                  <c:v>1.0007956621677374</c:v>
                </c:pt>
                <c:pt idx="6">
                  <c:v>1.0006777862910357</c:v>
                </c:pt>
                <c:pt idx="7">
                  <c:v>1.0002946896917548</c:v>
                </c:pt>
                <c:pt idx="8">
                  <c:v>1.000117875876702</c:v>
                </c:pt>
                <c:pt idx="9">
                  <c:v>0.99982318618494725</c:v>
                </c:pt>
                <c:pt idx="10">
                  <c:v>0.99997053103082456</c:v>
                </c:pt>
                <c:pt idx="11">
                  <c:v>0.9998526551541228</c:v>
                </c:pt>
                <c:pt idx="12">
                  <c:v>0.99944008958566632</c:v>
                </c:pt>
                <c:pt idx="13">
                  <c:v>0.99944008958566632</c:v>
                </c:pt>
                <c:pt idx="14">
                  <c:v>0.99920433783226259</c:v>
                </c:pt>
                <c:pt idx="15">
                  <c:v>0.99929274473978902</c:v>
                </c:pt>
                <c:pt idx="16">
                  <c:v>0.99905699298638539</c:v>
                </c:pt>
                <c:pt idx="17">
                  <c:v>0.99899805504803441</c:v>
                </c:pt>
                <c:pt idx="18">
                  <c:v>0.99917486886308726</c:v>
                </c:pt>
                <c:pt idx="19">
                  <c:v>0.99885071020215732</c:v>
                </c:pt>
                <c:pt idx="20">
                  <c:v>0.99811398597277068</c:v>
                </c:pt>
                <c:pt idx="21">
                  <c:v>0.99743619968173525</c:v>
                </c:pt>
                <c:pt idx="22">
                  <c:v>0.99708257205162976</c:v>
                </c:pt>
                <c:pt idx="23">
                  <c:v>0.99705310308245432</c:v>
                </c:pt>
                <c:pt idx="24">
                  <c:v>0.996964696174928</c:v>
                </c:pt>
                <c:pt idx="25">
                  <c:v>0.99643425472976965</c:v>
                </c:pt>
                <c:pt idx="26">
                  <c:v>0.99619850297636592</c:v>
                </c:pt>
                <c:pt idx="27">
                  <c:v>0.99619850297636592</c:v>
                </c:pt>
                <c:pt idx="28">
                  <c:v>0.99619850297636592</c:v>
                </c:pt>
                <c:pt idx="29">
                  <c:v>0.99619850297636592</c:v>
                </c:pt>
                <c:pt idx="30">
                  <c:v>0.99563859256203224</c:v>
                </c:pt>
                <c:pt idx="31">
                  <c:v>0.99528496493192675</c:v>
                </c:pt>
                <c:pt idx="32">
                  <c:v>0.99552071668533026</c:v>
                </c:pt>
                <c:pt idx="33">
                  <c:v>0.99552071668533026</c:v>
                </c:pt>
                <c:pt idx="34">
                  <c:v>0.99519655802440044</c:v>
                </c:pt>
                <c:pt idx="35">
                  <c:v>0.99484293039429494</c:v>
                </c:pt>
                <c:pt idx="36">
                  <c:v>0.99413567513408385</c:v>
                </c:pt>
                <c:pt idx="37">
                  <c:v>0.99404726822655753</c:v>
                </c:pt>
                <c:pt idx="38">
                  <c:v>0.9940177992573821</c:v>
                </c:pt>
                <c:pt idx="39">
                  <c:v>0.99360523368892562</c:v>
                </c:pt>
                <c:pt idx="40">
                  <c:v>0.99286850945953919</c:v>
                </c:pt>
                <c:pt idx="41">
                  <c:v>0.99254435079860903</c:v>
                </c:pt>
                <c:pt idx="42">
                  <c:v>0.99254435079860903</c:v>
                </c:pt>
                <c:pt idx="43">
                  <c:v>0.99275063358283744</c:v>
                </c:pt>
                <c:pt idx="44">
                  <c:v>0.99248541286025826</c:v>
                </c:pt>
                <c:pt idx="45">
                  <c:v>0.99195497141510003</c:v>
                </c:pt>
                <c:pt idx="46">
                  <c:v>0.99180762656922261</c:v>
                </c:pt>
                <c:pt idx="47">
                  <c:v>0.99118877821653795</c:v>
                </c:pt>
                <c:pt idx="48">
                  <c:v>0.99051099192550263</c:v>
                </c:pt>
                <c:pt idx="49">
                  <c:v>0.98903754346672956</c:v>
                </c:pt>
                <c:pt idx="50">
                  <c:v>0.98838922614486946</c:v>
                </c:pt>
                <c:pt idx="51">
                  <c:v>0.98844816408322045</c:v>
                </c:pt>
                <c:pt idx="52">
                  <c:v>0.98947957800436148</c:v>
                </c:pt>
                <c:pt idx="53">
                  <c:v>0.99059939883302894</c:v>
                </c:pt>
                <c:pt idx="54">
                  <c:v>0.99039311604880065</c:v>
                </c:pt>
                <c:pt idx="55">
                  <c:v>0.98983320563446697</c:v>
                </c:pt>
                <c:pt idx="56">
                  <c:v>0.98992161254199329</c:v>
                </c:pt>
                <c:pt idx="57">
                  <c:v>0.98998055048034428</c:v>
                </c:pt>
                <c:pt idx="58">
                  <c:v>0.98971532975776522</c:v>
                </c:pt>
                <c:pt idx="59">
                  <c:v>0.98903754346672956</c:v>
                </c:pt>
                <c:pt idx="60">
                  <c:v>0.98847763305239589</c:v>
                </c:pt>
                <c:pt idx="61">
                  <c:v>0.98838922614486946</c:v>
                </c:pt>
                <c:pt idx="62">
                  <c:v>0.98835975717569413</c:v>
                </c:pt>
                <c:pt idx="63">
                  <c:v>0.9879766605764132</c:v>
                </c:pt>
                <c:pt idx="64">
                  <c:v>0.98747568810043029</c:v>
                </c:pt>
                <c:pt idx="65">
                  <c:v>0.98718099840867579</c:v>
                </c:pt>
                <c:pt idx="66">
                  <c:v>0.98726940531620222</c:v>
                </c:pt>
                <c:pt idx="67">
                  <c:v>0.98723993634702656</c:v>
                </c:pt>
                <c:pt idx="68">
                  <c:v>0.98718099840867579</c:v>
                </c:pt>
                <c:pt idx="69">
                  <c:v>0.98650321211764014</c:v>
                </c:pt>
                <c:pt idx="70">
                  <c:v>0.9859727706724819</c:v>
                </c:pt>
                <c:pt idx="71">
                  <c:v>0.98585489479578015</c:v>
                </c:pt>
                <c:pt idx="72">
                  <c:v>0.98558967407320097</c:v>
                </c:pt>
                <c:pt idx="73">
                  <c:v>0.98544232922732367</c:v>
                </c:pt>
                <c:pt idx="74">
                  <c:v>0.98458772912123549</c:v>
                </c:pt>
                <c:pt idx="75">
                  <c:v>0.98444038427535807</c:v>
                </c:pt>
                <c:pt idx="76">
                  <c:v>0.9841751635527789</c:v>
                </c:pt>
                <c:pt idx="77">
                  <c:v>0.98352684623091891</c:v>
                </c:pt>
                <c:pt idx="78">
                  <c:v>0.98252490127895331</c:v>
                </c:pt>
                <c:pt idx="79">
                  <c:v>0.9827311840631815</c:v>
                </c:pt>
                <c:pt idx="80">
                  <c:v>0.98311428066246243</c:v>
                </c:pt>
                <c:pt idx="81">
                  <c:v>0.98261330818647974</c:v>
                </c:pt>
                <c:pt idx="82">
                  <c:v>0.98202392880297051</c:v>
                </c:pt>
                <c:pt idx="83">
                  <c:v>0.98128720457358409</c:v>
                </c:pt>
                <c:pt idx="84">
                  <c:v>0.98246596334060243</c:v>
                </c:pt>
                <c:pt idx="85">
                  <c:v>0.982377556433076</c:v>
                </c:pt>
                <c:pt idx="86">
                  <c:v>0.98175870808039134</c:v>
                </c:pt>
                <c:pt idx="87">
                  <c:v>0.98149348735781217</c:v>
                </c:pt>
                <c:pt idx="88">
                  <c:v>0.98108092178935591</c:v>
                </c:pt>
                <c:pt idx="89">
                  <c:v>0.98102198385100492</c:v>
                </c:pt>
                <c:pt idx="90">
                  <c:v>0.98102198385100492</c:v>
                </c:pt>
                <c:pt idx="91">
                  <c:v>0.98096304591265393</c:v>
                </c:pt>
                <c:pt idx="92">
                  <c:v>0.98069782519007498</c:v>
                </c:pt>
                <c:pt idx="93">
                  <c:v>0.98022632168326751</c:v>
                </c:pt>
                <c:pt idx="94">
                  <c:v>0.98019685271409218</c:v>
                </c:pt>
                <c:pt idx="95">
                  <c:v>0.98013791477574119</c:v>
                </c:pt>
                <c:pt idx="96">
                  <c:v>0.98013791477574119</c:v>
                </c:pt>
                <c:pt idx="97">
                  <c:v>0.97966641126893383</c:v>
                </c:pt>
                <c:pt idx="98">
                  <c:v>0.97931278363882834</c:v>
                </c:pt>
                <c:pt idx="99">
                  <c:v>0.97910650085460027</c:v>
                </c:pt>
                <c:pt idx="100">
                  <c:v>0.97928331466965302</c:v>
                </c:pt>
                <c:pt idx="101">
                  <c:v>0.97898862497789829</c:v>
                </c:pt>
                <c:pt idx="102">
                  <c:v>0.97842871456356462</c:v>
                </c:pt>
                <c:pt idx="103">
                  <c:v>0.97792774208758193</c:v>
                </c:pt>
                <c:pt idx="104">
                  <c:v>0.97780986621087995</c:v>
                </c:pt>
                <c:pt idx="105">
                  <c:v>0.97757411445747644</c:v>
                </c:pt>
                <c:pt idx="106">
                  <c:v>0.97745623858077446</c:v>
                </c:pt>
                <c:pt idx="107">
                  <c:v>0.97680792125891436</c:v>
                </c:pt>
                <c:pt idx="108">
                  <c:v>0.9763953556904581</c:v>
                </c:pt>
                <c:pt idx="109">
                  <c:v>0.97633641775210711</c:v>
                </c:pt>
                <c:pt idx="110">
                  <c:v>0.97651323156715986</c:v>
                </c:pt>
                <c:pt idx="111">
                  <c:v>0.9766900453822126</c:v>
                </c:pt>
                <c:pt idx="112">
                  <c:v>0.97624801084458068</c:v>
                </c:pt>
                <c:pt idx="113">
                  <c:v>0.97592385218365063</c:v>
                </c:pt>
                <c:pt idx="114">
                  <c:v>0.97595332115282618</c:v>
                </c:pt>
                <c:pt idx="115">
                  <c:v>0.97601225909117695</c:v>
                </c:pt>
                <c:pt idx="116">
                  <c:v>0.97589438321447519</c:v>
                </c:pt>
                <c:pt idx="117">
                  <c:v>0.97539341073849239</c:v>
                </c:pt>
                <c:pt idx="118">
                  <c:v>0.9749513762008607</c:v>
                </c:pt>
                <c:pt idx="119">
                  <c:v>0.97492190723168504</c:v>
                </c:pt>
                <c:pt idx="120">
                  <c:v>0.9749513762008607</c:v>
                </c:pt>
                <c:pt idx="121">
                  <c:v>0.97486296929333427</c:v>
                </c:pt>
                <c:pt idx="122">
                  <c:v>0.97436199681735136</c:v>
                </c:pt>
                <c:pt idx="123">
                  <c:v>0.97389049331054411</c:v>
                </c:pt>
                <c:pt idx="124">
                  <c:v>0.97389049331054411</c:v>
                </c:pt>
                <c:pt idx="125">
                  <c:v>0.97383155537219313</c:v>
                </c:pt>
                <c:pt idx="126">
                  <c:v>0.97371367949549137</c:v>
                </c:pt>
                <c:pt idx="127">
                  <c:v>0.97330111392703489</c:v>
                </c:pt>
                <c:pt idx="128">
                  <c:v>0.97291801732775396</c:v>
                </c:pt>
                <c:pt idx="129">
                  <c:v>0.97288854835857852</c:v>
                </c:pt>
                <c:pt idx="130">
                  <c:v>0.97291801732775396</c:v>
                </c:pt>
                <c:pt idx="131">
                  <c:v>0.97285907938940297</c:v>
                </c:pt>
                <c:pt idx="132">
                  <c:v>0.97241704485177105</c:v>
                </c:pt>
                <c:pt idx="133">
                  <c:v>0.97209288619084122</c:v>
                </c:pt>
                <c:pt idx="134">
                  <c:v>0.9719455413449638</c:v>
                </c:pt>
                <c:pt idx="135">
                  <c:v>0.97224023103671831</c:v>
                </c:pt>
                <c:pt idx="136">
                  <c:v>0.97218129309836754</c:v>
                </c:pt>
                <c:pt idx="137">
                  <c:v>0.97176872752991106</c:v>
                </c:pt>
                <c:pt idx="138">
                  <c:v>0.97141509989980557</c:v>
                </c:pt>
                <c:pt idx="139">
                  <c:v>0.9698532445335063</c:v>
                </c:pt>
                <c:pt idx="140">
                  <c:v>0.97129722402310381</c:v>
                </c:pt>
                <c:pt idx="141">
                  <c:v>0.97144456886898112</c:v>
                </c:pt>
                <c:pt idx="142">
                  <c:v>0.97126775505392837</c:v>
                </c:pt>
                <c:pt idx="143">
                  <c:v>0.97103200330052464</c:v>
                </c:pt>
                <c:pt idx="144">
                  <c:v>0.96905758236576889</c:v>
                </c:pt>
                <c:pt idx="145">
                  <c:v>0.96832085813638247</c:v>
                </c:pt>
                <c:pt idx="146">
                  <c:v>0.96802616844462774</c:v>
                </c:pt>
                <c:pt idx="147">
                  <c:v>0.96749572699946973</c:v>
                </c:pt>
                <c:pt idx="148">
                  <c:v>0.96714209936936424</c:v>
                </c:pt>
                <c:pt idx="149">
                  <c:v>0.96752519596864506</c:v>
                </c:pt>
                <c:pt idx="150">
                  <c:v>0.96817351329050516</c:v>
                </c:pt>
                <c:pt idx="151">
                  <c:v>0.96770200978369791</c:v>
                </c:pt>
                <c:pt idx="152">
                  <c:v>0.96734838215359231</c:v>
                </c:pt>
                <c:pt idx="153">
                  <c:v>0.96734838215359231</c:v>
                </c:pt>
                <c:pt idx="154">
                  <c:v>0.96605174750987211</c:v>
                </c:pt>
                <c:pt idx="155">
                  <c:v>0.96534449224966123</c:v>
                </c:pt>
                <c:pt idx="156">
                  <c:v>0.96463723698945025</c:v>
                </c:pt>
                <c:pt idx="157">
                  <c:v>0.96431307832852009</c:v>
                </c:pt>
                <c:pt idx="158">
                  <c:v>0.96487298874285377</c:v>
                </c:pt>
                <c:pt idx="159">
                  <c:v>0.96528555431131025</c:v>
                </c:pt>
                <c:pt idx="160">
                  <c:v>0.964814050804503</c:v>
                </c:pt>
                <c:pt idx="161">
                  <c:v>0.96440148523604652</c:v>
                </c:pt>
                <c:pt idx="162">
                  <c:v>0.96398891966759015</c:v>
                </c:pt>
                <c:pt idx="163">
                  <c:v>0.96404785760594103</c:v>
                </c:pt>
                <c:pt idx="164">
                  <c:v>0.96398891966759015</c:v>
                </c:pt>
                <c:pt idx="165">
                  <c:v>0.96369422997583543</c:v>
                </c:pt>
                <c:pt idx="166">
                  <c:v>0.96319325749985274</c:v>
                </c:pt>
                <c:pt idx="167">
                  <c:v>0.96286909883892269</c:v>
                </c:pt>
                <c:pt idx="168">
                  <c:v>0.96295750574644901</c:v>
                </c:pt>
                <c:pt idx="169">
                  <c:v>0.96301644368479999</c:v>
                </c:pt>
                <c:pt idx="170">
                  <c:v>0.96278069193139626</c:v>
                </c:pt>
                <c:pt idx="171">
                  <c:v>0.96227971945541357</c:v>
                </c:pt>
                <c:pt idx="172">
                  <c:v>0.96195556079448352</c:v>
                </c:pt>
                <c:pt idx="173">
                  <c:v>0.96189662285613253</c:v>
                </c:pt>
                <c:pt idx="174">
                  <c:v>0.96177874697943078</c:v>
                </c:pt>
                <c:pt idx="175">
                  <c:v>0.96145458831850061</c:v>
                </c:pt>
                <c:pt idx="176">
                  <c:v>0.96092414687334238</c:v>
                </c:pt>
                <c:pt idx="177">
                  <c:v>0.96054105027406145</c:v>
                </c:pt>
                <c:pt idx="178">
                  <c:v>0.96051158130488601</c:v>
                </c:pt>
                <c:pt idx="179">
                  <c:v>0.9603642364590087</c:v>
                </c:pt>
                <c:pt idx="180">
                  <c:v>0.9600695467672542</c:v>
                </c:pt>
                <c:pt idx="181">
                  <c:v>0.95945069841456954</c:v>
                </c:pt>
                <c:pt idx="182">
                  <c:v>0.95915600872281503</c:v>
                </c:pt>
                <c:pt idx="183">
                  <c:v>0.9592149466611658</c:v>
                </c:pt>
                <c:pt idx="184">
                  <c:v>0.95906760181528861</c:v>
                </c:pt>
                <c:pt idx="185">
                  <c:v>0.95880238109270943</c:v>
                </c:pt>
                <c:pt idx="186">
                  <c:v>0.95833087758590219</c:v>
                </c:pt>
                <c:pt idx="187">
                  <c:v>0.95800671892497213</c:v>
                </c:pt>
                <c:pt idx="188">
                  <c:v>0.95791831201744571</c:v>
                </c:pt>
                <c:pt idx="189">
                  <c:v>0.95785937407909472</c:v>
                </c:pt>
                <c:pt idx="190">
                  <c:v>0.95771202923321752</c:v>
                </c:pt>
                <c:pt idx="191">
                  <c:v>0.95729946366476104</c:v>
                </c:pt>
                <c:pt idx="192">
                  <c:v>0.95697530500383099</c:v>
                </c:pt>
                <c:pt idx="193">
                  <c:v>0.95721105675723472</c:v>
                </c:pt>
                <c:pt idx="194">
                  <c:v>0.95721105675723472</c:v>
                </c:pt>
                <c:pt idx="195">
                  <c:v>0.95697530500383099</c:v>
                </c:pt>
                <c:pt idx="196">
                  <c:v>0.95656273943537462</c:v>
                </c:pt>
                <c:pt idx="197">
                  <c:v>0.95620911180526913</c:v>
                </c:pt>
                <c:pt idx="198">
                  <c:v>0.95668061531207638</c:v>
                </c:pt>
                <c:pt idx="199">
                  <c:v>0.95703424294218198</c:v>
                </c:pt>
                <c:pt idx="200">
                  <c:v>0.95703424294218198</c:v>
                </c:pt>
                <c:pt idx="201">
                  <c:v>0.95673955325042737</c:v>
                </c:pt>
                <c:pt idx="202">
                  <c:v>0.9564743325278483</c:v>
                </c:pt>
                <c:pt idx="203">
                  <c:v>0.95615017386691814</c:v>
                </c:pt>
                <c:pt idx="204">
                  <c:v>0.9559733600518654</c:v>
                </c:pt>
                <c:pt idx="205">
                  <c:v>0.95564920139093545</c:v>
                </c:pt>
                <c:pt idx="206">
                  <c:v>0.95511875994577722</c:v>
                </c:pt>
                <c:pt idx="207">
                  <c:v>0.95470619437732074</c:v>
                </c:pt>
                <c:pt idx="208">
                  <c:v>0.95576707726763721</c:v>
                </c:pt>
                <c:pt idx="209">
                  <c:v>0.95432309777803981</c:v>
                </c:pt>
                <c:pt idx="210">
                  <c:v>0.95314433901102147</c:v>
                </c:pt>
                <c:pt idx="211">
                  <c:v>0.95370424942535514</c:v>
                </c:pt>
                <c:pt idx="212">
                  <c:v>0.95553132551423348</c:v>
                </c:pt>
                <c:pt idx="213">
                  <c:v>0.95523663582247897</c:v>
                </c:pt>
                <c:pt idx="214">
                  <c:v>0.95444097365474156</c:v>
                </c:pt>
                <c:pt idx="215">
                  <c:v>0.95391053220958333</c:v>
                </c:pt>
                <c:pt idx="216">
                  <c:v>0.95361584251782883</c:v>
                </c:pt>
                <c:pt idx="217">
                  <c:v>0.95332115282607421</c:v>
                </c:pt>
                <c:pt idx="218">
                  <c:v>0.95317380798019691</c:v>
                </c:pt>
                <c:pt idx="219">
                  <c:v>0.95282018035009142</c:v>
                </c:pt>
                <c:pt idx="220">
                  <c:v>0.95243708375081049</c:v>
                </c:pt>
                <c:pt idx="221">
                  <c:v>0.95217186302823131</c:v>
                </c:pt>
                <c:pt idx="222">
                  <c:v>0.95211292508988032</c:v>
                </c:pt>
                <c:pt idx="223">
                  <c:v>0.95193611127482758</c:v>
                </c:pt>
                <c:pt idx="224">
                  <c:v>0.95161195261389764</c:v>
                </c:pt>
                <c:pt idx="225">
                  <c:v>0.95063947663110748</c:v>
                </c:pt>
                <c:pt idx="226">
                  <c:v>0.95058053869275649</c:v>
                </c:pt>
                <c:pt idx="227">
                  <c:v>0.95028584900100199</c:v>
                </c:pt>
                <c:pt idx="228">
                  <c:v>0.94990275240172106</c:v>
                </c:pt>
                <c:pt idx="229">
                  <c:v>0.94957859374079101</c:v>
                </c:pt>
                <c:pt idx="230">
                  <c:v>0.94951965580244002</c:v>
                </c:pt>
                <c:pt idx="231">
                  <c:v>0.94943124889491382</c:v>
                </c:pt>
                <c:pt idx="232">
                  <c:v>0.94919549714151008</c:v>
                </c:pt>
                <c:pt idx="233">
                  <c:v>0.94881240054222915</c:v>
                </c:pt>
                <c:pt idx="234">
                  <c:v>0.94845877291212366</c:v>
                </c:pt>
                <c:pt idx="235">
                  <c:v>0.94822302115871993</c:v>
                </c:pt>
                <c:pt idx="236">
                  <c:v>0.9481346142511935</c:v>
                </c:pt>
                <c:pt idx="237">
                  <c:v>0.94786939352861443</c:v>
                </c:pt>
                <c:pt idx="238">
                  <c:v>0.94760417280603526</c:v>
                </c:pt>
                <c:pt idx="239">
                  <c:v>0.94730948311428076</c:v>
                </c:pt>
                <c:pt idx="240">
                  <c:v>0.94710320033005257</c:v>
                </c:pt>
                <c:pt idx="241">
                  <c:v>0.9469853244533506</c:v>
                </c:pt>
                <c:pt idx="242">
                  <c:v>0.94666116579242077</c:v>
                </c:pt>
                <c:pt idx="243">
                  <c:v>0.94616019331643786</c:v>
                </c:pt>
                <c:pt idx="244">
                  <c:v>0.94577709671715693</c:v>
                </c:pt>
                <c:pt idx="245">
                  <c:v>0.94548240702540243</c:v>
                </c:pt>
                <c:pt idx="246">
                  <c:v>0.94554134496375319</c:v>
                </c:pt>
                <c:pt idx="247">
                  <c:v>0.945394000117876</c:v>
                </c:pt>
                <c:pt idx="248">
                  <c:v>0.94509931042612128</c:v>
                </c:pt>
                <c:pt idx="249">
                  <c:v>0.94498143454941952</c:v>
                </c:pt>
                <c:pt idx="250">
                  <c:v>0.94474568279601578</c:v>
                </c:pt>
                <c:pt idx="251">
                  <c:v>0.94465727588848947</c:v>
                </c:pt>
                <c:pt idx="252">
                  <c:v>0.94456886898096304</c:v>
                </c:pt>
                <c:pt idx="253">
                  <c:v>0.94412683444333112</c:v>
                </c:pt>
                <c:pt idx="254">
                  <c:v>0.94374373784405019</c:v>
                </c:pt>
                <c:pt idx="255">
                  <c:v>0.94368479990569942</c:v>
                </c:pt>
                <c:pt idx="256">
                  <c:v>0.94362586196734843</c:v>
                </c:pt>
                <c:pt idx="257">
                  <c:v>0.94359639299817311</c:v>
                </c:pt>
                <c:pt idx="258">
                  <c:v>0.9433901102139447</c:v>
                </c:pt>
                <c:pt idx="259">
                  <c:v>0.94303648258383921</c:v>
                </c:pt>
                <c:pt idx="260">
                  <c:v>0.94244710320033021</c:v>
                </c:pt>
                <c:pt idx="261">
                  <c:v>0.94218188247775103</c:v>
                </c:pt>
                <c:pt idx="262">
                  <c:v>0.9419461307243473</c:v>
                </c:pt>
                <c:pt idx="263">
                  <c:v>0.94153356515589093</c:v>
                </c:pt>
                <c:pt idx="264">
                  <c:v>0.94112099958743445</c:v>
                </c:pt>
                <c:pt idx="265">
                  <c:v>0.94088524783403082</c:v>
                </c:pt>
                <c:pt idx="266">
                  <c:v>0.94082630989567984</c:v>
                </c:pt>
                <c:pt idx="267">
                  <c:v>0.9406494960806272</c:v>
                </c:pt>
                <c:pt idx="268">
                  <c:v>0.94029586845052171</c:v>
                </c:pt>
                <c:pt idx="269">
                  <c:v>0.9400011787587671</c:v>
                </c:pt>
                <c:pt idx="270">
                  <c:v>0.93976542700536347</c:v>
                </c:pt>
                <c:pt idx="271">
                  <c:v>0.93964755112866161</c:v>
                </c:pt>
                <c:pt idx="272">
                  <c:v>0.93955914422113518</c:v>
                </c:pt>
                <c:pt idx="273">
                  <c:v>0.93923498556020513</c:v>
                </c:pt>
                <c:pt idx="274">
                  <c:v>0.93888135793009964</c:v>
                </c:pt>
                <c:pt idx="275">
                  <c:v>0.93867507514587156</c:v>
                </c:pt>
                <c:pt idx="276">
                  <c:v>0.93861613720752057</c:v>
                </c:pt>
                <c:pt idx="277">
                  <c:v>0.93829197854659052</c:v>
                </c:pt>
                <c:pt idx="278">
                  <c:v>0.93808569576236223</c:v>
                </c:pt>
                <c:pt idx="279">
                  <c:v>0.93773206813225685</c:v>
                </c:pt>
                <c:pt idx="280">
                  <c:v>0.93749631637885311</c:v>
                </c:pt>
                <c:pt idx="281">
                  <c:v>0.9375552543172041</c:v>
                </c:pt>
                <c:pt idx="282">
                  <c:v>0.93758472328637943</c:v>
                </c:pt>
                <c:pt idx="283">
                  <c:v>0.93729003359462493</c:v>
                </c:pt>
                <c:pt idx="284">
                  <c:v>0.93711321977957218</c:v>
                </c:pt>
                <c:pt idx="285">
                  <c:v>0.936906936995344</c:v>
                </c:pt>
                <c:pt idx="286">
                  <c:v>0.93673012318029114</c:v>
                </c:pt>
                <c:pt idx="287">
                  <c:v>0.93649437142688752</c:v>
                </c:pt>
                <c:pt idx="288">
                  <c:v>0.93614074379678203</c:v>
                </c:pt>
                <c:pt idx="289">
                  <c:v>0.93593446101255384</c:v>
                </c:pt>
                <c:pt idx="290">
                  <c:v>0.93555136441327291</c:v>
                </c:pt>
                <c:pt idx="291">
                  <c:v>0.93770259916308141</c:v>
                </c:pt>
                <c:pt idx="292">
                  <c:v>0.93767313019390586</c:v>
                </c:pt>
                <c:pt idx="293">
                  <c:v>0.93702481287204586</c:v>
                </c:pt>
                <c:pt idx="294">
                  <c:v>0.93652384039606307</c:v>
                </c:pt>
                <c:pt idx="295">
                  <c:v>0.9361996817351329</c:v>
                </c:pt>
                <c:pt idx="296">
                  <c:v>0.93614074379678203</c:v>
                </c:pt>
                <c:pt idx="297">
                  <c:v>0.93599339895090483</c:v>
                </c:pt>
                <c:pt idx="298">
                  <c:v>0.93561030235162379</c:v>
                </c:pt>
                <c:pt idx="299">
                  <c:v>0.93522720575234286</c:v>
                </c:pt>
                <c:pt idx="300">
                  <c:v>0.93357694347851716</c:v>
                </c:pt>
                <c:pt idx="301">
                  <c:v>0.93375375729356991</c:v>
                </c:pt>
                <c:pt idx="302">
                  <c:v>0.93325278481758711</c:v>
                </c:pt>
                <c:pt idx="303">
                  <c:v>0.93272234337242887</c:v>
                </c:pt>
                <c:pt idx="304">
                  <c:v>0.93254552955737613</c:v>
                </c:pt>
                <c:pt idx="305">
                  <c:v>0.93257499852655168</c:v>
                </c:pt>
                <c:pt idx="306">
                  <c:v>0.93248659161902525</c:v>
                </c:pt>
                <c:pt idx="307">
                  <c:v>0.93204455708139333</c:v>
                </c:pt>
                <c:pt idx="308">
                  <c:v>0.9315141156362351</c:v>
                </c:pt>
                <c:pt idx="309">
                  <c:v>0.93130783285200691</c:v>
                </c:pt>
                <c:pt idx="310">
                  <c:v>0.93136677079035779</c:v>
                </c:pt>
                <c:pt idx="311">
                  <c:v>0.93130783285200691</c:v>
                </c:pt>
                <c:pt idx="312">
                  <c:v>0.9310131431602523</c:v>
                </c:pt>
                <c:pt idx="313">
                  <c:v>0.93060057759179593</c:v>
                </c:pt>
                <c:pt idx="314">
                  <c:v>0.93039429480756763</c:v>
                </c:pt>
                <c:pt idx="315">
                  <c:v>0.93033535686921676</c:v>
                </c:pt>
                <c:pt idx="316">
                  <c:v>0.93012907408498857</c:v>
                </c:pt>
                <c:pt idx="317">
                  <c:v>0.92968703954735665</c:v>
                </c:pt>
                <c:pt idx="318">
                  <c:v>0.92924500500972484</c:v>
                </c:pt>
                <c:pt idx="319">
                  <c:v>0.92909766016384754</c:v>
                </c:pt>
                <c:pt idx="320">
                  <c:v>0.92903872222549666</c:v>
                </c:pt>
                <c:pt idx="321">
                  <c:v>0.92892084634879479</c:v>
                </c:pt>
                <c:pt idx="322">
                  <c:v>0.92853774974951386</c:v>
                </c:pt>
                <c:pt idx="323">
                  <c:v>0.92818412211940837</c:v>
                </c:pt>
                <c:pt idx="324">
                  <c:v>0.92806624624270651</c:v>
                </c:pt>
                <c:pt idx="325">
                  <c:v>0.92800730830435563</c:v>
                </c:pt>
                <c:pt idx="326">
                  <c:v>0.92797783933518008</c:v>
                </c:pt>
                <c:pt idx="327">
                  <c:v>0.92768314964342558</c:v>
                </c:pt>
                <c:pt idx="328">
                  <c:v>0.92735899098249552</c:v>
                </c:pt>
                <c:pt idx="329">
                  <c:v>0.92715270819826734</c:v>
                </c:pt>
                <c:pt idx="330">
                  <c:v>0.92721164613661822</c:v>
                </c:pt>
                <c:pt idx="331">
                  <c:v>0.92712323922909179</c:v>
                </c:pt>
                <c:pt idx="332">
                  <c:v>0.92674014262981086</c:v>
                </c:pt>
                <c:pt idx="333">
                  <c:v>0.9262686391230035</c:v>
                </c:pt>
                <c:pt idx="334">
                  <c:v>0.92612129427712619</c:v>
                </c:pt>
                <c:pt idx="335">
                  <c:v>0.92629810809217905</c:v>
                </c:pt>
                <c:pt idx="336">
                  <c:v>0.92620970118465262</c:v>
                </c:pt>
                <c:pt idx="337">
                  <c:v>0.92594448046207345</c:v>
                </c:pt>
                <c:pt idx="338">
                  <c:v>0.92550244592444164</c:v>
                </c:pt>
                <c:pt idx="339">
                  <c:v>0.92535510107856433</c:v>
                </c:pt>
                <c:pt idx="340">
                  <c:v>0.9254729769552662</c:v>
                </c:pt>
                <c:pt idx="341">
                  <c:v>0.92541403901691521</c:v>
                </c:pt>
                <c:pt idx="342">
                  <c:v>0.92503094241763428</c:v>
                </c:pt>
                <c:pt idx="343">
                  <c:v>0.92455943891082693</c:v>
                </c:pt>
                <c:pt idx="344">
                  <c:v>0.92423528024989687</c:v>
                </c:pt>
                <c:pt idx="345">
                  <c:v>0.92405846643484413</c:v>
                </c:pt>
                <c:pt idx="346">
                  <c:v>0.92391112158896693</c:v>
                </c:pt>
                <c:pt idx="347">
                  <c:v>0.92361643189721232</c:v>
                </c:pt>
                <c:pt idx="348">
                  <c:v>0.92323333529793139</c:v>
                </c:pt>
                <c:pt idx="349">
                  <c:v>0.92285023869865035</c:v>
                </c:pt>
                <c:pt idx="350">
                  <c:v>0.9226734248835976</c:v>
                </c:pt>
                <c:pt idx="351">
                  <c:v>0.92264395591442216</c:v>
                </c:pt>
                <c:pt idx="352">
                  <c:v>0.92249661106854486</c:v>
                </c:pt>
                <c:pt idx="353">
                  <c:v>0.92231979725349211</c:v>
                </c:pt>
                <c:pt idx="354">
                  <c:v>0.92208404550008849</c:v>
                </c:pt>
                <c:pt idx="355">
                  <c:v>0.92211351446926393</c:v>
                </c:pt>
                <c:pt idx="356">
                  <c:v>0.92214298343843948</c:v>
                </c:pt>
                <c:pt idx="357">
                  <c:v>0.92181882477750932</c:v>
                </c:pt>
                <c:pt idx="358">
                  <c:v>0.92149466611657926</c:v>
                </c:pt>
                <c:pt idx="359">
                  <c:v>0.92105263157894746</c:v>
                </c:pt>
                <c:pt idx="360">
                  <c:v>0.92099369364059658</c:v>
                </c:pt>
                <c:pt idx="361">
                  <c:v>0.92093475570224559</c:v>
                </c:pt>
                <c:pt idx="362">
                  <c:v>0.92055165910296466</c:v>
                </c:pt>
                <c:pt idx="363">
                  <c:v>0.92013909353450829</c:v>
                </c:pt>
                <c:pt idx="364">
                  <c:v>0.91987387281192912</c:v>
                </c:pt>
                <c:pt idx="365">
                  <c:v>0.91972652796605181</c:v>
                </c:pt>
                <c:pt idx="366">
                  <c:v>0.91963812105852549</c:v>
                </c:pt>
                <c:pt idx="367">
                  <c:v>0.91910767961336715</c:v>
                </c:pt>
                <c:pt idx="368">
                  <c:v>0.91860670713738446</c:v>
                </c:pt>
                <c:pt idx="369">
                  <c:v>0.91813520363057699</c:v>
                </c:pt>
                <c:pt idx="370">
                  <c:v>0.91813520363057699</c:v>
                </c:pt>
                <c:pt idx="371">
                  <c:v>0.91816467259975254</c:v>
                </c:pt>
                <c:pt idx="372">
                  <c:v>0.91804679672305067</c:v>
                </c:pt>
                <c:pt idx="373">
                  <c:v>0.91766370012376974</c:v>
                </c:pt>
                <c:pt idx="374">
                  <c:v>0.91736901043201513</c:v>
                </c:pt>
                <c:pt idx="375">
                  <c:v>0.91742794837036612</c:v>
                </c:pt>
                <c:pt idx="376">
                  <c:v>0.91692697589438321</c:v>
                </c:pt>
                <c:pt idx="377">
                  <c:v>0.9164849413567514</c:v>
                </c:pt>
                <c:pt idx="378">
                  <c:v>0.9160429068191196</c:v>
                </c:pt>
                <c:pt idx="379">
                  <c:v>0.9158366240348913</c:v>
                </c:pt>
                <c:pt idx="380">
                  <c:v>0.91560087228148768</c:v>
                </c:pt>
                <c:pt idx="381">
                  <c:v>0.91521777568220664</c:v>
                </c:pt>
                <c:pt idx="382">
                  <c:v>0.91512936877468032</c:v>
                </c:pt>
                <c:pt idx="383">
                  <c:v>0.91471680320622384</c:v>
                </c:pt>
                <c:pt idx="384">
                  <c:v>0.91442211351446934</c:v>
                </c:pt>
                <c:pt idx="385">
                  <c:v>0.91406848588436385</c:v>
                </c:pt>
                <c:pt idx="386">
                  <c:v>0.91362645134673193</c:v>
                </c:pt>
                <c:pt idx="387">
                  <c:v>0.91356751340838105</c:v>
                </c:pt>
                <c:pt idx="388">
                  <c:v>0.91315494783992457</c:v>
                </c:pt>
                <c:pt idx="389">
                  <c:v>0.91312547887074924</c:v>
                </c:pt>
                <c:pt idx="390">
                  <c:v>0.91312547887074924</c:v>
                </c:pt>
                <c:pt idx="391">
                  <c:v>0.91288972711734551</c:v>
                </c:pt>
                <c:pt idx="392">
                  <c:v>0.91230034773383628</c:v>
                </c:pt>
                <c:pt idx="393">
                  <c:v>0.91200565804208178</c:v>
                </c:pt>
                <c:pt idx="394">
                  <c:v>0.91212353391878365</c:v>
                </c:pt>
                <c:pt idx="395">
                  <c:v>0.91218247185713452</c:v>
                </c:pt>
                <c:pt idx="396">
                  <c:v>0.91206459598043266</c:v>
                </c:pt>
                <c:pt idx="397">
                  <c:v>0.91150468556609898</c:v>
                </c:pt>
                <c:pt idx="398">
                  <c:v>0.91103318205929162</c:v>
                </c:pt>
                <c:pt idx="399">
                  <c:v>0.91109211999764261</c:v>
                </c:pt>
                <c:pt idx="400">
                  <c:v>0.91109211999764261</c:v>
                </c:pt>
                <c:pt idx="401">
                  <c:v>0.91091530618258987</c:v>
                </c:pt>
                <c:pt idx="402">
                  <c:v>0.91017858195320334</c:v>
                </c:pt>
                <c:pt idx="403">
                  <c:v>0.90950079566216779</c:v>
                </c:pt>
                <c:pt idx="404">
                  <c:v>0.90982495432309785</c:v>
                </c:pt>
                <c:pt idx="405">
                  <c:v>0.91000176813815059</c:v>
                </c:pt>
                <c:pt idx="406">
                  <c:v>0.90994283019979971</c:v>
                </c:pt>
                <c:pt idx="407">
                  <c:v>0.90982495432309785</c:v>
                </c:pt>
                <c:pt idx="408">
                  <c:v>0.90950079566216779</c:v>
                </c:pt>
                <c:pt idx="409">
                  <c:v>0.90947132669299224</c:v>
                </c:pt>
                <c:pt idx="410">
                  <c:v>0.91176990628867816</c:v>
                </c:pt>
                <c:pt idx="411">
                  <c:v>0.91100371309011619</c:v>
                </c:pt>
                <c:pt idx="412">
                  <c:v>0.91050274061413339</c:v>
                </c:pt>
                <c:pt idx="413">
                  <c:v>0.90994283019979971</c:v>
                </c:pt>
                <c:pt idx="414">
                  <c:v>0.90941238875464137</c:v>
                </c:pt>
                <c:pt idx="415">
                  <c:v>0.90926504390876417</c:v>
                </c:pt>
                <c:pt idx="416">
                  <c:v>0.90923557493958862</c:v>
                </c:pt>
                <c:pt idx="417">
                  <c:v>0.90888194730948313</c:v>
                </c:pt>
                <c:pt idx="418">
                  <c:v>0.90838097483350033</c:v>
                </c:pt>
                <c:pt idx="419">
                  <c:v>0.90788000235751765</c:v>
                </c:pt>
                <c:pt idx="420">
                  <c:v>0.90776212648081578</c:v>
                </c:pt>
                <c:pt idx="421">
                  <c:v>0.90773265751164034</c:v>
                </c:pt>
                <c:pt idx="422">
                  <c:v>0.90743796781988573</c:v>
                </c:pt>
                <c:pt idx="423">
                  <c:v>0.90696646431307848</c:v>
                </c:pt>
                <c:pt idx="424">
                  <c:v>0.90652442977544656</c:v>
                </c:pt>
                <c:pt idx="425">
                  <c:v>0.90637708492956925</c:v>
                </c:pt>
                <c:pt idx="426">
                  <c:v>0.90637708492956925</c:v>
                </c:pt>
                <c:pt idx="427">
                  <c:v>0.90614133317616552</c:v>
                </c:pt>
                <c:pt idx="428">
                  <c:v>0.90564036070018272</c:v>
                </c:pt>
                <c:pt idx="429">
                  <c:v>0.90522779513172635</c:v>
                </c:pt>
                <c:pt idx="430">
                  <c:v>0.90513938822419993</c:v>
                </c:pt>
                <c:pt idx="431">
                  <c:v>0.90505098131667361</c:v>
                </c:pt>
                <c:pt idx="432">
                  <c:v>0.90478576059409443</c:v>
                </c:pt>
                <c:pt idx="433">
                  <c:v>0.90431425708728719</c:v>
                </c:pt>
                <c:pt idx="434">
                  <c:v>0.90390169151883071</c:v>
                </c:pt>
                <c:pt idx="435">
                  <c:v>0.90393116048800615</c:v>
                </c:pt>
                <c:pt idx="436">
                  <c:v>0.90393116048800615</c:v>
                </c:pt>
                <c:pt idx="437">
                  <c:v>0.9037543466729534</c:v>
                </c:pt>
                <c:pt idx="438">
                  <c:v>0.90337125007367247</c:v>
                </c:pt>
                <c:pt idx="439">
                  <c:v>0.90331231213532148</c:v>
                </c:pt>
                <c:pt idx="440">
                  <c:v>0.90157364295396958</c:v>
                </c:pt>
                <c:pt idx="441">
                  <c:v>0.90054222903282855</c:v>
                </c:pt>
                <c:pt idx="442">
                  <c:v>0.89974656686509114</c:v>
                </c:pt>
                <c:pt idx="443">
                  <c:v>0.89906878057405559</c:v>
                </c:pt>
                <c:pt idx="444">
                  <c:v>0.89868568397477455</c:v>
                </c:pt>
                <c:pt idx="445">
                  <c:v>0.89880355985147642</c:v>
                </c:pt>
                <c:pt idx="446">
                  <c:v>0.89868568397477455</c:v>
                </c:pt>
                <c:pt idx="447">
                  <c:v>0.89850887015972181</c:v>
                </c:pt>
                <c:pt idx="448">
                  <c:v>0.89830258737549373</c:v>
                </c:pt>
                <c:pt idx="449">
                  <c:v>0.89812577356044088</c:v>
                </c:pt>
                <c:pt idx="450">
                  <c:v>0.8988624977898273</c:v>
                </c:pt>
                <c:pt idx="451">
                  <c:v>0.89968762892674026</c:v>
                </c:pt>
                <c:pt idx="452">
                  <c:v>0.89930453232745922</c:v>
                </c:pt>
                <c:pt idx="453">
                  <c:v>0.89903931160488015</c:v>
                </c:pt>
                <c:pt idx="454">
                  <c:v>0.89915718748158202</c:v>
                </c:pt>
                <c:pt idx="455">
                  <c:v>0.8992161254199329</c:v>
                </c:pt>
                <c:pt idx="456">
                  <c:v>0.89898037366652916</c:v>
                </c:pt>
                <c:pt idx="457">
                  <c:v>0.89865621500559922</c:v>
                </c:pt>
                <c:pt idx="458">
                  <c:v>0.89827311840631818</c:v>
                </c:pt>
                <c:pt idx="459">
                  <c:v>0.89836152531384461</c:v>
                </c:pt>
                <c:pt idx="460">
                  <c:v>0.89850887015972181</c:v>
                </c:pt>
                <c:pt idx="461">
                  <c:v>0.8982141804679673</c:v>
                </c:pt>
                <c:pt idx="462">
                  <c:v>0.89777214593033539</c:v>
                </c:pt>
                <c:pt idx="463">
                  <c:v>0.89747745623858077</c:v>
                </c:pt>
                <c:pt idx="464">
                  <c:v>0.89741851830022989</c:v>
                </c:pt>
                <c:pt idx="465">
                  <c:v>0.89694701479342265</c:v>
                </c:pt>
                <c:pt idx="466">
                  <c:v>0.89450109035185954</c:v>
                </c:pt>
                <c:pt idx="467">
                  <c:v>0.89355808333824482</c:v>
                </c:pt>
                <c:pt idx="468">
                  <c:v>0.89314551776978846</c:v>
                </c:pt>
                <c:pt idx="469">
                  <c:v>0.89432427653680679</c:v>
                </c:pt>
                <c:pt idx="470">
                  <c:v>0.89461896622856141</c:v>
                </c:pt>
                <c:pt idx="471">
                  <c:v>0.89444215241350866</c:v>
                </c:pt>
                <c:pt idx="472">
                  <c:v>0.89444215241350866</c:v>
                </c:pt>
                <c:pt idx="473">
                  <c:v>0.89429480756763136</c:v>
                </c:pt>
                <c:pt idx="474">
                  <c:v>0.89400011787587674</c:v>
                </c:pt>
                <c:pt idx="475">
                  <c:v>0.89370542818412224</c:v>
                </c:pt>
                <c:pt idx="476">
                  <c:v>0.89370542818412224</c:v>
                </c:pt>
                <c:pt idx="477">
                  <c:v>0.89367595921494669</c:v>
                </c:pt>
                <c:pt idx="478">
                  <c:v>0.8935286143690695</c:v>
                </c:pt>
                <c:pt idx="479">
                  <c:v>0.89317498673896401</c:v>
                </c:pt>
                <c:pt idx="480">
                  <c:v>0.89290976601638483</c:v>
                </c:pt>
                <c:pt idx="481">
                  <c:v>0.89288029704720939</c:v>
                </c:pt>
                <c:pt idx="482">
                  <c:v>0.89288029704720939</c:v>
                </c:pt>
                <c:pt idx="483">
                  <c:v>0.89208463487947198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24C-4F62-8A70-77D25E92F2C6}"/>
            </c:ext>
          </c:extLst>
        </c:ser>
        <c:ser>
          <c:idx val="1"/>
          <c:order val="1"/>
          <c:tx>
            <c:v>435-2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大小中检!$V$3:$V$495</c:f>
              <c:numCache>
                <c:formatCode>General</c:formatCode>
                <c:ptCount val="49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</c:numCache>
            </c:numRef>
          </c:xVal>
          <c:yVal>
            <c:numRef>
              <c:f>大小中检!$Z$3:$Z$495</c:f>
              <c:numCache>
                <c:formatCode>0.00%</c:formatCode>
                <c:ptCount val="493"/>
                <c:pt idx="0">
                  <c:v>1</c:v>
                </c:pt>
                <c:pt idx="1">
                  <c:v>1.0005608359407285</c:v>
                </c:pt>
                <c:pt idx="2">
                  <c:v>1.0002951768109096</c:v>
                </c:pt>
                <c:pt idx="3">
                  <c:v>1.0002656591298187</c:v>
                </c:pt>
                <c:pt idx="4">
                  <c:v>1.000236141448728</c:v>
                </c:pt>
                <c:pt idx="5">
                  <c:v>1.0003246944920008</c:v>
                </c:pt>
                <c:pt idx="6">
                  <c:v>1.0002656591298187</c:v>
                </c:pt>
                <c:pt idx="7">
                  <c:v>0.99976385855127214</c:v>
                </c:pt>
                <c:pt idx="8">
                  <c:v>0.99961627014581744</c:v>
                </c:pt>
                <c:pt idx="9">
                  <c:v>0.99926205797272571</c:v>
                </c:pt>
                <c:pt idx="10">
                  <c:v>0.99940964637818042</c:v>
                </c:pt>
                <c:pt idx="11">
                  <c:v>0.99929157565381665</c:v>
                </c:pt>
                <c:pt idx="12">
                  <c:v>0.99878977507527023</c:v>
                </c:pt>
                <c:pt idx="13">
                  <c:v>0.99867170435090613</c:v>
                </c:pt>
                <c:pt idx="14">
                  <c:v>0.99855363362654226</c:v>
                </c:pt>
                <c:pt idx="15">
                  <c:v>0.9985831513076332</c:v>
                </c:pt>
                <c:pt idx="16">
                  <c:v>0.99846508058326944</c:v>
                </c:pt>
                <c:pt idx="17">
                  <c:v>0.99834700985890557</c:v>
                </c:pt>
                <c:pt idx="18">
                  <c:v>0.99852411594545143</c:v>
                </c:pt>
                <c:pt idx="19">
                  <c:v>0.99819942145345064</c:v>
                </c:pt>
                <c:pt idx="20">
                  <c:v>0.99760906783163106</c:v>
                </c:pt>
                <c:pt idx="21">
                  <c:v>0.99690064348544782</c:v>
                </c:pt>
                <c:pt idx="22">
                  <c:v>0.99636932522581034</c:v>
                </c:pt>
                <c:pt idx="23">
                  <c:v>0.99633980754471918</c:v>
                </c:pt>
                <c:pt idx="24">
                  <c:v>0.99636932522581034</c:v>
                </c:pt>
                <c:pt idx="25">
                  <c:v>0.99589704232835463</c:v>
                </c:pt>
                <c:pt idx="26">
                  <c:v>0.99557234783635407</c:v>
                </c:pt>
                <c:pt idx="27">
                  <c:v>0.99566090087962689</c:v>
                </c:pt>
                <c:pt idx="28">
                  <c:v>0.9955428301552629</c:v>
                </c:pt>
                <c:pt idx="29">
                  <c:v>0.99563138319853584</c:v>
                </c:pt>
                <c:pt idx="30">
                  <c:v>0.99527717102544433</c:v>
                </c:pt>
                <c:pt idx="31">
                  <c:v>0.99489344117126155</c:v>
                </c:pt>
                <c:pt idx="32">
                  <c:v>0.99477537044689768</c:v>
                </c:pt>
                <c:pt idx="33">
                  <c:v>0.99489344117126155</c:v>
                </c:pt>
                <c:pt idx="34">
                  <c:v>0.99486392349017061</c:v>
                </c:pt>
                <c:pt idx="35">
                  <c:v>0.99430308754944219</c:v>
                </c:pt>
                <c:pt idx="36">
                  <c:v>0.99394887537635046</c:v>
                </c:pt>
                <c:pt idx="37">
                  <c:v>0.99362418088434967</c:v>
                </c:pt>
                <c:pt idx="38">
                  <c:v>0.99353562784107674</c:v>
                </c:pt>
                <c:pt idx="39">
                  <c:v>0.99338803943562204</c:v>
                </c:pt>
                <c:pt idx="40">
                  <c:v>0.9928272034948934</c:v>
                </c:pt>
                <c:pt idx="41">
                  <c:v>0.9921482968298011</c:v>
                </c:pt>
                <c:pt idx="42">
                  <c:v>0.99194167306216419</c:v>
                </c:pt>
                <c:pt idx="43">
                  <c:v>0.99205974378652817</c:v>
                </c:pt>
                <c:pt idx="44">
                  <c:v>0.99223684987307403</c:v>
                </c:pt>
                <c:pt idx="45">
                  <c:v>0.99185312001889125</c:v>
                </c:pt>
                <c:pt idx="46">
                  <c:v>0.99146939016470859</c:v>
                </c:pt>
                <c:pt idx="47">
                  <c:v>0.99138083712143565</c:v>
                </c:pt>
                <c:pt idx="48">
                  <c:v>0.99061337741307054</c:v>
                </c:pt>
                <c:pt idx="49">
                  <c:v>0.98987543538579603</c:v>
                </c:pt>
                <c:pt idx="50">
                  <c:v>0.98839955133124735</c:v>
                </c:pt>
                <c:pt idx="51">
                  <c:v>0.98769112698506401</c:v>
                </c:pt>
                <c:pt idx="52">
                  <c:v>0.98777968002833694</c:v>
                </c:pt>
                <c:pt idx="53">
                  <c:v>0.98887183422870295</c:v>
                </c:pt>
                <c:pt idx="54">
                  <c:v>0.98996398842906896</c:v>
                </c:pt>
                <c:pt idx="55">
                  <c:v>0.98996398842906896</c:v>
                </c:pt>
                <c:pt idx="56">
                  <c:v>0.98943267016943159</c:v>
                </c:pt>
                <c:pt idx="57">
                  <c:v>0.98946218785052253</c:v>
                </c:pt>
                <c:pt idx="58">
                  <c:v>0.98949170553161336</c:v>
                </c:pt>
                <c:pt idx="59">
                  <c:v>0.98934411712615866</c:v>
                </c:pt>
                <c:pt idx="60">
                  <c:v>0.98872424582324814</c:v>
                </c:pt>
                <c:pt idx="61">
                  <c:v>0.98810437452033772</c:v>
                </c:pt>
                <c:pt idx="62">
                  <c:v>0.9879567861148828</c:v>
                </c:pt>
                <c:pt idx="63">
                  <c:v>0.98777968002833694</c:v>
                </c:pt>
                <c:pt idx="64">
                  <c:v>0.98769112698506401</c:v>
                </c:pt>
                <c:pt idx="65">
                  <c:v>0.98713029104433558</c:v>
                </c:pt>
                <c:pt idx="66">
                  <c:v>0.9868055965523348</c:v>
                </c:pt>
                <c:pt idx="67">
                  <c:v>0.98662849046578893</c:v>
                </c:pt>
                <c:pt idx="68">
                  <c:v>0.98659897278469799</c:v>
                </c:pt>
                <c:pt idx="69">
                  <c:v>0.98692366727669878</c:v>
                </c:pt>
                <c:pt idx="70">
                  <c:v>0.9863923490170613</c:v>
                </c:pt>
                <c:pt idx="71">
                  <c:v>0.98559537162760491</c:v>
                </c:pt>
                <c:pt idx="72">
                  <c:v>0.98530019481669529</c:v>
                </c:pt>
                <c:pt idx="73">
                  <c:v>0.98518212409233119</c:v>
                </c:pt>
                <c:pt idx="74">
                  <c:v>0.98515260641124036</c:v>
                </c:pt>
                <c:pt idx="75">
                  <c:v>0.98403093452978341</c:v>
                </c:pt>
                <c:pt idx="76">
                  <c:v>0.98400141684869236</c:v>
                </c:pt>
                <c:pt idx="77">
                  <c:v>0.98382431076214649</c:v>
                </c:pt>
                <c:pt idx="78">
                  <c:v>0.98352913395123676</c:v>
                </c:pt>
                <c:pt idx="79">
                  <c:v>0.98279119192396247</c:v>
                </c:pt>
                <c:pt idx="80">
                  <c:v>0.98190566149123326</c:v>
                </c:pt>
                <c:pt idx="81">
                  <c:v>0.98261408583741661</c:v>
                </c:pt>
                <c:pt idx="82">
                  <c:v>0.98261408583741661</c:v>
                </c:pt>
                <c:pt idx="83">
                  <c:v>0.98223035598323405</c:v>
                </c:pt>
                <c:pt idx="84">
                  <c:v>0.98149241395595954</c:v>
                </c:pt>
                <c:pt idx="85">
                  <c:v>0.98084302497195819</c:v>
                </c:pt>
                <c:pt idx="86">
                  <c:v>0.98240746206977969</c:v>
                </c:pt>
                <c:pt idx="87">
                  <c:v>0.98205324989668819</c:v>
                </c:pt>
                <c:pt idx="88">
                  <c:v>0.9815219316370507</c:v>
                </c:pt>
                <c:pt idx="89">
                  <c:v>0.98128579018832285</c:v>
                </c:pt>
                <c:pt idx="90">
                  <c:v>0.98093157801523112</c:v>
                </c:pt>
                <c:pt idx="91">
                  <c:v>0.98087254265304913</c:v>
                </c:pt>
                <c:pt idx="92">
                  <c:v>0.98087254265304913</c:v>
                </c:pt>
                <c:pt idx="93">
                  <c:v>0.98090206033414018</c:v>
                </c:pt>
                <c:pt idx="94">
                  <c:v>0.98057736584213939</c:v>
                </c:pt>
                <c:pt idx="95">
                  <c:v>0.9801050829446839</c:v>
                </c:pt>
                <c:pt idx="96">
                  <c:v>0.98007556526359296</c:v>
                </c:pt>
                <c:pt idx="97">
                  <c:v>0.97998701222032003</c:v>
                </c:pt>
                <c:pt idx="98">
                  <c:v>0.98004604758250191</c:v>
                </c:pt>
                <c:pt idx="99">
                  <c:v>0.97972135309050123</c:v>
                </c:pt>
                <c:pt idx="100">
                  <c:v>0.97930810555522751</c:v>
                </c:pt>
                <c:pt idx="101">
                  <c:v>0.97910148178759082</c:v>
                </c:pt>
                <c:pt idx="102">
                  <c:v>0.97924907019304552</c:v>
                </c:pt>
                <c:pt idx="103">
                  <c:v>0.97904244642540883</c:v>
                </c:pt>
                <c:pt idx="104">
                  <c:v>0.97859968120904417</c:v>
                </c:pt>
                <c:pt idx="105">
                  <c:v>0.97806836294940658</c:v>
                </c:pt>
                <c:pt idx="106">
                  <c:v>0.97774366845740601</c:v>
                </c:pt>
                <c:pt idx="107">
                  <c:v>0.97762559773304203</c:v>
                </c:pt>
                <c:pt idx="108">
                  <c:v>0.97744849164649616</c:v>
                </c:pt>
                <c:pt idx="109">
                  <c:v>0.97706476179231361</c:v>
                </c:pt>
                <c:pt idx="110">
                  <c:v>0.97650392585158508</c:v>
                </c:pt>
                <c:pt idx="111">
                  <c:v>0.97638585512722131</c:v>
                </c:pt>
                <c:pt idx="112">
                  <c:v>0.97650392585158508</c:v>
                </c:pt>
                <c:pt idx="113">
                  <c:v>0.97676958498140387</c:v>
                </c:pt>
                <c:pt idx="114">
                  <c:v>0.97659247889485801</c:v>
                </c:pt>
                <c:pt idx="115">
                  <c:v>0.97617923135958429</c:v>
                </c:pt>
                <c:pt idx="116">
                  <c:v>0.97597260759194759</c:v>
                </c:pt>
                <c:pt idx="117">
                  <c:v>0.97612019599740252</c:v>
                </c:pt>
                <c:pt idx="118">
                  <c:v>0.97609067831631136</c:v>
                </c:pt>
                <c:pt idx="119">
                  <c:v>0.97573646614321974</c:v>
                </c:pt>
                <c:pt idx="120">
                  <c:v>0.97526418324576414</c:v>
                </c:pt>
                <c:pt idx="121">
                  <c:v>0.97508707715921838</c:v>
                </c:pt>
                <c:pt idx="122">
                  <c:v>0.97517563020249121</c:v>
                </c:pt>
                <c:pt idx="123">
                  <c:v>0.97517563020249121</c:v>
                </c:pt>
                <c:pt idx="124">
                  <c:v>0.97482141802939959</c:v>
                </c:pt>
                <c:pt idx="125">
                  <c:v>0.97437865281303493</c:v>
                </c:pt>
                <c:pt idx="126">
                  <c:v>0.9740244406399432</c:v>
                </c:pt>
                <c:pt idx="127">
                  <c:v>0.9741425113643073</c:v>
                </c:pt>
                <c:pt idx="128">
                  <c:v>0.9740834760021253</c:v>
                </c:pt>
                <c:pt idx="129">
                  <c:v>0.97375878151012452</c:v>
                </c:pt>
                <c:pt idx="130">
                  <c:v>0.97334553397485102</c:v>
                </c:pt>
                <c:pt idx="131">
                  <c:v>0.97316842788830515</c:v>
                </c:pt>
                <c:pt idx="132">
                  <c:v>0.97322746325048692</c:v>
                </c:pt>
                <c:pt idx="133">
                  <c:v>0.97325698093157809</c:v>
                </c:pt>
                <c:pt idx="134">
                  <c:v>0.97310939252612316</c:v>
                </c:pt>
                <c:pt idx="135">
                  <c:v>0.97269614499084955</c:v>
                </c:pt>
                <c:pt idx="136">
                  <c:v>0.97240096817993971</c:v>
                </c:pt>
                <c:pt idx="137">
                  <c:v>0.97228289745557583</c:v>
                </c:pt>
                <c:pt idx="138">
                  <c:v>0.9724600035421217</c:v>
                </c:pt>
                <c:pt idx="139">
                  <c:v>0.97222386209339384</c:v>
                </c:pt>
                <c:pt idx="140">
                  <c:v>0.97184013223921129</c:v>
                </c:pt>
                <c:pt idx="141">
                  <c:v>0.9715154377472105</c:v>
                </c:pt>
                <c:pt idx="142">
                  <c:v>0.97036424818466271</c:v>
                </c:pt>
                <c:pt idx="143">
                  <c:v>0.97175157919593835</c:v>
                </c:pt>
                <c:pt idx="144">
                  <c:v>0.97195820296357505</c:v>
                </c:pt>
                <c:pt idx="145">
                  <c:v>0.97178109687702929</c:v>
                </c:pt>
                <c:pt idx="146">
                  <c:v>0.9715154377472105</c:v>
                </c:pt>
                <c:pt idx="147">
                  <c:v>0.96944920007084256</c:v>
                </c:pt>
                <c:pt idx="148">
                  <c:v>0.96874077572465911</c:v>
                </c:pt>
                <c:pt idx="149">
                  <c:v>0.96844559891374926</c:v>
                </c:pt>
                <c:pt idx="150">
                  <c:v>0.96865222268138618</c:v>
                </c:pt>
                <c:pt idx="151">
                  <c:v>0.96874077572465911</c:v>
                </c:pt>
                <c:pt idx="152">
                  <c:v>0.96882932876793204</c:v>
                </c:pt>
                <c:pt idx="153">
                  <c:v>0.96868174036247712</c:v>
                </c:pt>
                <c:pt idx="154">
                  <c:v>0.96832752818938539</c:v>
                </c:pt>
                <c:pt idx="155">
                  <c:v>0.96794379833520283</c:v>
                </c:pt>
                <c:pt idx="156">
                  <c:v>0.96782572761083874</c:v>
                </c:pt>
                <c:pt idx="157">
                  <c:v>0.96688116181592776</c:v>
                </c:pt>
                <c:pt idx="158">
                  <c:v>0.96596611370210761</c:v>
                </c:pt>
                <c:pt idx="159">
                  <c:v>0.96528720703701509</c:v>
                </c:pt>
                <c:pt idx="160">
                  <c:v>0.96478540645846866</c:v>
                </c:pt>
                <c:pt idx="161">
                  <c:v>0.96511010095046923</c:v>
                </c:pt>
                <c:pt idx="162">
                  <c:v>0.96590707833992562</c:v>
                </c:pt>
                <c:pt idx="163">
                  <c:v>0.96555286616683389</c:v>
                </c:pt>
                <c:pt idx="164">
                  <c:v>0.9650805832693784</c:v>
                </c:pt>
                <c:pt idx="165">
                  <c:v>0.96463781805301374</c:v>
                </c:pt>
                <c:pt idx="166">
                  <c:v>0.9646083003719228</c:v>
                </c:pt>
                <c:pt idx="167">
                  <c:v>0.96463781805301374</c:v>
                </c:pt>
                <c:pt idx="168">
                  <c:v>0.96451974732864987</c:v>
                </c:pt>
                <c:pt idx="169">
                  <c:v>0.96404746443119416</c:v>
                </c:pt>
                <c:pt idx="170">
                  <c:v>0.96360469921482972</c:v>
                </c:pt>
                <c:pt idx="171">
                  <c:v>0.96360469921482972</c:v>
                </c:pt>
                <c:pt idx="172">
                  <c:v>0.96375228762028453</c:v>
                </c:pt>
                <c:pt idx="173">
                  <c:v>0.96363421689592066</c:v>
                </c:pt>
                <c:pt idx="174">
                  <c:v>0.96322096936064694</c:v>
                </c:pt>
                <c:pt idx="175">
                  <c:v>0.96277820414428239</c:v>
                </c:pt>
                <c:pt idx="176">
                  <c:v>0.96257158037664559</c:v>
                </c:pt>
                <c:pt idx="177">
                  <c:v>0.96254206269555465</c:v>
                </c:pt>
                <c:pt idx="178">
                  <c:v>0.96245350965228171</c:v>
                </c:pt>
                <c:pt idx="179">
                  <c:v>0.96198122675482622</c:v>
                </c:pt>
                <c:pt idx="180">
                  <c:v>0.96147942617627957</c:v>
                </c:pt>
                <c:pt idx="181">
                  <c:v>0.96133183777082465</c:v>
                </c:pt>
                <c:pt idx="182">
                  <c:v>0.96124328472755172</c:v>
                </c:pt>
                <c:pt idx="183">
                  <c:v>0.96109569632209702</c:v>
                </c:pt>
                <c:pt idx="184">
                  <c:v>0.9606824487868233</c:v>
                </c:pt>
                <c:pt idx="185">
                  <c:v>0.96012161284609487</c:v>
                </c:pt>
                <c:pt idx="186">
                  <c:v>0.95994450675954901</c:v>
                </c:pt>
                <c:pt idx="187">
                  <c:v>0.95994450675954901</c:v>
                </c:pt>
                <c:pt idx="188">
                  <c:v>0.95982643603518514</c:v>
                </c:pt>
                <c:pt idx="189">
                  <c:v>0.95953125922427529</c:v>
                </c:pt>
                <c:pt idx="190">
                  <c:v>0.9590589763268198</c:v>
                </c:pt>
                <c:pt idx="191">
                  <c:v>0.95882283487809183</c:v>
                </c:pt>
                <c:pt idx="192">
                  <c:v>0.958793317197001</c:v>
                </c:pt>
                <c:pt idx="193">
                  <c:v>0.95867524647263713</c:v>
                </c:pt>
                <c:pt idx="194">
                  <c:v>0.95852765806718221</c:v>
                </c:pt>
                <c:pt idx="195">
                  <c:v>0.95811441053190871</c:v>
                </c:pt>
                <c:pt idx="196">
                  <c:v>0.95787826908318086</c:v>
                </c:pt>
                <c:pt idx="197">
                  <c:v>0.95805537516972672</c:v>
                </c:pt>
                <c:pt idx="198">
                  <c:v>0.95808489285081755</c:v>
                </c:pt>
                <c:pt idx="199">
                  <c:v>0.9579077867642718</c:v>
                </c:pt>
                <c:pt idx="200">
                  <c:v>0.9574355038668162</c:v>
                </c:pt>
                <c:pt idx="201">
                  <c:v>0.95714032705590657</c:v>
                </c:pt>
                <c:pt idx="202">
                  <c:v>0.95755357459118007</c:v>
                </c:pt>
                <c:pt idx="203">
                  <c:v>0.95787826908318086</c:v>
                </c:pt>
                <c:pt idx="204">
                  <c:v>0.95796682212645379</c:v>
                </c:pt>
                <c:pt idx="205">
                  <c:v>0.95767164531554405</c:v>
                </c:pt>
                <c:pt idx="206">
                  <c:v>0.95740598618572537</c:v>
                </c:pt>
                <c:pt idx="207">
                  <c:v>0.95714032705590657</c:v>
                </c:pt>
                <c:pt idx="208">
                  <c:v>0.95693370328826954</c:v>
                </c:pt>
                <c:pt idx="209">
                  <c:v>0.95672707952063285</c:v>
                </c:pt>
                <c:pt idx="210">
                  <c:v>0.95622527894208642</c:v>
                </c:pt>
                <c:pt idx="211">
                  <c:v>0.95575299604463071</c:v>
                </c:pt>
                <c:pt idx="212">
                  <c:v>0.95554637227699391</c:v>
                </c:pt>
                <c:pt idx="213">
                  <c:v>0.95684515024499661</c:v>
                </c:pt>
                <c:pt idx="214">
                  <c:v>0.95539878387153898</c:v>
                </c:pt>
                <c:pt idx="215">
                  <c:v>0.95430662967117297</c:v>
                </c:pt>
                <c:pt idx="216">
                  <c:v>0.95457228880099176</c:v>
                </c:pt>
                <c:pt idx="217">
                  <c:v>0.95657949111517793</c:v>
                </c:pt>
                <c:pt idx="218">
                  <c:v>0.95646142039081405</c:v>
                </c:pt>
                <c:pt idx="219">
                  <c:v>0.95563492532026684</c:v>
                </c:pt>
                <c:pt idx="220">
                  <c:v>0.95519216010390218</c:v>
                </c:pt>
                <c:pt idx="221">
                  <c:v>0.95480843024971962</c:v>
                </c:pt>
                <c:pt idx="222">
                  <c:v>0.95454277111990082</c:v>
                </c:pt>
                <c:pt idx="223">
                  <c:v>0.9543951827144459</c:v>
                </c:pt>
                <c:pt idx="224">
                  <c:v>0.95410000590353627</c:v>
                </c:pt>
                <c:pt idx="225">
                  <c:v>0.95288978097880617</c:v>
                </c:pt>
                <c:pt idx="226">
                  <c:v>0.95280122793553346</c:v>
                </c:pt>
                <c:pt idx="227">
                  <c:v>0.95268315721116947</c:v>
                </c:pt>
                <c:pt idx="228">
                  <c:v>0.95232894503807775</c:v>
                </c:pt>
                <c:pt idx="229">
                  <c:v>0.95200425054607718</c:v>
                </c:pt>
                <c:pt idx="230">
                  <c:v>0.95170907373516733</c:v>
                </c:pt>
                <c:pt idx="231">
                  <c:v>0.9516205206918944</c:v>
                </c:pt>
                <c:pt idx="232">
                  <c:v>0.95144341460534854</c:v>
                </c:pt>
                <c:pt idx="233">
                  <c:v>0.95111872011334797</c:v>
                </c:pt>
                <c:pt idx="234">
                  <c:v>0.95082354330243823</c:v>
                </c:pt>
                <c:pt idx="235">
                  <c:v>0.95058740185371038</c:v>
                </c:pt>
                <c:pt idx="236">
                  <c:v>0.95052836649152839</c:v>
                </c:pt>
                <c:pt idx="237">
                  <c:v>0.95043981344825545</c:v>
                </c:pt>
                <c:pt idx="238">
                  <c:v>0.95008560127516373</c:v>
                </c:pt>
                <c:pt idx="239">
                  <c:v>0.9497904244642541</c:v>
                </c:pt>
                <c:pt idx="240">
                  <c:v>0.94955428301552625</c:v>
                </c:pt>
                <c:pt idx="241">
                  <c:v>0.94937717692898038</c:v>
                </c:pt>
                <c:pt idx="242">
                  <c:v>0.94922958852352568</c:v>
                </c:pt>
                <c:pt idx="243">
                  <c:v>0.94896392939370688</c:v>
                </c:pt>
                <c:pt idx="244">
                  <c:v>0.94866875258279715</c:v>
                </c:pt>
                <c:pt idx="245">
                  <c:v>0.94840309345297835</c:v>
                </c:pt>
                <c:pt idx="246">
                  <c:v>0.94825550504752343</c:v>
                </c:pt>
                <c:pt idx="247">
                  <c:v>0.94790129287443181</c:v>
                </c:pt>
                <c:pt idx="248">
                  <c:v>0.94754708070134008</c:v>
                </c:pt>
                <c:pt idx="249">
                  <c:v>0.94710431548497542</c:v>
                </c:pt>
                <c:pt idx="250">
                  <c:v>0.94675010331188381</c:v>
                </c:pt>
                <c:pt idx="251">
                  <c:v>0.94666155026861087</c:v>
                </c:pt>
                <c:pt idx="252">
                  <c:v>0.94663203258751993</c:v>
                </c:pt>
                <c:pt idx="253">
                  <c:v>0.94645492650097407</c:v>
                </c:pt>
                <c:pt idx="254">
                  <c:v>0.94618926737115527</c:v>
                </c:pt>
                <c:pt idx="255">
                  <c:v>0.94604167896570035</c:v>
                </c:pt>
                <c:pt idx="256">
                  <c:v>0.94583505519806366</c:v>
                </c:pt>
                <c:pt idx="257">
                  <c:v>0.94571698447369978</c:v>
                </c:pt>
                <c:pt idx="258">
                  <c:v>0.94556939606824486</c:v>
                </c:pt>
                <c:pt idx="259">
                  <c:v>0.94521518389515313</c:v>
                </c:pt>
                <c:pt idx="260">
                  <c:v>0.94483145404097058</c:v>
                </c:pt>
                <c:pt idx="261">
                  <c:v>0.94480193635987963</c:v>
                </c:pt>
                <c:pt idx="262">
                  <c:v>0.94480193635987963</c:v>
                </c:pt>
                <c:pt idx="263">
                  <c:v>0.9447133833166067</c:v>
                </c:pt>
                <c:pt idx="264">
                  <c:v>0.9444477241867878</c:v>
                </c:pt>
                <c:pt idx="265">
                  <c:v>0.94418206505696911</c:v>
                </c:pt>
                <c:pt idx="266">
                  <c:v>0.94353267607296765</c:v>
                </c:pt>
                <c:pt idx="267">
                  <c:v>0.94326701694314896</c:v>
                </c:pt>
                <c:pt idx="268">
                  <c:v>0.9430899108566031</c:v>
                </c:pt>
                <c:pt idx="269">
                  <c:v>0.94267666332132949</c:v>
                </c:pt>
                <c:pt idx="270">
                  <c:v>0.94226341578605588</c:v>
                </c:pt>
                <c:pt idx="271">
                  <c:v>0.94205679201841896</c:v>
                </c:pt>
                <c:pt idx="272">
                  <c:v>0.94196823897514603</c:v>
                </c:pt>
                <c:pt idx="273">
                  <c:v>0.94182065056969122</c:v>
                </c:pt>
                <c:pt idx="274">
                  <c:v>0.94146643839659949</c:v>
                </c:pt>
                <c:pt idx="275">
                  <c:v>0.94120077926678081</c:v>
                </c:pt>
                <c:pt idx="276">
                  <c:v>0.94096463781805306</c:v>
                </c:pt>
                <c:pt idx="277">
                  <c:v>0.94081704941259814</c:v>
                </c:pt>
                <c:pt idx="278">
                  <c:v>0.94072849636932521</c:v>
                </c:pt>
                <c:pt idx="279">
                  <c:v>0.94049235492059735</c:v>
                </c:pt>
                <c:pt idx="280">
                  <c:v>0.94013814274750584</c:v>
                </c:pt>
                <c:pt idx="281">
                  <c:v>0.93990200129877788</c:v>
                </c:pt>
                <c:pt idx="282">
                  <c:v>0.93981344825550506</c:v>
                </c:pt>
                <c:pt idx="283">
                  <c:v>0.93954778912568626</c:v>
                </c:pt>
                <c:pt idx="284">
                  <c:v>0.93931164767695852</c:v>
                </c:pt>
                <c:pt idx="285">
                  <c:v>0.93898695318495784</c:v>
                </c:pt>
                <c:pt idx="286">
                  <c:v>0.93875081173622998</c:v>
                </c:pt>
                <c:pt idx="287">
                  <c:v>0.93869177637404799</c:v>
                </c:pt>
                <c:pt idx="288">
                  <c:v>0.93875081173622998</c:v>
                </c:pt>
                <c:pt idx="289">
                  <c:v>0.93845563492532025</c:v>
                </c:pt>
                <c:pt idx="290">
                  <c:v>0.93836708188204732</c:v>
                </c:pt>
                <c:pt idx="291">
                  <c:v>0.93818997579550145</c:v>
                </c:pt>
                <c:pt idx="292">
                  <c:v>0.93798335202786476</c:v>
                </c:pt>
                <c:pt idx="293">
                  <c:v>0.93783576362240972</c:v>
                </c:pt>
                <c:pt idx="294">
                  <c:v>0.9375405868115001</c:v>
                </c:pt>
                <c:pt idx="295">
                  <c:v>0.93733396304386329</c:v>
                </c:pt>
                <c:pt idx="296">
                  <c:v>0.93695023318968063</c:v>
                </c:pt>
                <c:pt idx="297">
                  <c:v>0.93934116535804946</c:v>
                </c:pt>
                <c:pt idx="298">
                  <c:v>0.93922309463368558</c:v>
                </c:pt>
                <c:pt idx="299">
                  <c:v>0.93872129405513904</c:v>
                </c:pt>
                <c:pt idx="300">
                  <c:v>0.93700926855186251</c:v>
                </c:pt>
                <c:pt idx="301">
                  <c:v>0.93700926855186251</c:v>
                </c:pt>
                <c:pt idx="302">
                  <c:v>0.93671409174095288</c:v>
                </c:pt>
                <c:pt idx="303">
                  <c:v>0.93633036188677021</c:v>
                </c:pt>
                <c:pt idx="304">
                  <c:v>0.9358580789893145</c:v>
                </c:pt>
                <c:pt idx="305">
                  <c:v>0.93547434913513194</c:v>
                </c:pt>
                <c:pt idx="306">
                  <c:v>0.93526772536749514</c:v>
                </c:pt>
                <c:pt idx="307">
                  <c:v>0.93517917232422221</c:v>
                </c:pt>
                <c:pt idx="308">
                  <c:v>0.9347659247889486</c:v>
                </c:pt>
                <c:pt idx="309">
                  <c:v>0.93426412421040206</c:v>
                </c:pt>
                <c:pt idx="310">
                  <c:v>0.93399846508058326</c:v>
                </c:pt>
                <c:pt idx="311">
                  <c:v>0.93402798276167431</c:v>
                </c:pt>
                <c:pt idx="312">
                  <c:v>0.93393942971840138</c:v>
                </c:pt>
                <c:pt idx="313">
                  <c:v>0.93364425290749153</c:v>
                </c:pt>
                <c:pt idx="314">
                  <c:v>0.93314245232894499</c:v>
                </c:pt>
                <c:pt idx="315">
                  <c:v>0.93284727551803537</c:v>
                </c:pt>
                <c:pt idx="316">
                  <c:v>0.93281775783694432</c:v>
                </c:pt>
                <c:pt idx="317">
                  <c:v>0.93281775783694432</c:v>
                </c:pt>
                <c:pt idx="318">
                  <c:v>0.93255209870712552</c:v>
                </c:pt>
                <c:pt idx="319">
                  <c:v>0.9321978865340339</c:v>
                </c:pt>
                <c:pt idx="320">
                  <c:v>0.93196174508530616</c:v>
                </c:pt>
                <c:pt idx="321">
                  <c:v>0.93181415667985124</c:v>
                </c:pt>
                <c:pt idx="322">
                  <c:v>0.9317256036365783</c:v>
                </c:pt>
                <c:pt idx="323">
                  <c:v>0.93137139146348669</c:v>
                </c:pt>
                <c:pt idx="324">
                  <c:v>0.93098766160930391</c:v>
                </c:pt>
                <c:pt idx="325">
                  <c:v>0.93063344943621229</c:v>
                </c:pt>
                <c:pt idx="326">
                  <c:v>0.9305744140740303</c:v>
                </c:pt>
                <c:pt idx="327">
                  <c:v>0.93048586103075737</c:v>
                </c:pt>
                <c:pt idx="328">
                  <c:v>0.93030875494421161</c:v>
                </c:pt>
                <c:pt idx="329">
                  <c:v>0.92992502509002894</c:v>
                </c:pt>
                <c:pt idx="330">
                  <c:v>0.92960033059802816</c:v>
                </c:pt>
                <c:pt idx="331">
                  <c:v>0.92960033059802816</c:v>
                </c:pt>
                <c:pt idx="332">
                  <c:v>0.92957081291693722</c:v>
                </c:pt>
                <c:pt idx="333">
                  <c:v>0.92945274219257334</c:v>
                </c:pt>
                <c:pt idx="334">
                  <c:v>0.92909853001948162</c:v>
                </c:pt>
                <c:pt idx="335">
                  <c:v>0.92883287088966282</c:v>
                </c:pt>
                <c:pt idx="336">
                  <c:v>0.92874431784639</c:v>
                </c:pt>
                <c:pt idx="337">
                  <c:v>0.92874431784639</c:v>
                </c:pt>
                <c:pt idx="338">
                  <c:v>0.9285376940787532</c:v>
                </c:pt>
                <c:pt idx="339">
                  <c:v>0.92815396422457053</c:v>
                </c:pt>
                <c:pt idx="340">
                  <c:v>0.92777023437038786</c:v>
                </c:pt>
                <c:pt idx="341">
                  <c:v>0.92777023437038786</c:v>
                </c:pt>
                <c:pt idx="342">
                  <c:v>0.9277997520514788</c:v>
                </c:pt>
                <c:pt idx="343">
                  <c:v>0.92771119900820587</c:v>
                </c:pt>
                <c:pt idx="344">
                  <c:v>0.92738650451620519</c:v>
                </c:pt>
                <c:pt idx="345">
                  <c:v>0.92703229234311346</c:v>
                </c:pt>
                <c:pt idx="346">
                  <c:v>0.92694373929984053</c:v>
                </c:pt>
                <c:pt idx="347">
                  <c:v>0.92697325698093158</c:v>
                </c:pt>
                <c:pt idx="348">
                  <c:v>0.9268551862565676</c:v>
                </c:pt>
                <c:pt idx="349">
                  <c:v>0.92641242104020316</c:v>
                </c:pt>
                <c:pt idx="350">
                  <c:v>0.92602869118602038</c:v>
                </c:pt>
                <c:pt idx="351">
                  <c:v>0.92567447901292876</c:v>
                </c:pt>
                <c:pt idx="352">
                  <c:v>0.92555640828856489</c:v>
                </c:pt>
                <c:pt idx="353">
                  <c:v>0.92540881988310997</c:v>
                </c:pt>
                <c:pt idx="354">
                  <c:v>0.92511364307220023</c:v>
                </c:pt>
                <c:pt idx="355">
                  <c:v>0.92472991321801756</c:v>
                </c:pt>
                <c:pt idx="356">
                  <c:v>0.92434618336383501</c:v>
                </c:pt>
                <c:pt idx="357">
                  <c:v>0.92425763032056207</c:v>
                </c:pt>
                <c:pt idx="358">
                  <c:v>0.92413955959619809</c:v>
                </c:pt>
                <c:pt idx="359">
                  <c:v>0.92405100655292516</c:v>
                </c:pt>
                <c:pt idx="360">
                  <c:v>0.92384438278528835</c:v>
                </c:pt>
                <c:pt idx="361">
                  <c:v>0.92360824133656061</c:v>
                </c:pt>
                <c:pt idx="362">
                  <c:v>0.92363775901765155</c:v>
                </c:pt>
                <c:pt idx="363">
                  <c:v>0.92357872365546967</c:v>
                </c:pt>
                <c:pt idx="364">
                  <c:v>0.92331306452565087</c:v>
                </c:pt>
                <c:pt idx="365">
                  <c:v>0.92304740539583208</c:v>
                </c:pt>
                <c:pt idx="366">
                  <c:v>0.92260464017946753</c:v>
                </c:pt>
                <c:pt idx="367">
                  <c:v>0.92248656945510354</c:v>
                </c:pt>
                <c:pt idx="368">
                  <c:v>0.92245705177401272</c:v>
                </c:pt>
                <c:pt idx="369">
                  <c:v>0.92213235728201193</c:v>
                </c:pt>
                <c:pt idx="370">
                  <c:v>0.92174862742782926</c:v>
                </c:pt>
                <c:pt idx="371">
                  <c:v>0.92142393293582858</c:v>
                </c:pt>
                <c:pt idx="372">
                  <c:v>0.92127634453037366</c:v>
                </c:pt>
                <c:pt idx="373">
                  <c:v>0.92115827380600979</c:v>
                </c:pt>
                <c:pt idx="374">
                  <c:v>0.92074502627073618</c:v>
                </c:pt>
                <c:pt idx="375">
                  <c:v>0.91965287207037016</c:v>
                </c:pt>
                <c:pt idx="376">
                  <c:v>0.91956431902709723</c:v>
                </c:pt>
                <c:pt idx="377">
                  <c:v>0.91944624830273336</c:v>
                </c:pt>
                <c:pt idx="378">
                  <c:v>0.91929865989727844</c:v>
                </c:pt>
                <c:pt idx="379">
                  <c:v>0.91903300076745975</c:v>
                </c:pt>
                <c:pt idx="380">
                  <c:v>0.91873782395655001</c:v>
                </c:pt>
                <c:pt idx="381">
                  <c:v>0.91864927091327708</c:v>
                </c:pt>
                <c:pt idx="382">
                  <c:v>0.91870830627545896</c:v>
                </c:pt>
                <c:pt idx="383">
                  <c:v>0.91829505874018535</c:v>
                </c:pt>
                <c:pt idx="384">
                  <c:v>0.91794084656709363</c:v>
                </c:pt>
                <c:pt idx="385">
                  <c:v>0.91761615207509295</c:v>
                </c:pt>
                <c:pt idx="386">
                  <c:v>0.91729145758309227</c:v>
                </c:pt>
                <c:pt idx="387">
                  <c:v>0.91708483381545547</c:v>
                </c:pt>
                <c:pt idx="388">
                  <c:v>0.91681917468563667</c:v>
                </c:pt>
                <c:pt idx="389">
                  <c:v>0.91658303323690893</c:v>
                </c:pt>
                <c:pt idx="390">
                  <c:v>0.91640592715036306</c:v>
                </c:pt>
                <c:pt idx="391">
                  <c:v>0.9160221972961804</c:v>
                </c:pt>
                <c:pt idx="392">
                  <c:v>0.91575653816636171</c:v>
                </c:pt>
                <c:pt idx="393">
                  <c:v>0.91540232599326998</c:v>
                </c:pt>
                <c:pt idx="394">
                  <c:v>0.91510714918236025</c:v>
                </c:pt>
                <c:pt idx="395">
                  <c:v>0.91495956077690532</c:v>
                </c:pt>
                <c:pt idx="396">
                  <c:v>0.91469390164708664</c:v>
                </c:pt>
                <c:pt idx="397">
                  <c:v>0.91469390164708664</c:v>
                </c:pt>
                <c:pt idx="398">
                  <c:v>0.91457583092272277</c:v>
                </c:pt>
                <c:pt idx="399">
                  <c:v>0.91422161874963104</c:v>
                </c:pt>
                <c:pt idx="400">
                  <c:v>0.91374933585217544</c:v>
                </c:pt>
                <c:pt idx="401">
                  <c:v>0.91366078280890251</c:v>
                </c:pt>
                <c:pt idx="402">
                  <c:v>0.91369030048999356</c:v>
                </c:pt>
                <c:pt idx="403">
                  <c:v>0.91369030048999356</c:v>
                </c:pt>
                <c:pt idx="404">
                  <c:v>0.91345415904126581</c:v>
                </c:pt>
                <c:pt idx="405">
                  <c:v>0.91289332310053717</c:v>
                </c:pt>
                <c:pt idx="406">
                  <c:v>0.91268669933290048</c:v>
                </c:pt>
                <c:pt idx="407">
                  <c:v>0.91265718165180942</c:v>
                </c:pt>
                <c:pt idx="408">
                  <c:v>0.91262766397071848</c:v>
                </c:pt>
                <c:pt idx="409">
                  <c:v>0.9123029694787177</c:v>
                </c:pt>
                <c:pt idx="410">
                  <c:v>0.91156502745144341</c:v>
                </c:pt>
                <c:pt idx="411">
                  <c:v>0.91121081527835179</c:v>
                </c:pt>
                <c:pt idx="412">
                  <c:v>0.91150599208926142</c:v>
                </c:pt>
                <c:pt idx="413">
                  <c:v>0.91153550977035247</c:v>
                </c:pt>
                <c:pt idx="414">
                  <c:v>0.91144695672707954</c:v>
                </c:pt>
                <c:pt idx="415">
                  <c:v>0.91138792136489766</c:v>
                </c:pt>
                <c:pt idx="416">
                  <c:v>0.91100419151071488</c:v>
                </c:pt>
                <c:pt idx="417">
                  <c:v>0.910945156148533</c:v>
                </c:pt>
                <c:pt idx="418">
                  <c:v>0.9141921010685401</c:v>
                </c:pt>
                <c:pt idx="419">
                  <c:v>0.9132475352736289</c:v>
                </c:pt>
                <c:pt idx="420">
                  <c:v>0.9127162170139913</c:v>
                </c:pt>
                <c:pt idx="421">
                  <c:v>0.91209634571108089</c:v>
                </c:pt>
                <c:pt idx="422">
                  <c:v>0.91156502745144341</c:v>
                </c:pt>
                <c:pt idx="423">
                  <c:v>0.91132888600271555</c:v>
                </c:pt>
                <c:pt idx="424">
                  <c:v>0.91129936832162473</c:v>
                </c:pt>
                <c:pt idx="425">
                  <c:v>0.910945156148533</c:v>
                </c:pt>
                <c:pt idx="426">
                  <c:v>0.9104728732510774</c:v>
                </c:pt>
                <c:pt idx="427">
                  <c:v>0.91005962571580379</c:v>
                </c:pt>
                <c:pt idx="428">
                  <c:v>0.90982348426707593</c:v>
                </c:pt>
                <c:pt idx="429">
                  <c:v>0.90976444890489405</c:v>
                </c:pt>
                <c:pt idx="430">
                  <c:v>0.9095283074561662</c:v>
                </c:pt>
                <c:pt idx="431">
                  <c:v>0.90911505992089259</c:v>
                </c:pt>
                <c:pt idx="432">
                  <c:v>0.90867229470452793</c:v>
                </c:pt>
                <c:pt idx="433">
                  <c:v>0.90840663557470924</c:v>
                </c:pt>
                <c:pt idx="434">
                  <c:v>0.90840663557470924</c:v>
                </c:pt>
                <c:pt idx="435">
                  <c:v>0.90820001180707244</c:v>
                </c:pt>
                <c:pt idx="436">
                  <c:v>0.90778676427179883</c:v>
                </c:pt>
                <c:pt idx="437">
                  <c:v>0.90740303441761616</c:v>
                </c:pt>
                <c:pt idx="438">
                  <c:v>0.90716689296888842</c:v>
                </c:pt>
                <c:pt idx="439">
                  <c:v>0.90710785760670642</c:v>
                </c:pt>
                <c:pt idx="440">
                  <c:v>0.90690123383906962</c:v>
                </c:pt>
                <c:pt idx="441">
                  <c:v>0.90651750398488695</c:v>
                </c:pt>
                <c:pt idx="442">
                  <c:v>0.90610425644961334</c:v>
                </c:pt>
                <c:pt idx="443">
                  <c:v>0.90589763268197654</c:v>
                </c:pt>
                <c:pt idx="444">
                  <c:v>0.90595666804415842</c:v>
                </c:pt>
                <c:pt idx="445">
                  <c:v>0.90583859731979455</c:v>
                </c:pt>
                <c:pt idx="446">
                  <c:v>0.90548438514670282</c:v>
                </c:pt>
                <c:pt idx="447">
                  <c:v>0.90521872601688413</c:v>
                </c:pt>
                <c:pt idx="448">
                  <c:v>0.90459885471397372</c:v>
                </c:pt>
                <c:pt idx="449">
                  <c:v>0.90306393529724305</c:v>
                </c:pt>
                <c:pt idx="450">
                  <c:v>0.90037782631796448</c:v>
                </c:pt>
                <c:pt idx="451">
                  <c:v>0.90105673298305689</c:v>
                </c:pt>
                <c:pt idx="452">
                  <c:v>0.90102721530196583</c:v>
                </c:pt>
                <c:pt idx="453">
                  <c:v>0.9012043213885117</c:v>
                </c:pt>
                <c:pt idx="454">
                  <c:v>0.90197178109687703</c:v>
                </c:pt>
                <c:pt idx="455">
                  <c:v>0.90206033414014986</c:v>
                </c:pt>
                <c:pt idx="456">
                  <c:v>0.90182419269142211</c:v>
                </c:pt>
                <c:pt idx="457">
                  <c:v>0.90173563964814918</c:v>
                </c:pt>
                <c:pt idx="458">
                  <c:v>0.90173563964814918</c:v>
                </c:pt>
                <c:pt idx="459">
                  <c:v>0.9016766042859673</c:v>
                </c:pt>
                <c:pt idx="460">
                  <c:v>0.90149949819942143</c:v>
                </c:pt>
                <c:pt idx="461">
                  <c:v>0.90114528602632982</c:v>
                </c:pt>
                <c:pt idx="462">
                  <c:v>0.90096817993978395</c:v>
                </c:pt>
                <c:pt idx="463">
                  <c:v>0.90102721530196583</c:v>
                </c:pt>
                <c:pt idx="464">
                  <c:v>0.90102721530196583</c:v>
                </c:pt>
                <c:pt idx="465">
                  <c:v>0.90076155617214704</c:v>
                </c:pt>
                <c:pt idx="466">
                  <c:v>0.90040734399905542</c:v>
                </c:pt>
                <c:pt idx="467">
                  <c:v>0.90023023791250967</c:v>
                </c:pt>
                <c:pt idx="468">
                  <c:v>0.9003187909557826</c:v>
                </c:pt>
                <c:pt idx="469">
                  <c:v>0.90034830863687343</c:v>
                </c:pt>
                <c:pt idx="470">
                  <c:v>0.8999940964637817</c:v>
                </c:pt>
                <c:pt idx="471">
                  <c:v>0.89961036660959914</c:v>
                </c:pt>
                <c:pt idx="472">
                  <c:v>0.89931518979868941</c:v>
                </c:pt>
                <c:pt idx="473">
                  <c:v>0.89931518979868941</c:v>
                </c:pt>
                <c:pt idx="474">
                  <c:v>0.89837062400377821</c:v>
                </c:pt>
                <c:pt idx="475">
                  <c:v>0.89642245705177404</c:v>
                </c:pt>
                <c:pt idx="476">
                  <c:v>0.89574355038668163</c:v>
                </c:pt>
                <c:pt idx="477">
                  <c:v>0.8956549973434087</c:v>
                </c:pt>
                <c:pt idx="478">
                  <c:v>0.8965995631383199</c:v>
                </c:pt>
                <c:pt idx="479">
                  <c:v>0.89671763386268377</c:v>
                </c:pt>
                <c:pt idx="480">
                  <c:v>0.89662908081941084</c:v>
                </c:pt>
                <c:pt idx="481">
                  <c:v>0.89654052777613791</c:v>
                </c:pt>
                <c:pt idx="482">
                  <c:v>0.89636342168959204</c:v>
                </c:pt>
                <c:pt idx="483">
                  <c:v>0.89606824487868231</c:v>
                </c:pt>
                <c:pt idx="484">
                  <c:v>0.89580258574886351</c:v>
                </c:pt>
                <c:pt idx="485">
                  <c:v>0.89580258574886351</c:v>
                </c:pt>
                <c:pt idx="486">
                  <c:v>0.89577306806777268</c:v>
                </c:pt>
                <c:pt idx="487">
                  <c:v>0.89556644430013577</c:v>
                </c:pt>
                <c:pt idx="488">
                  <c:v>0.89521223212704404</c:v>
                </c:pt>
                <c:pt idx="489">
                  <c:v>0.89500560835940735</c:v>
                </c:pt>
                <c:pt idx="490">
                  <c:v>0.89497609067831629</c:v>
                </c:pt>
                <c:pt idx="491">
                  <c:v>0.89491705531613441</c:v>
                </c:pt>
                <c:pt idx="492">
                  <c:v>0.89423814865104201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24C-4F62-8A70-77D25E92F2C6}"/>
            </c:ext>
          </c:extLst>
        </c:ser>
        <c:ser>
          <c:idx val="2"/>
          <c:order val="2"/>
          <c:tx>
            <c:v>435-3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大小中检!$AC$3:$AC$497</c:f>
              <c:numCache>
                <c:formatCode>General</c:formatCode>
                <c:ptCount val="49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</c:numCache>
            </c:numRef>
          </c:xVal>
          <c:yVal>
            <c:numRef>
              <c:f>大小中检!$AG$3:$AG$497</c:f>
              <c:numCache>
                <c:formatCode>0.00%</c:formatCode>
                <c:ptCount val="495"/>
                <c:pt idx="0">
                  <c:v>1</c:v>
                </c:pt>
                <c:pt idx="1">
                  <c:v>1.0005060578096625</c:v>
                </c:pt>
                <c:pt idx="2">
                  <c:v>1.0002381448516058</c:v>
                </c:pt>
                <c:pt idx="3">
                  <c:v>1.0002976810645074</c:v>
                </c:pt>
                <c:pt idx="4">
                  <c:v>1.0002083767451553</c:v>
                </c:pt>
                <c:pt idx="5">
                  <c:v>1.0004167534903103</c:v>
                </c:pt>
                <c:pt idx="6">
                  <c:v>1.0001786086387043</c:v>
                </c:pt>
                <c:pt idx="7">
                  <c:v>0.99970231893549233</c:v>
                </c:pt>
                <c:pt idx="8">
                  <c:v>0.9994344059774356</c:v>
                </c:pt>
                <c:pt idx="9">
                  <c:v>0.99913672491292815</c:v>
                </c:pt>
                <c:pt idx="10">
                  <c:v>0.99928556544518199</c:v>
                </c:pt>
                <c:pt idx="11">
                  <c:v>0.99892834816777298</c:v>
                </c:pt>
                <c:pt idx="12">
                  <c:v>0.99869020331616698</c:v>
                </c:pt>
                <c:pt idx="13">
                  <c:v>0.9986008989968147</c:v>
                </c:pt>
                <c:pt idx="14">
                  <c:v>0.99836275414520859</c:v>
                </c:pt>
                <c:pt idx="15">
                  <c:v>0.99848182657101181</c:v>
                </c:pt>
                <c:pt idx="16">
                  <c:v>0.99830321793230725</c:v>
                </c:pt>
                <c:pt idx="17">
                  <c:v>0.99836275414520859</c:v>
                </c:pt>
                <c:pt idx="18">
                  <c:v>0.99851159467746242</c:v>
                </c:pt>
                <c:pt idx="19">
                  <c:v>0.99815437740005342</c:v>
                </c:pt>
                <c:pt idx="20">
                  <c:v>0.99732087041943251</c:v>
                </c:pt>
                <c:pt idx="21">
                  <c:v>0.99657666775816389</c:v>
                </c:pt>
                <c:pt idx="22">
                  <c:v>0.9962492185872055</c:v>
                </c:pt>
                <c:pt idx="23">
                  <c:v>0.9962492185872055</c:v>
                </c:pt>
                <c:pt idx="24">
                  <c:v>0.99615991426785333</c:v>
                </c:pt>
                <c:pt idx="25">
                  <c:v>0.99580269699044432</c:v>
                </c:pt>
                <c:pt idx="26">
                  <c:v>0.99550501592593688</c:v>
                </c:pt>
                <c:pt idx="27">
                  <c:v>0.99562408835173977</c:v>
                </c:pt>
                <c:pt idx="28">
                  <c:v>0.99547524781948615</c:v>
                </c:pt>
                <c:pt idx="29">
                  <c:v>0.99559432024528915</c:v>
                </c:pt>
                <c:pt idx="30">
                  <c:v>0.99514779864852787</c:v>
                </c:pt>
                <c:pt idx="31">
                  <c:v>0.99473104515821731</c:v>
                </c:pt>
                <c:pt idx="32">
                  <c:v>0.99479058137111886</c:v>
                </c:pt>
                <c:pt idx="33">
                  <c:v>0.99490965379692176</c:v>
                </c:pt>
                <c:pt idx="34">
                  <c:v>0.99476081326466814</c:v>
                </c:pt>
                <c:pt idx="35">
                  <c:v>0.99422498734855469</c:v>
                </c:pt>
                <c:pt idx="36">
                  <c:v>0.99368916143244124</c:v>
                </c:pt>
                <c:pt idx="37">
                  <c:v>0.99351055279373668</c:v>
                </c:pt>
                <c:pt idx="38">
                  <c:v>0.9934212484743844</c:v>
                </c:pt>
                <c:pt idx="39">
                  <c:v>0.99324263983567995</c:v>
                </c:pt>
                <c:pt idx="40">
                  <c:v>0.99252820528086194</c:v>
                </c:pt>
                <c:pt idx="41">
                  <c:v>0.99196261125829777</c:v>
                </c:pt>
                <c:pt idx="42">
                  <c:v>0.99187330693894549</c:v>
                </c:pt>
                <c:pt idx="43">
                  <c:v>0.99202214747119932</c:v>
                </c:pt>
                <c:pt idx="44">
                  <c:v>0.99208168368410066</c:v>
                </c:pt>
                <c:pt idx="45">
                  <c:v>0.99163516208733948</c:v>
                </c:pt>
                <c:pt idx="46">
                  <c:v>0.99124817670347976</c:v>
                </c:pt>
                <c:pt idx="47">
                  <c:v>0.99130771291638131</c:v>
                </c:pt>
                <c:pt idx="48">
                  <c:v>0.99005745244544985</c:v>
                </c:pt>
                <c:pt idx="49">
                  <c:v>0.98877742386806766</c:v>
                </c:pt>
                <c:pt idx="50">
                  <c:v>0.98770577203584065</c:v>
                </c:pt>
                <c:pt idx="51">
                  <c:v>0.98696156937457202</c:v>
                </c:pt>
                <c:pt idx="52">
                  <c:v>0.98725925043907947</c:v>
                </c:pt>
                <c:pt idx="53">
                  <c:v>0.98874765576161705</c:v>
                </c:pt>
                <c:pt idx="54">
                  <c:v>0.99017652487125274</c:v>
                </c:pt>
                <c:pt idx="55">
                  <c:v>0.98970023516804084</c:v>
                </c:pt>
                <c:pt idx="56">
                  <c:v>0.98913464114547667</c:v>
                </c:pt>
                <c:pt idx="57">
                  <c:v>0.98949185842288567</c:v>
                </c:pt>
                <c:pt idx="58">
                  <c:v>0.98946209031643484</c:v>
                </c:pt>
                <c:pt idx="59">
                  <c:v>0.989194177358378</c:v>
                </c:pt>
                <c:pt idx="60">
                  <c:v>0.98847974280356021</c:v>
                </c:pt>
                <c:pt idx="61">
                  <c:v>0.9878843806745452</c:v>
                </c:pt>
                <c:pt idx="62">
                  <c:v>0.9878843806745452</c:v>
                </c:pt>
                <c:pt idx="63">
                  <c:v>0.98776530824874231</c:v>
                </c:pt>
                <c:pt idx="64">
                  <c:v>0.98755693150358692</c:v>
                </c:pt>
                <c:pt idx="65">
                  <c:v>0.98699133748102275</c:v>
                </c:pt>
                <c:pt idx="66">
                  <c:v>0.9866936564165153</c:v>
                </c:pt>
                <c:pt idx="67">
                  <c:v>0.98675319262941685</c:v>
                </c:pt>
                <c:pt idx="68">
                  <c:v>0.98678296073586746</c:v>
                </c:pt>
                <c:pt idx="69">
                  <c:v>0.98711040990682564</c:v>
                </c:pt>
                <c:pt idx="70">
                  <c:v>0.98630667103265557</c:v>
                </c:pt>
                <c:pt idx="71">
                  <c:v>0.98556246837138672</c:v>
                </c:pt>
                <c:pt idx="72">
                  <c:v>0.98550293215848539</c:v>
                </c:pt>
                <c:pt idx="73">
                  <c:v>0.98526478730687927</c:v>
                </c:pt>
                <c:pt idx="74">
                  <c:v>0.98532432351978083</c:v>
                </c:pt>
                <c:pt idx="75">
                  <c:v>0.98434197600690609</c:v>
                </c:pt>
                <c:pt idx="76">
                  <c:v>0.98431220790045537</c:v>
                </c:pt>
                <c:pt idx="77">
                  <c:v>0.98407406304884937</c:v>
                </c:pt>
                <c:pt idx="78">
                  <c:v>0.98383591819724325</c:v>
                </c:pt>
                <c:pt idx="79">
                  <c:v>0.98291310689727007</c:v>
                </c:pt>
                <c:pt idx="80">
                  <c:v>0.98210936802309989</c:v>
                </c:pt>
                <c:pt idx="81">
                  <c:v>0.98344893281338364</c:v>
                </c:pt>
                <c:pt idx="82">
                  <c:v>0.98312148364242546</c:v>
                </c:pt>
                <c:pt idx="83">
                  <c:v>0.98261542583276273</c:v>
                </c:pt>
                <c:pt idx="84">
                  <c:v>0.981871223171494</c:v>
                </c:pt>
                <c:pt idx="85">
                  <c:v>0.98118655672312671</c:v>
                </c:pt>
                <c:pt idx="86">
                  <c:v>0.98335962849403136</c:v>
                </c:pt>
                <c:pt idx="87">
                  <c:v>0.98258565772631201</c:v>
                </c:pt>
                <c:pt idx="88">
                  <c:v>0.98216890423600145</c:v>
                </c:pt>
                <c:pt idx="89">
                  <c:v>0.98184145506504317</c:v>
                </c:pt>
                <c:pt idx="90">
                  <c:v>0.981514005894085</c:v>
                </c:pt>
                <c:pt idx="91">
                  <c:v>0.98157354210698633</c:v>
                </c:pt>
                <c:pt idx="92">
                  <c:v>0.98160331021343727</c:v>
                </c:pt>
                <c:pt idx="93">
                  <c:v>0.98154377400053572</c:v>
                </c:pt>
                <c:pt idx="94">
                  <c:v>0.98112702051022538</c:v>
                </c:pt>
                <c:pt idx="95">
                  <c:v>0.98074003512636543</c:v>
                </c:pt>
                <c:pt idx="96">
                  <c:v>0.98079957133926698</c:v>
                </c:pt>
                <c:pt idx="97">
                  <c:v>0.98074003512636543</c:v>
                </c:pt>
                <c:pt idx="98">
                  <c:v>0.98074003512636543</c:v>
                </c:pt>
                <c:pt idx="99">
                  <c:v>0.98035304974250581</c:v>
                </c:pt>
                <c:pt idx="100">
                  <c:v>0.97993629625219525</c:v>
                </c:pt>
                <c:pt idx="101">
                  <c:v>0.9798767600392938</c:v>
                </c:pt>
                <c:pt idx="102">
                  <c:v>0.97990652814574453</c:v>
                </c:pt>
                <c:pt idx="103">
                  <c:v>0.97981722382639225</c:v>
                </c:pt>
                <c:pt idx="104">
                  <c:v>0.97922186169737746</c:v>
                </c:pt>
                <c:pt idx="105">
                  <c:v>0.9786860357812639</c:v>
                </c:pt>
                <c:pt idx="106">
                  <c:v>0.9784776590361085</c:v>
                </c:pt>
                <c:pt idx="107">
                  <c:v>0.97835858661030561</c:v>
                </c:pt>
                <c:pt idx="108">
                  <c:v>0.97820974607805178</c:v>
                </c:pt>
                <c:pt idx="109">
                  <c:v>0.9776441520554876</c:v>
                </c:pt>
                <c:pt idx="110">
                  <c:v>0.97725716667162799</c:v>
                </c:pt>
                <c:pt idx="111">
                  <c:v>0.97710832613937415</c:v>
                </c:pt>
                <c:pt idx="112">
                  <c:v>0.97725716667162799</c:v>
                </c:pt>
                <c:pt idx="113">
                  <c:v>0.97761438394903688</c:v>
                </c:pt>
                <c:pt idx="114">
                  <c:v>0.97740600720388171</c:v>
                </c:pt>
                <c:pt idx="115">
                  <c:v>0.97695948560712054</c:v>
                </c:pt>
                <c:pt idx="116">
                  <c:v>0.9768106450748667</c:v>
                </c:pt>
                <c:pt idx="117">
                  <c:v>0.97695948560712054</c:v>
                </c:pt>
                <c:pt idx="118">
                  <c:v>0.97695948560712054</c:v>
                </c:pt>
                <c:pt idx="119">
                  <c:v>0.97663203643616214</c:v>
                </c:pt>
                <c:pt idx="120">
                  <c:v>0.97612597862649941</c:v>
                </c:pt>
                <c:pt idx="121">
                  <c:v>0.97588783377489352</c:v>
                </c:pt>
                <c:pt idx="122">
                  <c:v>0.97606644241359797</c:v>
                </c:pt>
                <c:pt idx="123">
                  <c:v>0.97606644241359797</c:v>
                </c:pt>
                <c:pt idx="124">
                  <c:v>0.97576876134909063</c:v>
                </c:pt>
                <c:pt idx="125">
                  <c:v>0.9752924716458784</c:v>
                </c:pt>
                <c:pt idx="126">
                  <c:v>0.9749352543684694</c:v>
                </c:pt>
                <c:pt idx="127">
                  <c:v>0.97505432679427262</c:v>
                </c:pt>
                <c:pt idx="128">
                  <c:v>0.97499479058137106</c:v>
                </c:pt>
                <c:pt idx="129">
                  <c:v>0.97478641383621589</c:v>
                </c:pt>
                <c:pt idx="130">
                  <c:v>0.97431012413300366</c:v>
                </c:pt>
                <c:pt idx="131">
                  <c:v>0.97404221117494694</c:v>
                </c:pt>
                <c:pt idx="132">
                  <c:v>0.97416128360075005</c:v>
                </c:pt>
                <c:pt idx="133">
                  <c:v>0.97425058792010233</c:v>
                </c:pt>
                <c:pt idx="134">
                  <c:v>0.97413151549429922</c:v>
                </c:pt>
                <c:pt idx="135">
                  <c:v>0.97371476200398888</c:v>
                </c:pt>
                <c:pt idx="136">
                  <c:v>0.97335754472657987</c:v>
                </c:pt>
                <c:pt idx="137">
                  <c:v>0.97329800851367831</c:v>
                </c:pt>
                <c:pt idx="138">
                  <c:v>0.97413151549429922</c:v>
                </c:pt>
                <c:pt idx="139">
                  <c:v>0.97487571815556806</c:v>
                </c:pt>
                <c:pt idx="140">
                  <c:v>0.97460780519751133</c:v>
                </c:pt>
                <c:pt idx="141">
                  <c:v>0.97431012413300366</c:v>
                </c:pt>
                <c:pt idx="142">
                  <c:v>0.97076771946536466</c:v>
                </c:pt>
                <c:pt idx="143">
                  <c:v>0.97300032744917087</c:v>
                </c:pt>
                <c:pt idx="144">
                  <c:v>0.97323847230077687</c:v>
                </c:pt>
                <c:pt idx="145">
                  <c:v>0.97311939987497376</c:v>
                </c:pt>
                <c:pt idx="146">
                  <c:v>0.97291102312981859</c:v>
                </c:pt>
                <c:pt idx="147">
                  <c:v>0.97058911082666011</c:v>
                </c:pt>
                <c:pt idx="148">
                  <c:v>0.96966629952668693</c:v>
                </c:pt>
                <c:pt idx="149">
                  <c:v>0.96936861846217948</c:v>
                </c:pt>
                <c:pt idx="150">
                  <c:v>0.96987467627184232</c:v>
                </c:pt>
                <c:pt idx="151">
                  <c:v>0.96984490816539148</c:v>
                </c:pt>
                <c:pt idx="152">
                  <c:v>0.97064864703956166</c:v>
                </c:pt>
                <c:pt idx="153">
                  <c:v>0.97067841514601239</c:v>
                </c:pt>
                <c:pt idx="154">
                  <c:v>0.97029142976215266</c:v>
                </c:pt>
                <c:pt idx="155">
                  <c:v>0.96990444437829304</c:v>
                </c:pt>
                <c:pt idx="156">
                  <c:v>0.96969606763313787</c:v>
                </c:pt>
                <c:pt idx="157">
                  <c:v>0.96919000982347503</c:v>
                </c:pt>
                <c:pt idx="158">
                  <c:v>0.96788021313964212</c:v>
                </c:pt>
                <c:pt idx="159">
                  <c:v>0.96713601047837328</c:v>
                </c:pt>
                <c:pt idx="160">
                  <c:v>0.96662995266871066</c:v>
                </c:pt>
                <c:pt idx="161">
                  <c:v>0.96683832941386583</c:v>
                </c:pt>
                <c:pt idx="162">
                  <c:v>0.96755276396868384</c:v>
                </c:pt>
                <c:pt idx="163">
                  <c:v>0.96743369154288095</c:v>
                </c:pt>
                <c:pt idx="164">
                  <c:v>0.96701693805257039</c:v>
                </c:pt>
                <c:pt idx="165">
                  <c:v>0.9665704164558091</c:v>
                </c:pt>
                <c:pt idx="166">
                  <c:v>0.96639180781710465</c:v>
                </c:pt>
                <c:pt idx="167">
                  <c:v>0.96648111213645682</c:v>
                </c:pt>
                <c:pt idx="168">
                  <c:v>0.96639180781710465</c:v>
                </c:pt>
                <c:pt idx="169">
                  <c:v>0.96600482243324493</c:v>
                </c:pt>
                <c:pt idx="170">
                  <c:v>0.96555830083648364</c:v>
                </c:pt>
                <c:pt idx="171">
                  <c:v>0.96543922841068075</c:v>
                </c:pt>
                <c:pt idx="172">
                  <c:v>0.96549876462358208</c:v>
                </c:pt>
                <c:pt idx="173">
                  <c:v>0.96552853273003303</c:v>
                </c:pt>
                <c:pt idx="174">
                  <c:v>0.96517131545262402</c:v>
                </c:pt>
                <c:pt idx="175">
                  <c:v>0.96466525764296118</c:v>
                </c:pt>
                <c:pt idx="176">
                  <c:v>0.96445688089780601</c:v>
                </c:pt>
                <c:pt idx="177">
                  <c:v>0.96439734468490446</c:v>
                </c:pt>
                <c:pt idx="178">
                  <c:v>0.96436757657845373</c:v>
                </c:pt>
                <c:pt idx="179">
                  <c:v>0.96401035930104473</c:v>
                </c:pt>
                <c:pt idx="180">
                  <c:v>0.96353406959783283</c:v>
                </c:pt>
                <c:pt idx="181">
                  <c:v>0.96317685232042383</c:v>
                </c:pt>
                <c:pt idx="182">
                  <c:v>0.96314708421397299</c:v>
                </c:pt>
                <c:pt idx="183">
                  <c:v>0.96305777989462071</c:v>
                </c:pt>
                <c:pt idx="184">
                  <c:v>0.96273033072366265</c:v>
                </c:pt>
                <c:pt idx="185">
                  <c:v>0.96219450480754909</c:v>
                </c:pt>
                <c:pt idx="186">
                  <c:v>0.96177775131723853</c:v>
                </c:pt>
                <c:pt idx="187">
                  <c:v>0.96183728753014008</c:v>
                </c:pt>
                <c:pt idx="188">
                  <c:v>0.96177775131723853</c:v>
                </c:pt>
                <c:pt idx="189">
                  <c:v>0.96159914267853408</c:v>
                </c:pt>
                <c:pt idx="190">
                  <c:v>0.96112285297532207</c:v>
                </c:pt>
                <c:pt idx="191">
                  <c:v>0.96073586759146246</c:v>
                </c:pt>
                <c:pt idx="192">
                  <c:v>0.9606763313785609</c:v>
                </c:pt>
                <c:pt idx="193">
                  <c:v>0.96061679516565945</c:v>
                </c:pt>
                <c:pt idx="194">
                  <c:v>0.96052749084630729</c:v>
                </c:pt>
                <c:pt idx="195">
                  <c:v>0.96022980978179961</c:v>
                </c:pt>
                <c:pt idx="196">
                  <c:v>0.95978328818503833</c:v>
                </c:pt>
                <c:pt idx="197">
                  <c:v>0.95999166493019372</c:v>
                </c:pt>
                <c:pt idx="198">
                  <c:v>0.96005120114309517</c:v>
                </c:pt>
                <c:pt idx="199">
                  <c:v>0.95999166493019372</c:v>
                </c:pt>
                <c:pt idx="200">
                  <c:v>0.95960467954633388</c:v>
                </c:pt>
                <c:pt idx="201">
                  <c:v>0.95918792605602354</c:v>
                </c:pt>
                <c:pt idx="202">
                  <c:v>0.95924746226892488</c:v>
                </c:pt>
                <c:pt idx="203">
                  <c:v>0.959723751972137</c:v>
                </c:pt>
                <c:pt idx="204">
                  <c:v>0.95990236061084155</c:v>
                </c:pt>
                <c:pt idx="205">
                  <c:v>0.959723751972137</c:v>
                </c:pt>
                <c:pt idx="206">
                  <c:v>0.95945583901408027</c:v>
                </c:pt>
                <c:pt idx="207">
                  <c:v>0.95924746226892488</c:v>
                </c:pt>
                <c:pt idx="208">
                  <c:v>0.95892001309796682</c:v>
                </c:pt>
                <c:pt idx="209">
                  <c:v>0.95871163635281154</c:v>
                </c:pt>
                <c:pt idx="210">
                  <c:v>0.95835441907540264</c:v>
                </c:pt>
                <c:pt idx="211">
                  <c:v>0.95778882505283824</c:v>
                </c:pt>
                <c:pt idx="212">
                  <c:v>0.95755068020123235</c:v>
                </c:pt>
                <c:pt idx="213">
                  <c:v>0.95886047688506515</c:v>
                </c:pt>
                <c:pt idx="214">
                  <c:v>0.95758044830768307</c:v>
                </c:pt>
                <c:pt idx="215">
                  <c:v>0.95647902836900534</c:v>
                </c:pt>
                <c:pt idx="216">
                  <c:v>0.95716369481737262</c:v>
                </c:pt>
                <c:pt idx="217">
                  <c:v>0.95936653469472799</c:v>
                </c:pt>
                <c:pt idx="218">
                  <c:v>0.95900931741731898</c:v>
                </c:pt>
                <c:pt idx="219">
                  <c:v>0.95811627422379653</c:v>
                </c:pt>
                <c:pt idx="220">
                  <c:v>0.95763998452058463</c:v>
                </c:pt>
                <c:pt idx="221">
                  <c:v>0.95731253534962624</c:v>
                </c:pt>
                <c:pt idx="222">
                  <c:v>0.95704462239156951</c:v>
                </c:pt>
                <c:pt idx="223">
                  <c:v>0.95680647753996362</c:v>
                </c:pt>
                <c:pt idx="224">
                  <c:v>0.95644926026255472</c:v>
                </c:pt>
                <c:pt idx="225">
                  <c:v>0.95522876789807387</c:v>
                </c:pt>
                <c:pt idx="226">
                  <c:v>0.95510969547227098</c:v>
                </c:pt>
                <c:pt idx="227">
                  <c:v>0.95496085494001715</c:v>
                </c:pt>
                <c:pt idx="228">
                  <c:v>0.95460363766260814</c:v>
                </c:pt>
                <c:pt idx="229">
                  <c:v>0.95427618849164997</c:v>
                </c:pt>
                <c:pt idx="230">
                  <c:v>0.95397850742714241</c:v>
                </c:pt>
                <c:pt idx="231">
                  <c:v>0.95382966689488879</c:v>
                </c:pt>
                <c:pt idx="232">
                  <c:v>0.95359152204328268</c:v>
                </c:pt>
                <c:pt idx="233">
                  <c:v>0.95329384097877523</c:v>
                </c:pt>
                <c:pt idx="234">
                  <c:v>0.95293662370136623</c:v>
                </c:pt>
                <c:pt idx="235">
                  <c:v>0.95272824695621106</c:v>
                </c:pt>
                <c:pt idx="236">
                  <c:v>0.95263894263685889</c:v>
                </c:pt>
                <c:pt idx="237">
                  <c:v>0.95257940642395722</c:v>
                </c:pt>
                <c:pt idx="238">
                  <c:v>0.95225195725299905</c:v>
                </c:pt>
                <c:pt idx="239">
                  <c:v>0.95192450808204088</c:v>
                </c:pt>
                <c:pt idx="240">
                  <c:v>0.95165659512398415</c:v>
                </c:pt>
                <c:pt idx="241">
                  <c:v>0.95153752269818104</c:v>
                </c:pt>
                <c:pt idx="242">
                  <c:v>0.95138868216592731</c:v>
                </c:pt>
                <c:pt idx="243">
                  <c:v>0.95112076920787059</c:v>
                </c:pt>
                <c:pt idx="244">
                  <c:v>0.95085285624981386</c:v>
                </c:pt>
                <c:pt idx="245">
                  <c:v>0.95052540707885569</c:v>
                </c:pt>
                <c:pt idx="246">
                  <c:v>0.95037656654660185</c:v>
                </c:pt>
                <c:pt idx="247">
                  <c:v>0.95019795790789741</c:v>
                </c:pt>
                <c:pt idx="248">
                  <c:v>0.94990027684338985</c:v>
                </c:pt>
                <c:pt idx="249">
                  <c:v>0.94942398714017784</c:v>
                </c:pt>
                <c:pt idx="250">
                  <c:v>0.94900723364986739</c:v>
                </c:pt>
                <c:pt idx="251">
                  <c:v>0.9488881612240645</c:v>
                </c:pt>
                <c:pt idx="252">
                  <c:v>0.9488881612240645</c:v>
                </c:pt>
                <c:pt idx="253">
                  <c:v>0.94870955258535994</c:v>
                </c:pt>
                <c:pt idx="254">
                  <c:v>0.94844163962730321</c:v>
                </c:pt>
                <c:pt idx="255">
                  <c:v>0.94829279909504949</c:v>
                </c:pt>
                <c:pt idx="256">
                  <c:v>0.94802488613699276</c:v>
                </c:pt>
                <c:pt idx="257">
                  <c:v>0.94796534992409121</c:v>
                </c:pt>
                <c:pt idx="258">
                  <c:v>0.94784627749828831</c:v>
                </c:pt>
                <c:pt idx="259">
                  <c:v>0.94742952400797775</c:v>
                </c:pt>
                <c:pt idx="260">
                  <c:v>0.94707230673056886</c:v>
                </c:pt>
                <c:pt idx="261">
                  <c:v>0.94695323430476575</c:v>
                </c:pt>
                <c:pt idx="262">
                  <c:v>0.94692346619831502</c:v>
                </c:pt>
                <c:pt idx="263">
                  <c:v>0.9468936980918643</c:v>
                </c:pt>
                <c:pt idx="264">
                  <c:v>0.94668532134670902</c:v>
                </c:pt>
                <c:pt idx="265">
                  <c:v>0.94644717649510302</c:v>
                </c:pt>
                <c:pt idx="266">
                  <c:v>0.94582204625963728</c:v>
                </c:pt>
                <c:pt idx="267">
                  <c:v>0.94537552466287611</c:v>
                </c:pt>
                <c:pt idx="268">
                  <c:v>0.94519691602417155</c:v>
                </c:pt>
                <c:pt idx="269">
                  <c:v>0.9448992349596641</c:v>
                </c:pt>
                <c:pt idx="270">
                  <c:v>0.94448248146935365</c:v>
                </c:pt>
                <c:pt idx="271">
                  <c:v>0.94415503229839537</c:v>
                </c:pt>
                <c:pt idx="272">
                  <c:v>0.94403595987259248</c:v>
                </c:pt>
                <c:pt idx="273">
                  <c:v>0.94397642365969081</c:v>
                </c:pt>
                <c:pt idx="274">
                  <c:v>0.94367874259518347</c:v>
                </c:pt>
                <c:pt idx="275">
                  <c:v>0.94329175721132363</c:v>
                </c:pt>
                <c:pt idx="276">
                  <c:v>0.94308338046616846</c:v>
                </c:pt>
                <c:pt idx="277">
                  <c:v>0.94290477182746402</c:v>
                </c:pt>
                <c:pt idx="278">
                  <c:v>0.94281546750811174</c:v>
                </c:pt>
                <c:pt idx="279">
                  <c:v>0.94266662697585801</c:v>
                </c:pt>
                <c:pt idx="280">
                  <c:v>0.94233917780489973</c:v>
                </c:pt>
                <c:pt idx="281">
                  <c:v>0.94204149674039228</c:v>
                </c:pt>
                <c:pt idx="282">
                  <c:v>0.94195219242104</c:v>
                </c:pt>
                <c:pt idx="283">
                  <c:v>0.94186288810168772</c:v>
                </c:pt>
                <c:pt idx="284">
                  <c:v>0.9413568302920251</c:v>
                </c:pt>
                <c:pt idx="285">
                  <c:v>0.94117822165332055</c:v>
                </c:pt>
                <c:pt idx="286">
                  <c:v>0.94079123626946082</c:v>
                </c:pt>
                <c:pt idx="287">
                  <c:v>0.94073170005655926</c:v>
                </c:pt>
                <c:pt idx="288">
                  <c:v>0.94079123626946082</c:v>
                </c:pt>
                <c:pt idx="289">
                  <c:v>0.94064239573720709</c:v>
                </c:pt>
                <c:pt idx="290">
                  <c:v>0.94040425088560109</c:v>
                </c:pt>
                <c:pt idx="291">
                  <c:v>0.94034471467269953</c:v>
                </c:pt>
                <c:pt idx="292">
                  <c:v>0.94010656982109353</c:v>
                </c:pt>
                <c:pt idx="293">
                  <c:v>0.93989819307593836</c:v>
                </c:pt>
                <c:pt idx="294">
                  <c:v>0.93968981633078308</c:v>
                </c:pt>
                <c:pt idx="295">
                  <c:v>0.93936236715982491</c:v>
                </c:pt>
                <c:pt idx="296">
                  <c:v>0.93918375852112035</c:v>
                </c:pt>
                <c:pt idx="297">
                  <c:v>0.93873723692435918</c:v>
                </c:pt>
                <c:pt idx="298">
                  <c:v>0.94207126484684289</c:v>
                </c:pt>
                <c:pt idx="299">
                  <c:v>0.94168427946298328</c:v>
                </c:pt>
                <c:pt idx="300">
                  <c:v>0.93966004822433236</c:v>
                </c:pt>
                <c:pt idx="301">
                  <c:v>0.93963028011788163</c:v>
                </c:pt>
                <c:pt idx="302">
                  <c:v>0.93921352662757107</c:v>
                </c:pt>
                <c:pt idx="303">
                  <c:v>0.93885630935016218</c:v>
                </c:pt>
                <c:pt idx="304">
                  <c:v>0.93846932396630245</c:v>
                </c:pt>
                <c:pt idx="305">
                  <c:v>0.93793349805018889</c:v>
                </c:pt>
                <c:pt idx="306">
                  <c:v>0.93760604887923071</c:v>
                </c:pt>
                <c:pt idx="307">
                  <c:v>0.93733813592117399</c:v>
                </c:pt>
                <c:pt idx="308">
                  <c:v>0.93724883160182171</c:v>
                </c:pt>
                <c:pt idx="309">
                  <c:v>0.93683207811151126</c:v>
                </c:pt>
                <c:pt idx="310">
                  <c:v>0.93626648408894708</c:v>
                </c:pt>
                <c:pt idx="311">
                  <c:v>0.9360581073437918</c:v>
                </c:pt>
                <c:pt idx="312">
                  <c:v>0.93602833923734097</c:v>
                </c:pt>
                <c:pt idx="313">
                  <c:v>0.93602833923734097</c:v>
                </c:pt>
                <c:pt idx="314">
                  <c:v>0.93567112195993196</c:v>
                </c:pt>
                <c:pt idx="315">
                  <c:v>0.93507575983091706</c:v>
                </c:pt>
                <c:pt idx="316">
                  <c:v>0.93480784687286023</c:v>
                </c:pt>
                <c:pt idx="317">
                  <c:v>0.93480784687286023</c:v>
                </c:pt>
                <c:pt idx="318">
                  <c:v>0.93474831065995878</c:v>
                </c:pt>
                <c:pt idx="319">
                  <c:v>0.9345399339148035</c:v>
                </c:pt>
                <c:pt idx="320">
                  <c:v>0.93421248474384533</c:v>
                </c:pt>
                <c:pt idx="321">
                  <c:v>0.93391480367933788</c:v>
                </c:pt>
                <c:pt idx="322">
                  <c:v>0.93373619504063343</c:v>
                </c:pt>
                <c:pt idx="323">
                  <c:v>0.93367665882773188</c:v>
                </c:pt>
                <c:pt idx="324">
                  <c:v>0.93337897776322443</c:v>
                </c:pt>
                <c:pt idx="325">
                  <c:v>0.93293245616646314</c:v>
                </c:pt>
                <c:pt idx="326">
                  <c:v>0.93254547078260352</c:v>
                </c:pt>
                <c:pt idx="327">
                  <c:v>0.93248593456970186</c:v>
                </c:pt>
                <c:pt idx="328">
                  <c:v>0.93248593456970186</c:v>
                </c:pt>
                <c:pt idx="329">
                  <c:v>0.93221802161164513</c:v>
                </c:pt>
                <c:pt idx="330">
                  <c:v>0.93189057244068696</c:v>
                </c:pt>
                <c:pt idx="331">
                  <c:v>0.93153335516327795</c:v>
                </c:pt>
                <c:pt idx="332">
                  <c:v>0.93150358705682723</c:v>
                </c:pt>
                <c:pt idx="333">
                  <c:v>0.93150358705682723</c:v>
                </c:pt>
                <c:pt idx="334">
                  <c:v>0.93138451463102423</c:v>
                </c:pt>
                <c:pt idx="335">
                  <c:v>0.93105706546006606</c:v>
                </c:pt>
                <c:pt idx="336">
                  <c:v>0.93072961628910766</c:v>
                </c:pt>
                <c:pt idx="337">
                  <c:v>0.93061054386330477</c:v>
                </c:pt>
                <c:pt idx="338">
                  <c:v>0.93061054386330477</c:v>
                </c:pt>
                <c:pt idx="339">
                  <c:v>0.93046170333105105</c:v>
                </c:pt>
                <c:pt idx="340">
                  <c:v>0.93001518173428976</c:v>
                </c:pt>
                <c:pt idx="341">
                  <c:v>0.92968773256333159</c:v>
                </c:pt>
                <c:pt idx="342">
                  <c:v>0.92956866013752859</c:v>
                </c:pt>
                <c:pt idx="343">
                  <c:v>0.92965796445688076</c:v>
                </c:pt>
                <c:pt idx="344">
                  <c:v>0.92956866013752859</c:v>
                </c:pt>
                <c:pt idx="345">
                  <c:v>0.92933051528592259</c:v>
                </c:pt>
                <c:pt idx="346">
                  <c:v>0.92891376179561203</c:v>
                </c:pt>
                <c:pt idx="347">
                  <c:v>0.92867561694400602</c:v>
                </c:pt>
                <c:pt idx="348">
                  <c:v>0.92873515315690769</c:v>
                </c:pt>
                <c:pt idx="349">
                  <c:v>0.92873515315690769</c:v>
                </c:pt>
                <c:pt idx="350">
                  <c:v>0.92834816777304785</c:v>
                </c:pt>
                <c:pt idx="351">
                  <c:v>0.92787187806983595</c:v>
                </c:pt>
                <c:pt idx="352">
                  <c:v>0.92754442889887756</c:v>
                </c:pt>
                <c:pt idx="353">
                  <c:v>0.92736582026017311</c:v>
                </c:pt>
                <c:pt idx="354">
                  <c:v>0.92718721162146867</c:v>
                </c:pt>
                <c:pt idx="355">
                  <c:v>0.92694906676986266</c:v>
                </c:pt>
                <c:pt idx="356">
                  <c:v>0.92656208138600293</c:v>
                </c:pt>
                <c:pt idx="357">
                  <c:v>0.92614532789569237</c:v>
                </c:pt>
                <c:pt idx="358">
                  <c:v>0.92596671925698804</c:v>
                </c:pt>
                <c:pt idx="359">
                  <c:v>0.9259369511505372</c:v>
                </c:pt>
                <c:pt idx="360">
                  <c:v>0.92578811061828348</c:v>
                </c:pt>
                <c:pt idx="361">
                  <c:v>0.92560950197957903</c:v>
                </c:pt>
                <c:pt idx="362">
                  <c:v>0.92537135712797292</c:v>
                </c:pt>
                <c:pt idx="363">
                  <c:v>0.92531182091507147</c:v>
                </c:pt>
                <c:pt idx="364">
                  <c:v>0.92531182091507147</c:v>
                </c:pt>
                <c:pt idx="365">
                  <c:v>0.92516298038281775</c:v>
                </c:pt>
                <c:pt idx="366">
                  <c:v>0.92474622689250729</c:v>
                </c:pt>
                <c:pt idx="367">
                  <c:v>0.92441877772154901</c:v>
                </c:pt>
                <c:pt idx="368">
                  <c:v>0.92418063286994301</c:v>
                </c:pt>
                <c:pt idx="369">
                  <c:v>0.9241508647634924</c:v>
                </c:pt>
                <c:pt idx="370">
                  <c:v>0.92397225612478784</c:v>
                </c:pt>
                <c:pt idx="371">
                  <c:v>0.92349596642157583</c:v>
                </c:pt>
                <c:pt idx="372">
                  <c:v>0.92316851725061766</c:v>
                </c:pt>
                <c:pt idx="373">
                  <c:v>0.92296014050546227</c:v>
                </c:pt>
                <c:pt idx="374">
                  <c:v>0.9228708361861101</c:v>
                </c:pt>
                <c:pt idx="375">
                  <c:v>0.92170988003453092</c:v>
                </c:pt>
                <c:pt idx="376">
                  <c:v>0.92141219897002336</c:v>
                </c:pt>
                <c:pt idx="377">
                  <c:v>0.92117405411841746</c:v>
                </c:pt>
                <c:pt idx="378">
                  <c:v>0.92111451790551602</c:v>
                </c:pt>
                <c:pt idx="379">
                  <c:v>0.9209954454797129</c:v>
                </c:pt>
                <c:pt idx="380">
                  <c:v>0.92081683684100846</c:v>
                </c:pt>
                <c:pt idx="381">
                  <c:v>0.9205191557765009</c:v>
                </c:pt>
                <c:pt idx="382">
                  <c:v>0.92028101092489489</c:v>
                </c:pt>
                <c:pt idx="383">
                  <c:v>0.92040008335069801</c:v>
                </c:pt>
                <c:pt idx="384">
                  <c:v>0.920161938499092</c:v>
                </c:pt>
                <c:pt idx="385">
                  <c:v>0.91974518500878144</c:v>
                </c:pt>
                <c:pt idx="386">
                  <c:v>0.91938796773137255</c:v>
                </c:pt>
                <c:pt idx="387">
                  <c:v>0.91903075045396354</c:v>
                </c:pt>
                <c:pt idx="388">
                  <c:v>0.91879260560235754</c:v>
                </c:pt>
                <c:pt idx="389">
                  <c:v>0.91858422885720237</c:v>
                </c:pt>
                <c:pt idx="390">
                  <c:v>0.91825677968624408</c:v>
                </c:pt>
                <c:pt idx="391">
                  <c:v>0.91816747536689181</c:v>
                </c:pt>
                <c:pt idx="392">
                  <c:v>0.91778048998303208</c:v>
                </c:pt>
                <c:pt idx="393">
                  <c:v>0.91748280891852463</c:v>
                </c:pt>
                <c:pt idx="394">
                  <c:v>0.91712559164111562</c:v>
                </c:pt>
                <c:pt idx="395">
                  <c:v>0.91679814247015734</c:v>
                </c:pt>
                <c:pt idx="396">
                  <c:v>0.91670883815080517</c:v>
                </c:pt>
                <c:pt idx="397">
                  <c:v>0.91629208466049461</c:v>
                </c:pt>
                <c:pt idx="398">
                  <c:v>0.91623254844759316</c:v>
                </c:pt>
                <c:pt idx="399">
                  <c:v>0.91623254844759316</c:v>
                </c:pt>
                <c:pt idx="400">
                  <c:v>0.91602417170243788</c:v>
                </c:pt>
                <c:pt idx="401">
                  <c:v>0.91551811389277515</c:v>
                </c:pt>
                <c:pt idx="402">
                  <c:v>0.9151013604024647</c:v>
                </c:pt>
                <c:pt idx="403">
                  <c:v>0.9152204328282677</c:v>
                </c:pt>
                <c:pt idx="404">
                  <c:v>0.91525020093471843</c:v>
                </c:pt>
                <c:pt idx="405">
                  <c:v>0.9152204328282677</c:v>
                </c:pt>
                <c:pt idx="406">
                  <c:v>0.91471437501860497</c:v>
                </c:pt>
                <c:pt idx="407">
                  <c:v>0.91417854910249152</c:v>
                </c:pt>
                <c:pt idx="408">
                  <c:v>0.91411901288958997</c:v>
                </c:pt>
                <c:pt idx="409">
                  <c:v>0.91414878099604069</c:v>
                </c:pt>
                <c:pt idx="410">
                  <c:v>0.91405947667668852</c:v>
                </c:pt>
                <c:pt idx="411">
                  <c:v>0.91355341886702579</c:v>
                </c:pt>
                <c:pt idx="412">
                  <c:v>0.91283898431220778</c:v>
                </c:pt>
                <c:pt idx="413">
                  <c:v>0.91283898431220778</c:v>
                </c:pt>
                <c:pt idx="414">
                  <c:v>0.91319620158961679</c:v>
                </c:pt>
                <c:pt idx="415">
                  <c:v>0.91307712916381378</c:v>
                </c:pt>
                <c:pt idx="416">
                  <c:v>0.91295805673801078</c:v>
                </c:pt>
                <c:pt idx="417">
                  <c:v>0.91280921620575706</c:v>
                </c:pt>
                <c:pt idx="418">
                  <c:v>0.91242223082189733</c:v>
                </c:pt>
                <c:pt idx="419">
                  <c:v>0.91251153514124961</c:v>
                </c:pt>
                <c:pt idx="420">
                  <c:v>0.91641115708629761</c:v>
                </c:pt>
                <c:pt idx="421">
                  <c:v>0.91530973714761998</c:v>
                </c:pt>
                <c:pt idx="422">
                  <c:v>0.91468460691215425</c:v>
                </c:pt>
                <c:pt idx="423">
                  <c:v>0.91405947667668852</c:v>
                </c:pt>
                <c:pt idx="424">
                  <c:v>0.91358318697347651</c:v>
                </c:pt>
                <c:pt idx="425">
                  <c:v>0.91331527401541979</c:v>
                </c:pt>
                <c:pt idx="426">
                  <c:v>0.91319620158961679</c:v>
                </c:pt>
                <c:pt idx="427">
                  <c:v>0.91286875241865861</c:v>
                </c:pt>
                <c:pt idx="428">
                  <c:v>0.91230315839609433</c:v>
                </c:pt>
                <c:pt idx="429">
                  <c:v>0.91182686869288232</c:v>
                </c:pt>
                <c:pt idx="430">
                  <c:v>0.91164826005417787</c:v>
                </c:pt>
                <c:pt idx="431">
                  <c:v>0.9116780281606286</c:v>
                </c:pt>
                <c:pt idx="432">
                  <c:v>0.91138034709612115</c:v>
                </c:pt>
                <c:pt idx="433">
                  <c:v>0.91090405739290914</c:v>
                </c:pt>
                <c:pt idx="434">
                  <c:v>0.91051707200904941</c:v>
                </c:pt>
                <c:pt idx="435">
                  <c:v>0.91027892715744341</c:v>
                </c:pt>
                <c:pt idx="436">
                  <c:v>0.91024915905099268</c:v>
                </c:pt>
                <c:pt idx="437">
                  <c:v>0.91001101419938668</c:v>
                </c:pt>
                <c:pt idx="438">
                  <c:v>0.90962402881552695</c:v>
                </c:pt>
                <c:pt idx="439">
                  <c:v>0.90914773911231495</c:v>
                </c:pt>
                <c:pt idx="440">
                  <c:v>0.90893936236715966</c:v>
                </c:pt>
                <c:pt idx="441">
                  <c:v>0.90890959426070905</c:v>
                </c:pt>
                <c:pt idx="442">
                  <c:v>0.90864168130265222</c:v>
                </c:pt>
                <c:pt idx="443">
                  <c:v>0.90819515970589104</c:v>
                </c:pt>
                <c:pt idx="444">
                  <c:v>0.9078081743220312</c:v>
                </c:pt>
                <c:pt idx="445">
                  <c:v>0.90759979757687603</c:v>
                </c:pt>
                <c:pt idx="446">
                  <c:v>0.90757002947042531</c:v>
                </c:pt>
                <c:pt idx="447">
                  <c:v>0.90751049325752386</c:v>
                </c:pt>
                <c:pt idx="448">
                  <c:v>0.90718304408656558</c:v>
                </c:pt>
                <c:pt idx="449">
                  <c:v>0.9068555949156073</c:v>
                </c:pt>
                <c:pt idx="450">
                  <c:v>0.90218200220283973</c:v>
                </c:pt>
                <c:pt idx="451">
                  <c:v>0.90280713243830546</c:v>
                </c:pt>
                <c:pt idx="452">
                  <c:v>0.90265829190605174</c:v>
                </c:pt>
                <c:pt idx="453">
                  <c:v>0.90242014705444584</c:v>
                </c:pt>
                <c:pt idx="454">
                  <c:v>0.90233084273509356</c:v>
                </c:pt>
                <c:pt idx="455">
                  <c:v>0.90253921948024873</c:v>
                </c:pt>
                <c:pt idx="456">
                  <c:v>0.90331319024796819</c:v>
                </c:pt>
                <c:pt idx="457">
                  <c:v>0.9035513350995743</c:v>
                </c:pt>
                <c:pt idx="458">
                  <c:v>0.90331319024796819</c:v>
                </c:pt>
                <c:pt idx="459">
                  <c:v>0.9031941178221653</c:v>
                </c:pt>
                <c:pt idx="460">
                  <c:v>0.9031941178221653</c:v>
                </c:pt>
                <c:pt idx="461">
                  <c:v>0.90316434971571447</c:v>
                </c:pt>
                <c:pt idx="462">
                  <c:v>0.90298574107701002</c:v>
                </c:pt>
                <c:pt idx="463">
                  <c:v>0.90265829190605174</c:v>
                </c:pt>
                <c:pt idx="464">
                  <c:v>0.90233084273509356</c:v>
                </c:pt>
                <c:pt idx="465">
                  <c:v>0.90253921948024873</c:v>
                </c:pt>
                <c:pt idx="466">
                  <c:v>0.90250945137379801</c:v>
                </c:pt>
                <c:pt idx="467">
                  <c:v>0.90221177030929056</c:v>
                </c:pt>
                <c:pt idx="468">
                  <c:v>0.901914089244783</c:v>
                </c:pt>
                <c:pt idx="469">
                  <c:v>0.90158664007382483</c:v>
                </c:pt>
                <c:pt idx="470">
                  <c:v>0.90164617628672639</c:v>
                </c:pt>
                <c:pt idx="471">
                  <c:v>0.90173548060607855</c:v>
                </c:pt>
                <c:pt idx="472">
                  <c:v>0.90143779954157111</c:v>
                </c:pt>
                <c:pt idx="473">
                  <c:v>0.90105081415771127</c:v>
                </c:pt>
                <c:pt idx="474">
                  <c:v>0.90072336498675309</c:v>
                </c:pt>
                <c:pt idx="475">
                  <c:v>0.90066382877385165</c:v>
                </c:pt>
                <c:pt idx="476">
                  <c:v>0.90027684338999181</c:v>
                </c:pt>
                <c:pt idx="477">
                  <c:v>0.89783585866103055</c:v>
                </c:pt>
                <c:pt idx="478">
                  <c:v>0.89685351114815581</c:v>
                </c:pt>
                <c:pt idx="479">
                  <c:v>0.89631768523204225</c:v>
                </c:pt>
                <c:pt idx="480">
                  <c:v>0.89765725002232599</c:v>
                </c:pt>
                <c:pt idx="481">
                  <c:v>0.89795493108683344</c:v>
                </c:pt>
                <c:pt idx="482">
                  <c:v>0.897895394873932</c:v>
                </c:pt>
                <c:pt idx="483">
                  <c:v>0.89768701812877671</c:v>
                </c:pt>
                <c:pt idx="484">
                  <c:v>0.89774655434167827</c:v>
                </c:pt>
                <c:pt idx="485">
                  <c:v>0.89732980085136771</c:v>
                </c:pt>
                <c:pt idx="486">
                  <c:v>0.89706188789331109</c:v>
                </c:pt>
                <c:pt idx="487">
                  <c:v>0.89691304736105726</c:v>
                </c:pt>
                <c:pt idx="488">
                  <c:v>0.89700235168040954</c:v>
                </c:pt>
                <c:pt idx="489">
                  <c:v>0.89694281546750798</c:v>
                </c:pt>
                <c:pt idx="490">
                  <c:v>0.89646652576429597</c:v>
                </c:pt>
                <c:pt idx="491">
                  <c:v>0.89628791712559164</c:v>
                </c:pt>
                <c:pt idx="492">
                  <c:v>0.89607954038043636</c:v>
                </c:pt>
                <c:pt idx="493">
                  <c:v>0.89619861280623936</c:v>
                </c:pt>
                <c:pt idx="494">
                  <c:v>0.89587116363528108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24C-4F62-8A70-77D25E92F2C6}"/>
            </c:ext>
          </c:extLst>
        </c:ser>
        <c:ser>
          <c:idx val="3"/>
          <c:order val="3"/>
          <c:tx>
            <c:v>450-1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大小中检!$AJ$3:$AJ$506</c:f>
              <c:numCache>
                <c:formatCode>General</c:formatCode>
                <c:ptCount val="50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</c:numCache>
            </c:numRef>
          </c:xVal>
          <c:yVal>
            <c:numRef>
              <c:f>大小中检!$AN$3:$AN$506</c:f>
              <c:numCache>
                <c:formatCode>0.00%</c:formatCode>
                <c:ptCount val="504"/>
                <c:pt idx="0">
                  <c:v>1</c:v>
                </c:pt>
                <c:pt idx="1">
                  <c:v>1.0003217691452642</c:v>
                </c:pt>
                <c:pt idx="2">
                  <c:v>0.99967823085473573</c:v>
                </c:pt>
                <c:pt idx="3">
                  <c:v>0.99994149651904285</c:v>
                </c:pt>
                <c:pt idx="4">
                  <c:v>0.99944421693090746</c:v>
                </c:pt>
                <c:pt idx="5">
                  <c:v>0.9996197273737788</c:v>
                </c:pt>
                <c:pt idx="6">
                  <c:v>0.99941496519042872</c:v>
                </c:pt>
                <c:pt idx="7">
                  <c:v>0.99903469256420752</c:v>
                </c:pt>
                <c:pt idx="8">
                  <c:v>0.99882993038085766</c:v>
                </c:pt>
                <c:pt idx="9">
                  <c:v>0.99830339905224363</c:v>
                </c:pt>
                <c:pt idx="10">
                  <c:v>0.99821564383080796</c:v>
                </c:pt>
                <c:pt idx="11">
                  <c:v>0.99783537120458676</c:v>
                </c:pt>
                <c:pt idx="12">
                  <c:v>0.99760135728075816</c:v>
                </c:pt>
                <c:pt idx="13">
                  <c:v>0.9973965950974083</c:v>
                </c:pt>
                <c:pt idx="14">
                  <c:v>0.99698707073070847</c:v>
                </c:pt>
                <c:pt idx="15">
                  <c:v>0.99704557421166562</c:v>
                </c:pt>
                <c:pt idx="16">
                  <c:v>0.99672380506640135</c:v>
                </c:pt>
                <c:pt idx="17">
                  <c:v>0.99675305680688009</c:v>
                </c:pt>
                <c:pt idx="18">
                  <c:v>0.99687006376879428</c:v>
                </c:pt>
                <c:pt idx="19">
                  <c:v>0.99640203592113741</c:v>
                </c:pt>
                <c:pt idx="20">
                  <c:v>0.99552448370678059</c:v>
                </c:pt>
                <c:pt idx="21">
                  <c:v>0.99458842801146663</c:v>
                </c:pt>
                <c:pt idx="22">
                  <c:v>0.9942959106066811</c:v>
                </c:pt>
                <c:pt idx="23">
                  <c:v>0.99423740712572395</c:v>
                </c:pt>
                <c:pt idx="24">
                  <c:v>0.99438366582811677</c:v>
                </c:pt>
                <c:pt idx="25">
                  <c:v>0.99403264494237409</c:v>
                </c:pt>
                <c:pt idx="26">
                  <c:v>0.99315509272801727</c:v>
                </c:pt>
                <c:pt idx="27">
                  <c:v>0.99297958228514593</c:v>
                </c:pt>
                <c:pt idx="28">
                  <c:v>0.99262856139940314</c:v>
                </c:pt>
                <c:pt idx="29">
                  <c:v>0.99262856139940314</c:v>
                </c:pt>
                <c:pt idx="30">
                  <c:v>0.99224828877318194</c:v>
                </c:pt>
                <c:pt idx="31">
                  <c:v>0.9916925057040894</c:v>
                </c:pt>
                <c:pt idx="32">
                  <c:v>0.99145849178026091</c:v>
                </c:pt>
                <c:pt idx="33">
                  <c:v>0.99151699526121806</c:v>
                </c:pt>
                <c:pt idx="34">
                  <c:v>0.99139998829930387</c:v>
                </c:pt>
                <c:pt idx="35">
                  <c:v>0.99110747089451812</c:v>
                </c:pt>
                <c:pt idx="36">
                  <c:v>0.99034692564207571</c:v>
                </c:pt>
                <c:pt idx="37">
                  <c:v>0.98987889779441884</c:v>
                </c:pt>
                <c:pt idx="38">
                  <c:v>0.98982039431346169</c:v>
                </c:pt>
                <c:pt idx="39">
                  <c:v>0.98952787690867616</c:v>
                </c:pt>
                <c:pt idx="40">
                  <c:v>0.98870882817527639</c:v>
                </c:pt>
                <c:pt idx="41">
                  <c:v>0.98803603814426966</c:v>
                </c:pt>
                <c:pt idx="42">
                  <c:v>0.98777277247996254</c:v>
                </c:pt>
                <c:pt idx="43">
                  <c:v>0.98756801029661279</c:v>
                </c:pt>
                <c:pt idx="44">
                  <c:v>0.98745100333469837</c:v>
                </c:pt>
                <c:pt idx="45">
                  <c:v>0.98718773767039136</c:v>
                </c:pt>
                <c:pt idx="46">
                  <c:v>0.98669045808225597</c:v>
                </c:pt>
                <c:pt idx="47">
                  <c:v>0.98642719241794896</c:v>
                </c:pt>
                <c:pt idx="48">
                  <c:v>0.98572515064646349</c:v>
                </c:pt>
                <c:pt idx="49">
                  <c:v>0.98496460539402086</c:v>
                </c:pt>
                <c:pt idx="50">
                  <c:v>0.98323875270578598</c:v>
                </c:pt>
                <c:pt idx="51">
                  <c:v>0.98233194875095076</c:v>
                </c:pt>
                <c:pt idx="52">
                  <c:v>0.98209793482712215</c:v>
                </c:pt>
                <c:pt idx="53">
                  <c:v>0.9828877318200433</c:v>
                </c:pt>
                <c:pt idx="54">
                  <c:v>0.98394079447727145</c:v>
                </c:pt>
                <c:pt idx="55">
                  <c:v>0.98440882232492832</c:v>
                </c:pt>
                <c:pt idx="56">
                  <c:v>0.98364827707248592</c:v>
                </c:pt>
                <c:pt idx="57">
                  <c:v>0.98332650792722165</c:v>
                </c:pt>
                <c:pt idx="58">
                  <c:v>0.98367752881296433</c:v>
                </c:pt>
                <c:pt idx="59">
                  <c:v>0.9833850114081788</c:v>
                </c:pt>
                <c:pt idx="60">
                  <c:v>0.98294623530100045</c:v>
                </c:pt>
                <c:pt idx="61">
                  <c:v>0.98218569004855782</c:v>
                </c:pt>
                <c:pt idx="62">
                  <c:v>0.98171766220090095</c:v>
                </c:pt>
                <c:pt idx="63">
                  <c:v>0.98168841046042243</c:v>
                </c:pt>
                <c:pt idx="64">
                  <c:v>0.98139589305563668</c:v>
                </c:pt>
                <c:pt idx="65">
                  <c:v>0.98086936172702266</c:v>
                </c:pt>
                <c:pt idx="66">
                  <c:v>0.98060609606271587</c:v>
                </c:pt>
                <c:pt idx="67">
                  <c:v>0.98031357865793012</c:v>
                </c:pt>
                <c:pt idx="68">
                  <c:v>0.98016731995553741</c:v>
                </c:pt>
                <c:pt idx="69">
                  <c:v>0.98019657169601593</c:v>
                </c:pt>
                <c:pt idx="70">
                  <c:v>0.98002106125314459</c:v>
                </c:pt>
                <c:pt idx="71">
                  <c:v>0.97923126426022344</c:v>
                </c:pt>
                <c:pt idx="72">
                  <c:v>0.97861697771017375</c:v>
                </c:pt>
                <c:pt idx="73">
                  <c:v>0.97847071900778104</c:v>
                </c:pt>
                <c:pt idx="74">
                  <c:v>0.97811969812203836</c:v>
                </c:pt>
                <c:pt idx="75">
                  <c:v>0.97715439068624588</c:v>
                </c:pt>
                <c:pt idx="76">
                  <c:v>0.97694962850289602</c:v>
                </c:pt>
                <c:pt idx="77">
                  <c:v>0.9768033698005032</c:v>
                </c:pt>
                <c:pt idx="78">
                  <c:v>0.976423097174282</c:v>
                </c:pt>
                <c:pt idx="79">
                  <c:v>0.97592581758614638</c:v>
                </c:pt>
                <c:pt idx="80">
                  <c:v>0.97528227929561817</c:v>
                </c:pt>
                <c:pt idx="81">
                  <c:v>0.97443397882173988</c:v>
                </c:pt>
                <c:pt idx="82">
                  <c:v>0.97554554495992518</c:v>
                </c:pt>
                <c:pt idx="83">
                  <c:v>0.97490200666939697</c:v>
                </c:pt>
                <c:pt idx="84">
                  <c:v>0.9745802375241327</c:v>
                </c:pt>
                <c:pt idx="85">
                  <c:v>0.97364418182881873</c:v>
                </c:pt>
                <c:pt idx="86">
                  <c:v>0.972971391797812</c:v>
                </c:pt>
                <c:pt idx="87">
                  <c:v>0.97449248230269703</c:v>
                </c:pt>
                <c:pt idx="88">
                  <c:v>0.97384894401216882</c:v>
                </c:pt>
                <c:pt idx="89">
                  <c:v>0.97349792312642602</c:v>
                </c:pt>
                <c:pt idx="90">
                  <c:v>0.97302989527876915</c:v>
                </c:pt>
                <c:pt idx="91">
                  <c:v>0.97267887439302647</c:v>
                </c:pt>
                <c:pt idx="92">
                  <c:v>0.9725911191715908</c:v>
                </c:pt>
                <c:pt idx="93">
                  <c:v>0.97253261569063354</c:v>
                </c:pt>
                <c:pt idx="94">
                  <c:v>0.9723571052477622</c:v>
                </c:pt>
                <c:pt idx="95">
                  <c:v>0.97194758088106237</c:v>
                </c:pt>
                <c:pt idx="96">
                  <c:v>0.97139179781196971</c:v>
                </c:pt>
                <c:pt idx="97">
                  <c:v>0.97150880477388413</c:v>
                </c:pt>
                <c:pt idx="98">
                  <c:v>0.97124553910957712</c:v>
                </c:pt>
                <c:pt idx="99">
                  <c:v>0.97130404259053404</c:v>
                </c:pt>
                <c:pt idx="100">
                  <c:v>0.97080676300239876</c:v>
                </c:pt>
                <c:pt idx="101">
                  <c:v>0.97042649037617734</c:v>
                </c:pt>
                <c:pt idx="102">
                  <c:v>0.97007546949043455</c:v>
                </c:pt>
                <c:pt idx="103">
                  <c:v>0.96998771426899888</c:v>
                </c:pt>
                <c:pt idx="104">
                  <c:v>0.96978295208564902</c:v>
                </c:pt>
                <c:pt idx="105">
                  <c:v>0.96937342771894941</c:v>
                </c:pt>
                <c:pt idx="106">
                  <c:v>0.96875914116889961</c:v>
                </c:pt>
                <c:pt idx="107">
                  <c:v>0.96832036506172126</c:v>
                </c:pt>
                <c:pt idx="108">
                  <c:v>0.96820335809980684</c:v>
                </c:pt>
                <c:pt idx="109">
                  <c:v>0.96796934417597846</c:v>
                </c:pt>
                <c:pt idx="110">
                  <c:v>0.96755981980927863</c:v>
                </c:pt>
                <c:pt idx="111">
                  <c:v>0.96691628151875031</c:v>
                </c:pt>
                <c:pt idx="112">
                  <c:v>0.96656526063300763</c:v>
                </c:pt>
                <c:pt idx="113">
                  <c:v>0.96653600889252911</c:v>
                </c:pt>
                <c:pt idx="114">
                  <c:v>0.96685777803779316</c:v>
                </c:pt>
                <c:pt idx="115">
                  <c:v>0.96671151933540056</c:v>
                </c:pt>
                <c:pt idx="116">
                  <c:v>0.96636049844965777</c:v>
                </c:pt>
                <c:pt idx="117">
                  <c:v>0.96586321886152227</c:v>
                </c:pt>
                <c:pt idx="118">
                  <c:v>0.96603872930439361</c:v>
                </c:pt>
                <c:pt idx="119">
                  <c:v>0.96577546364008648</c:v>
                </c:pt>
                <c:pt idx="120">
                  <c:v>0.96551219797577947</c:v>
                </c:pt>
                <c:pt idx="121">
                  <c:v>0.96498566664716545</c:v>
                </c:pt>
                <c:pt idx="122">
                  <c:v>0.96454689053998699</c:v>
                </c:pt>
                <c:pt idx="123">
                  <c:v>0.96448838705903006</c:v>
                </c:pt>
                <c:pt idx="124">
                  <c:v>0.96442988357807291</c:v>
                </c:pt>
                <c:pt idx="125">
                  <c:v>0.9642836248756802</c:v>
                </c:pt>
                <c:pt idx="126">
                  <c:v>0.96369859006610892</c:v>
                </c:pt>
                <c:pt idx="127">
                  <c:v>0.96343532440180191</c:v>
                </c:pt>
                <c:pt idx="128">
                  <c:v>0.96323056221845205</c:v>
                </c:pt>
                <c:pt idx="129">
                  <c:v>0.96328906569940909</c:v>
                </c:pt>
                <c:pt idx="130">
                  <c:v>0.96314280699701638</c:v>
                </c:pt>
                <c:pt idx="131">
                  <c:v>0.96270403088983802</c:v>
                </c:pt>
                <c:pt idx="132">
                  <c:v>0.96223600304218115</c:v>
                </c:pt>
                <c:pt idx="133">
                  <c:v>0.96191423389691688</c:v>
                </c:pt>
                <c:pt idx="134">
                  <c:v>0.96191423389691688</c:v>
                </c:pt>
                <c:pt idx="135">
                  <c:v>0.9619434856373954</c:v>
                </c:pt>
                <c:pt idx="136">
                  <c:v>0.96162171649213135</c:v>
                </c:pt>
                <c:pt idx="137">
                  <c:v>0.96124144386590993</c:v>
                </c:pt>
                <c:pt idx="138">
                  <c:v>0.9609489264611244</c:v>
                </c:pt>
                <c:pt idx="139">
                  <c:v>0.96086117123968873</c:v>
                </c:pt>
                <c:pt idx="140">
                  <c:v>0.96121219212543141</c:v>
                </c:pt>
                <c:pt idx="141">
                  <c:v>0.96103668168256007</c:v>
                </c:pt>
                <c:pt idx="142">
                  <c:v>0.96062715731586035</c:v>
                </c:pt>
                <c:pt idx="143">
                  <c:v>0.96015912946820325</c:v>
                </c:pt>
                <c:pt idx="144">
                  <c:v>0.95878429766571116</c:v>
                </c:pt>
                <c:pt idx="145">
                  <c:v>0.95986661206341772</c:v>
                </c:pt>
                <c:pt idx="146">
                  <c:v>0.9599543672848535</c:v>
                </c:pt>
                <c:pt idx="147">
                  <c:v>0.9597203533610249</c:v>
                </c:pt>
                <c:pt idx="148">
                  <c:v>0.95948633943719652</c:v>
                </c:pt>
                <c:pt idx="149">
                  <c:v>0.95735096238226181</c:v>
                </c:pt>
                <c:pt idx="150">
                  <c:v>0.95702919323699753</c:v>
                </c:pt>
                <c:pt idx="151">
                  <c:v>0.95682443105364767</c:v>
                </c:pt>
                <c:pt idx="152">
                  <c:v>0.95644415842742647</c:v>
                </c:pt>
                <c:pt idx="153">
                  <c:v>0.95626864798455513</c:v>
                </c:pt>
                <c:pt idx="154">
                  <c:v>0.95632715146551217</c:v>
                </c:pt>
                <c:pt idx="155">
                  <c:v>0.95618089276311946</c:v>
                </c:pt>
                <c:pt idx="156">
                  <c:v>0.95580062013689804</c:v>
                </c:pt>
                <c:pt idx="157">
                  <c:v>0.95536184402971969</c:v>
                </c:pt>
                <c:pt idx="158">
                  <c:v>0.95515708184636983</c:v>
                </c:pt>
                <c:pt idx="159">
                  <c:v>0.95474755747967011</c:v>
                </c:pt>
                <c:pt idx="160">
                  <c:v>0.95328497045574212</c:v>
                </c:pt>
                <c:pt idx="161">
                  <c:v>0.95240741824138531</c:v>
                </c:pt>
                <c:pt idx="162">
                  <c:v>0.95188088691277117</c:v>
                </c:pt>
                <c:pt idx="163">
                  <c:v>0.9517931316913355</c:v>
                </c:pt>
                <c:pt idx="164">
                  <c:v>0.95234891476042827</c:v>
                </c:pt>
                <c:pt idx="165">
                  <c:v>0.95246592172234246</c:v>
                </c:pt>
                <c:pt idx="166">
                  <c:v>0.95193939039372844</c:v>
                </c:pt>
                <c:pt idx="167">
                  <c:v>0.95150061428654997</c:v>
                </c:pt>
                <c:pt idx="168">
                  <c:v>0.95129585210320011</c:v>
                </c:pt>
                <c:pt idx="169">
                  <c:v>0.95132510384367863</c:v>
                </c:pt>
                <c:pt idx="170">
                  <c:v>0.95117884514128603</c:v>
                </c:pt>
                <c:pt idx="171">
                  <c:v>0.95088632773650028</c:v>
                </c:pt>
                <c:pt idx="172">
                  <c:v>0.95033054466740774</c:v>
                </c:pt>
                <c:pt idx="173">
                  <c:v>0.94997952378166495</c:v>
                </c:pt>
                <c:pt idx="174">
                  <c:v>0.94995027204118654</c:v>
                </c:pt>
                <c:pt idx="175">
                  <c:v>0.9499210203007078</c:v>
                </c:pt>
                <c:pt idx="176">
                  <c:v>0.94977476159831509</c:v>
                </c:pt>
                <c:pt idx="177">
                  <c:v>0.94930673375065822</c:v>
                </c:pt>
                <c:pt idx="178">
                  <c:v>0.94880945416252271</c:v>
                </c:pt>
                <c:pt idx="179">
                  <c:v>0.94872169894108704</c:v>
                </c:pt>
                <c:pt idx="180">
                  <c:v>0.94866319546012978</c:v>
                </c:pt>
                <c:pt idx="181">
                  <c:v>0.94842918153630151</c:v>
                </c:pt>
                <c:pt idx="182">
                  <c:v>0.94772713976481604</c:v>
                </c:pt>
                <c:pt idx="183">
                  <c:v>0.94728836365763769</c:v>
                </c:pt>
                <c:pt idx="184">
                  <c:v>0.94722986017668043</c:v>
                </c:pt>
                <c:pt idx="185">
                  <c:v>0.94705434973380909</c:v>
                </c:pt>
                <c:pt idx="186">
                  <c:v>0.94690809103141649</c:v>
                </c:pt>
                <c:pt idx="187">
                  <c:v>0.94635230796232361</c:v>
                </c:pt>
                <c:pt idx="188">
                  <c:v>0.94579652489323107</c:v>
                </c:pt>
                <c:pt idx="189">
                  <c:v>0.94565026619083847</c:v>
                </c:pt>
                <c:pt idx="190">
                  <c:v>0.94544550400748839</c:v>
                </c:pt>
                <c:pt idx="191">
                  <c:v>0.94526999356461705</c:v>
                </c:pt>
                <c:pt idx="192">
                  <c:v>0.94491897267887437</c:v>
                </c:pt>
                <c:pt idx="193">
                  <c:v>0.94448019657169591</c:v>
                </c:pt>
                <c:pt idx="194">
                  <c:v>0.94421693090738912</c:v>
                </c:pt>
                <c:pt idx="195">
                  <c:v>0.94409992394547471</c:v>
                </c:pt>
                <c:pt idx="196">
                  <c:v>0.94401216872403904</c:v>
                </c:pt>
                <c:pt idx="197">
                  <c:v>0.94377815480021066</c:v>
                </c:pt>
                <c:pt idx="198">
                  <c:v>0.94331012695255356</c:v>
                </c:pt>
                <c:pt idx="199">
                  <c:v>0.94281284736441828</c:v>
                </c:pt>
                <c:pt idx="200">
                  <c:v>0.94301760954776803</c:v>
                </c:pt>
                <c:pt idx="201">
                  <c:v>0.94313461650968222</c:v>
                </c:pt>
                <c:pt idx="202">
                  <c:v>0.94292985432633236</c:v>
                </c:pt>
                <c:pt idx="203">
                  <c:v>0.94252032995963253</c:v>
                </c:pt>
                <c:pt idx="204">
                  <c:v>0.94208155385245429</c:v>
                </c:pt>
                <c:pt idx="205">
                  <c:v>0.9423448195167613</c:v>
                </c:pt>
                <c:pt idx="206">
                  <c:v>0.94257883344058968</c:v>
                </c:pt>
                <c:pt idx="207">
                  <c:v>0.94257883344058968</c:v>
                </c:pt>
                <c:pt idx="208">
                  <c:v>0.94225706429532563</c:v>
                </c:pt>
                <c:pt idx="209">
                  <c:v>0.94193529515006147</c:v>
                </c:pt>
                <c:pt idx="210">
                  <c:v>0.94164277774527594</c:v>
                </c:pt>
                <c:pt idx="211">
                  <c:v>0.94132100860001167</c:v>
                </c:pt>
                <c:pt idx="212">
                  <c:v>0.94108699467618318</c:v>
                </c:pt>
                <c:pt idx="213">
                  <c:v>0.9406189668285263</c:v>
                </c:pt>
                <c:pt idx="214">
                  <c:v>0.94003393201895524</c:v>
                </c:pt>
                <c:pt idx="215">
                  <c:v>0.93977066635464812</c:v>
                </c:pt>
                <c:pt idx="216">
                  <c:v>0.94158427426431868</c:v>
                </c:pt>
                <c:pt idx="217">
                  <c:v>0.94012168724039091</c:v>
                </c:pt>
                <c:pt idx="218">
                  <c:v>0.93915637980459843</c:v>
                </c:pt>
                <c:pt idx="219">
                  <c:v>0.93898086936172709</c:v>
                </c:pt>
                <c:pt idx="220">
                  <c:v>0.94120400163809748</c:v>
                </c:pt>
                <c:pt idx="221">
                  <c:v>0.94102849119522614</c:v>
                </c:pt>
                <c:pt idx="222">
                  <c:v>0.94003393201895524</c:v>
                </c:pt>
                <c:pt idx="223">
                  <c:v>0.93956590417129815</c:v>
                </c:pt>
                <c:pt idx="224">
                  <c:v>0.93918563154507695</c:v>
                </c:pt>
                <c:pt idx="225">
                  <c:v>0.93804481366641312</c:v>
                </c:pt>
                <c:pt idx="226">
                  <c:v>0.93775229626162759</c:v>
                </c:pt>
                <c:pt idx="227">
                  <c:v>0.93725501667349198</c:v>
                </c:pt>
                <c:pt idx="228">
                  <c:v>0.93693324752822793</c:v>
                </c:pt>
                <c:pt idx="229">
                  <c:v>0.93666998186392092</c:v>
                </c:pt>
                <c:pt idx="230">
                  <c:v>0.93658222664248525</c:v>
                </c:pt>
                <c:pt idx="231">
                  <c:v>0.9361434505353069</c:v>
                </c:pt>
                <c:pt idx="232">
                  <c:v>0.93576317790908559</c:v>
                </c:pt>
                <c:pt idx="233">
                  <c:v>0.93547066050430006</c:v>
                </c:pt>
                <c:pt idx="234">
                  <c:v>0.93529515006142872</c:v>
                </c:pt>
                <c:pt idx="235">
                  <c:v>0.93514889135903589</c:v>
                </c:pt>
                <c:pt idx="236">
                  <c:v>0.93479787047329321</c:v>
                </c:pt>
                <c:pt idx="237">
                  <c:v>0.93438834610659338</c:v>
                </c:pt>
                <c:pt idx="238">
                  <c:v>0.93412508044228637</c:v>
                </c:pt>
                <c:pt idx="239">
                  <c:v>0.93386181477797936</c:v>
                </c:pt>
                <c:pt idx="240">
                  <c:v>0.93371555607558654</c:v>
                </c:pt>
                <c:pt idx="241">
                  <c:v>0.93348154215175805</c:v>
                </c:pt>
                <c:pt idx="242">
                  <c:v>0.93313052126601526</c:v>
                </c:pt>
                <c:pt idx="243">
                  <c:v>0.93289650734218688</c:v>
                </c:pt>
                <c:pt idx="244">
                  <c:v>0.93260398993740135</c:v>
                </c:pt>
                <c:pt idx="245">
                  <c:v>0.93248698297548704</c:v>
                </c:pt>
                <c:pt idx="246">
                  <c:v>0.9321944655707014</c:v>
                </c:pt>
                <c:pt idx="247">
                  <c:v>0.93190194816591587</c:v>
                </c:pt>
                <c:pt idx="248">
                  <c:v>0.93146317205873752</c:v>
                </c:pt>
                <c:pt idx="249">
                  <c:v>0.93111215117299473</c:v>
                </c:pt>
                <c:pt idx="250">
                  <c:v>0.93087813724916635</c:v>
                </c:pt>
                <c:pt idx="251">
                  <c:v>0.93064412332533786</c:v>
                </c:pt>
                <c:pt idx="252">
                  <c:v>0.93020534721815951</c:v>
                </c:pt>
                <c:pt idx="253">
                  <c:v>0.92973731937050252</c:v>
                </c:pt>
                <c:pt idx="254">
                  <c:v>0.92935704674428132</c:v>
                </c:pt>
                <c:pt idx="255">
                  <c:v>0.92926929152284565</c:v>
                </c:pt>
                <c:pt idx="256">
                  <c:v>0.92935704674428132</c:v>
                </c:pt>
                <c:pt idx="257">
                  <c:v>0.92909378107997431</c:v>
                </c:pt>
                <c:pt idx="258">
                  <c:v>0.92877201193471015</c:v>
                </c:pt>
                <c:pt idx="259">
                  <c:v>0.92856724975136018</c:v>
                </c:pt>
                <c:pt idx="260">
                  <c:v>0.92839173930848884</c:v>
                </c:pt>
                <c:pt idx="261">
                  <c:v>0.9282162288656175</c:v>
                </c:pt>
                <c:pt idx="262">
                  <c:v>0.92798221494178901</c:v>
                </c:pt>
                <c:pt idx="263">
                  <c:v>0.92742643187269636</c:v>
                </c:pt>
                <c:pt idx="264">
                  <c:v>0.9271046627274323</c:v>
                </c:pt>
                <c:pt idx="265">
                  <c:v>0.92707541098695379</c:v>
                </c:pt>
                <c:pt idx="266">
                  <c:v>0.92698765576551811</c:v>
                </c:pt>
                <c:pt idx="267">
                  <c:v>0.92689990054408244</c:v>
                </c:pt>
                <c:pt idx="268">
                  <c:v>0.92669513836073247</c:v>
                </c:pt>
                <c:pt idx="269">
                  <c:v>0.92631486573451127</c:v>
                </c:pt>
                <c:pt idx="270">
                  <c:v>0.92564207570350432</c:v>
                </c:pt>
                <c:pt idx="271">
                  <c:v>0.92517404785584745</c:v>
                </c:pt>
                <c:pt idx="272">
                  <c:v>0.92499853741297611</c:v>
                </c:pt>
                <c:pt idx="273">
                  <c:v>0.92476452348914762</c:v>
                </c:pt>
                <c:pt idx="274">
                  <c:v>0.92429649564149063</c:v>
                </c:pt>
                <c:pt idx="275">
                  <c:v>0.92394547475574795</c:v>
                </c:pt>
                <c:pt idx="276">
                  <c:v>0.92376996431287661</c:v>
                </c:pt>
                <c:pt idx="277">
                  <c:v>0.92371146083191946</c:v>
                </c:pt>
                <c:pt idx="278">
                  <c:v>0.92321418124378396</c:v>
                </c:pt>
                <c:pt idx="279">
                  <c:v>0.92280465687708424</c:v>
                </c:pt>
                <c:pt idx="280">
                  <c:v>0.92257064295325575</c:v>
                </c:pt>
                <c:pt idx="281">
                  <c:v>0.92236588076990578</c:v>
                </c:pt>
                <c:pt idx="282">
                  <c:v>0.92227812554847011</c:v>
                </c:pt>
                <c:pt idx="283">
                  <c:v>0.9221318668460774</c:v>
                </c:pt>
                <c:pt idx="284">
                  <c:v>0.92172234247937757</c:v>
                </c:pt>
                <c:pt idx="285">
                  <c:v>0.92142982507459192</c:v>
                </c:pt>
                <c:pt idx="286">
                  <c:v>0.92119581115076354</c:v>
                </c:pt>
                <c:pt idx="287">
                  <c:v>0.92096179722693505</c:v>
                </c:pt>
                <c:pt idx="288">
                  <c:v>0.9205230211197567</c:v>
                </c:pt>
                <c:pt idx="289">
                  <c:v>0.92031825893640673</c:v>
                </c:pt>
                <c:pt idx="290">
                  <c:v>0.91999648979114257</c:v>
                </c:pt>
                <c:pt idx="291">
                  <c:v>0.91982097934827123</c:v>
                </c:pt>
                <c:pt idx="292">
                  <c:v>0.91982097934827123</c:v>
                </c:pt>
                <c:pt idx="293">
                  <c:v>0.91973322412683556</c:v>
                </c:pt>
                <c:pt idx="294">
                  <c:v>0.91932369976013573</c:v>
                </c:pt>
                <c:pt idx="295">
                  <c:v>0.91917744105774291</c:v>
                </c:pt>
                <c:pt idx="296">
                  <c:v>0.91888492365295737</c:v>
                </c:pt>
                <c:pt idx="297">
                  <c:v>0.91856315450769321</c:v>
                </c:pt>
                <c:pt idx="298">
                  <c:v>0.91832914058386472</c:v>
                </c:pt>
                <c:pt idx="299">
                  <c:v>0.91794886795764352</c:v>
                </c:pt>
                <c:pt idx="300">
                  <c:v>0.91914818931726439</c:v>
                </c:pt>
                <c:pt idx="301">
                  <c:v>0.91897267887439305</c:v>
                </c:pt>
                <c:pt idx="302">
                  <c:v>0.9186801614696074</c:v>
                </c:pt>
                <c:pt idx="303">
                  <c:v>0.91853390276721469</c:v>
                </c:pt>
                <c:pt idx="304">
                  <c:v>0.91809512666003623</c:v>
                </c:pt>
                <c:pt idx="305">
                  <c:v>0.91771485403381503</c:v>
                </c:pt>
                <c:pt idx="306">
                  <c:v>0.91736383314807235</c:v>
                </c:pt>
                <c:pt idx="307">
                  <c:v>0.91724682618615805</c:v>
                </c:pt>
                <c:pt idx="308">
                  <c:v>0.91672029485754403</c:v>
                </c:pt>
                <c:pt idx="309">
                  <c:v>0.9164277774527585</c:v>
                </c:pt>
                <c:pt idx="310">
                  <c:v>0.91598900134558003</c:v>
                </c:pt>
                <c:pt idx="311">
                  <c:v>0.91549172175744453</c:v>
                </c:pt>
                <c:pt idx="312">
                  <c:v>0.91508219739074481</c:v>
                </c:pt>
                <c:pt idx="313">
                  <c:v>0.91493593868835188</c:v>
                </c:pt>
                <c:pt idx="314">
                  <c:v>0.91476042824548054</c:v>
                </c:pt>
                <c:pt idx="315">
                  <c:v>0.91426314865734504</c:v>
                </c:pt>
                <c:pt idx="316">
                  <c:v>0.91382437255016669</c:v>
                </c:pt>
                <c:pt idx="317">
                  <c:v>0.91361961036681683</c:v>
                </c:pt>
                <c:pt idx="318">
                  <c:v>0.91361961036681683</c:v>
                </c:pt>
                <c:pt idx="319">
                  <c:v>0.91347335166442412</c:v>
                </c:pt>
                <c:pt idx="320">
                  <c:v>0.91306382729772417</c:v>
                </c:pt>
                <c:pt idx="321">
                  <c:v>0.91242028900719596</c:v>
                </c:pt>
                <c:pt idx="322">
                  <c:v>0.91212777160241032</c:v>
                </c:pt>
                <c:pt idx="323">
                  <c:v>0.91221552682384599</c:v>
                </c:pt>
                <c:pt idx="324">
                  <c:v>0.91212777160241032</c:v>
                </c:pt>
                <c:pt idx="325">
                  <c:v>0.91183525419762479</c:v>
                </c:pt>
                <c:pt idx="326">
                  <c:v>0.91139647809044644</c:v>
                </c:pt>
                <c:pt idx="327">
                  <c:v>0.91113321242613932</c:v>
                </c:pt>
                <c:pt idx="328">
                  <c:v>0.91101620546422513</c:v>
                </c:pt>
                <c:pt idx="329">
                  <c:v>0.91081144328087527</c:v>
                </c:pt>
                <c:pt idx="330">
                  <c:v>0.91043117065465395</c:v>
                </c:pt>
                <c:pt idx="331">
                  <c:v>0.91002164628795412</c:v>
                </c:pt>
                <c:pt idx="332">
                  <c:v>0.90967062540221144</c:v>
                </c:pt>
                <c:pt idx="333">
                  <c:v>0.90958287018077577</c:v>
                </c:pt>
                <c:pt idx="334">
                  <c:v>0.90943661147838295</c:v>
                </c:pt>
                <c:pt idx="335">
                  <c:v>0.90929035277599024</c:v>
                </c:pt>
                <c:pt idx="336">
                  <c:v>0.90885157666881178</c:v>
                </c:pt>
                <c:pt idx="337">
                  <c:v>0.9083835488211548</c:v>
                </c:pt>
                <c:pt idx="338">
                  <c:v>0.90826654185924061</c:v>
                </c:pt>
                <c:pt idx="339">
                  <c:v>0.90826654185924061</c:v>
                </c:pt>
                <c:pt idx="340">
                  <c:v>0.90806177967589075</c:v>
                </c:pt>
                <c:pt idx="341">
                  <c:v>0.90771075879014795</c:v>
                </c:pt>
                <c:pt idx="342">
                  <c:v>0.9073889896448839</c:v>
                </c:pt>
                <c:pt idx="343">
                  <c:v>0.90718422746153404</c:v>
                </c:pt>
                <c:pt idx="344">
                  <c:v>0.90715497572105541</c:v>
                </c:pt>
                <c:pt idx="345">
                  <c:v>0.90709647224009837</c:v>
                </c:pt>
                <c:pt idx="346">
                  <c:v>0.9067747030948341</c:v>
                </c:pt>
                <c:pt idx="347">
                  <c:v>0.9062774235066986</c:v>
                </c:pt>
                <c:pt idx="348">
                  <c:v>0.90607266132334874</c:v>
                </c:pt>
                <c:pt idx="349">
                  <c:v>0.90613116480430589</c:v>
                </c:pt>
                <c:pt idx="350">
                  <c:v>0.90610191306382726</c:v>
                </c:pt>
                <c:pt idx="351">
                  <c:v>0.90572164043760606</c:v>
                </c:pt>
                <c:pt idx="352">
                  <c:v>0.90531211607090623</c:v>
                </c:pt>
                <c:pt idx="353">
                  <c:v>0.90504885040659921</c:v>
                </c:pt>
                <c:pt idx="354">
                  <c:v>0.90499034692564206</c:v>
                </c:pt>
                <c:pt idx="355">
                  <c:v>0.90507810214707773</c:v>
                </c:pt>
                <c:pt idx="356">
                  <c:v>0.9046685777803779</c:v>
                </c:pt>
                <c:pt idx="357">
                  <c:v>0.90422980167319955</c:v>
                </c:pt>
                <c:pt idx="358">
                  <c:v>0.90373252208506405</c:v>
                </c:pt>
                <c:pt idx="359">
                  <c:v>0.90346925642075704</c:v>
                </c:pt>
                <c:pt idx="360">
                  <c:v>0.90326449423740718</c:v>
                </c:pt>
                <c:pt idx="361">
                  <c:v>0.90303048031357858</c:v>
                </c:pt>
                <c:pt idx="362">
                  <c:v>0.90270871116831453</c:v>
                </c:pt>
                <c:pt idx="363">
                  <c:v>0.90232843854209333</c:v>
                </c:pt>
                <c:pt idx="364">
                  <c:v>0.90191891417539338</c:v>
                </c:pt>
                <c:pt idx="365">
                  <c:v>0.90186041069443634</c:v>
                </c:pt>
                <c:pt idx="366">
                  <c:v>0.901684900251565</c:v>
                </c:pt>
                <c:pt idx="367">
                  <c:v>0.90150938980869355</c:v>
                </c:pt>
                <c:pt idx="368">
                  <c:v>0.90124612414438654</c:v>
                </c:pt>
                <c:pt idx="369">
                  <c:v>0.90098285848007953</c:v>
                </c:pt>
                <c:pt idx="370">
                  <c:v>0.90104136196103668</c:v>
                </c:pt>
                <c:pt idx="371">
                  <c:v>0.90092435499912249</c:v>
                </c:pt>
                <c:pt idx="372">
                  <c:v>0.90066108933481537</c:v>
                </c:pt>
                <c:pt idx="373">
                  <c:v>0.90025156496811565</c:v>
                </c:pt>
                <c:pt idx="374">
                  <c:v>0.89990054408237286</c:v>
                </c:pt>
                <c:pt idx="375">
                  <c:v>0.89911074708945182</c:v>
                </c:pt>
                <c:pt idx="376">
                  <c:v>0.8984672087989235</c:v>
                </c:pt>
                <c:pt idx="377">
                  <c:v>0.89788217398935233</c:v>
                </c:pt>
                <c:pt idx="378">
                  <c:v>0.89735564266073831</c:v>
                </c:pt>
                <c:pt idx="379">
                  <c:v>0.89726788743930264</c:v>
                </c:pt>
                <c:pt idx="380">
                  <c:v>0.89720938395834549</c:v>
                </c:pt>
                <c:pt idx="381">
                  <c:v>0.89703387351547414</c:v>
                </c:pt>
                <c:pt idx="382">
                  <c:v>0.89662434914877442</c:v>
                </c:pt>
                <c:pt idx="383">
                  <c:v>0.89624407652255311</c:v>
                </c:pt>
                <c:pt idx="384">
                  <c:v>0.89603931433920325</c:v>
                </c:pt>
                <c:pt idx="385">
                  <c:v>0.89606856607968177</c:v>
                </c:pt>
                <c:pt idx="386">
                  <c:v>0.89595155911776758</c:v>
                </c:pt>
                <c:pt idx="387">
                  <c:v>0.89577604867489624</c:v>
                </c:pt>
                <c:pt idx="388">
                  <c:v>0.89551278301058912</c:v>
                </c:pt>
                <c:pt idx="389">
                  <c:v>0.89533727256771778</c:v>
                </c:pt>
                <c:pt idx="390">
                  <c:v>0.89533727256771778</c:v>
                </c:pt>
                <c:pt idx="391">
                  <c:v>0.8951032586438894</c:v>
                </c:pt>
                <c:pt idx="392">
                  <c:v>0.89457672731527527</c:v>
                </c:pt>
                <c:pt idx="393">
                  <c:v>0.89416720294857543</c:v>
                </c:pt>
                <c:pt idx="394">
                  <c:v>0.8938746855437899</c:v>
                </c:pt>
                <c:pt idx="395">
                  <c:v>0.89364067161996141</c:v>
                </c:pt>
                <c:pt idx="396">
                  <c:v>0.89343590943661144</c:v>
                </c:pt>
                <c:pt idx="397">
                  <c:v>0.89305563681039024</c:v>
                </c:pt>
                <c:pt idx="398">
                  <c:v>0.89293862984847594</c:v>
                </c:pt>
                <c:pt idx="399">
                  <c:v>0.89261686070321189</c:v>
                </c:pt>
                <c:pt idx="400">
                  <c:v>0.89217808459603343</c:v>
                </c:pt>
                <c:pt idx="401">
                  <c:v>0.89173930848885508</c:v>
                </c:pt>
                <c:pt idx="402">
                  <c:v>0.89141753934359091</c:v>
                </c:pt>
                <c:pt idx="403">
                  <c:v>0.89121277716024105</c:v>
                </c:pt>
                <c:pt idx="404">
                  <c:v>0.89097876323641256</c:v>
                </c:pt>
                <c:pt idx="405">
                  <c:v>0.89074474931258407</c:v>
                </c:pt>
                <c:pt idx="406">
                  <c:v>0.8907740010530627</c:v>
                </c:pt>
                <c:pt idx="407">
                  <c:v>0.89056923886971273</c:v>
                </c:pt>
                <c:pt idx="408">
                  <c:v>0.88998420406014156</c:v>
                </c:pt>
                <c:pt idx="409">
                  <c:v>0.88951617621248458</c:v>
                </c:pt>
                <c:pt idx="410">
                  <c:v>0.88942842099104891</c:v>
                </c:pt>
                <c:pt idx="411">
                  <c:v>0.88957467969344184</c:v>
                </c:pt>
                <c:pt idx="412">
                  <c:v>0.88945767273152754</c:v>
                </c:pt>
                <c:pt idx="413">
                  <c:v>0.88919440706722053</c:v>
                </c:pt>
                <c:pt idx="414">
                  <c:v>0.88860937225764935</c:v>
                </c:pt>
                <c:pt idx="415">
                  <c:v>0.88834610659334234</c:v>
                </c:pt>
                <c:pt idx="416">
                  <c:v>0.88822909963142804</c:v>
                </c:pt>
                <c:pt idx="417">
                  <c:v>0.88819984789094952</c:v>
                </c:pt>
                <c:pt idx="418">
                  <c:v>0.88793658222664251</c:v>
                </c:pt>
                <c:pt idx="419">
                  <c:v>0.88720528871467852</c:v>
                </c:pt>
                <c:pt idx="420">
                  <c:v>0.88670800912654302</c:v>
                </c:pt>
                <c:pt idx="421">
                  <c:v>0.8870590300122857</c:v>
                </c:pt>
                <c:pt idx="422">
                  <c:v>0.88711753349324285</c:v>
                </c:pt>
                <c:pt idx="423">
                  <c:v>0.88694202305037151</c:v>
                </c:pt>
                <c:pt idx="424">
                  <c:v>0.88673726086702154</c:v>
                </c:pt>
                <c:pt idx="425">
                  <c:v>0.88638623998127886</c:v>
                </c:pt>
                <c:pt idx="426">
                  <c:v>0.886181477797929</c:v>
                </c:pt>
                <c:pt idx="427">
                  <c:v>0.89030597320540572</c:v>
                </c:pt>
                <c:pt idx="428">
                  <c:v>0.88910665184578486</c:v>
                </c:pt>
                <c:pt idx="429">
                  <c:v>0.88840461007429938</c:v>
                </c:pt>
                <c:pt idx="430">
                  <c:v>0.88773182004329254</c:v>
                </c:pt>
                <c:pt idx="431">
                  <c:v>0.88723454045515704</c:v>
                </c:pt>
                <c:pt idx="432">
                  <c:v>0.8870590300122857</c:v>
                </c:pt>
                <c:pt idx="433">
                  <c:v>0.88697127479085003</c:v>
                </c:pt>
                <c:pt idx="434">
                  <c:v>0.88662025390510735</c:v>
                </c:pt>
                <c:pt idx="435">
                  <c:v>0.88609372257649333</c:v>
                </c:pt>
                <c:pt idx="436">
                  <c:v>0.88565494646931497</c:v>
                </c:pt>
                <c:pt idx="437">
                  <c:v>0.88524542210261514</c:v>
                </c:pt>
                <c:pt idx="438">
                  <c:v>0.88498215643830813</c:v>
                </c:pt>
                <c:pt idx="439">
                  <c:v>0.88477739425495816</c:v>
                </c:pt>
                <c:pt idx="440">
                  <c:v>0.88439712162873696</c:v>
                </c:pt>
                <c:pt idx="441">
                  <c:v>0.88395834552155861</c:v>
                </c:pt>
                <c:pt idx="442">
                  <c:v>0.88366582811677297</c:v>
                </c:pt>
                <c:pt idx="443">
                  <c:v>0.88346106593342311</c:v>
                </c:pt>
                <c:pt idx="444">
                  <c:v>0.88360732463581582</c:v>
                </c:pt>
                <c:pt idx="445">
                  <c:v>0.88313929678815883</c:v>
                </c:pt>
                <c:pt idx="446">
                  <c:v>0.88272977242145911</c:v>
                </c:pt>
                <c:pt idx="447">
                  <c:v>0.88232024805475928</c:v>
                </c:pt>
                <c:pt idx="448">
                  <c:v>0.88220324109284498</c:v>
                </c:pt>
                <c:pt idx="449">
                  <c:v>0.88217398935236646</c:v>
                </c:pt>
                <c:pt idx="450">
                  <c:v>0.88018487099982445</c:v>
                </c:pt>
                <c:pt idx="451">
                  <c:v>0.8808576610308313</c:v>
                </c:pt>
                <c:pt idx="452">
                  <c:v>0.87957058444977476</c:v>
                </c:pt>
                <c:pt idx="453">
                  <c:v>0.87834201134967538</c:v>
                </c:pt>
                <c:pt idx="454">
                  <c:v>0.87766922131866854</c:v>
                </c:pt>
                <c:pt idx="455">
                  <c:v>0.87679166910431172</c:v>
                </c:pt>
                <c:pt idx="456">
                  <c:v>0.87632364125665474</c:v>
                </c:pt>
                <c:pt idx="457">
                  <c:v>0.87521207511846955</c:v>
                </c:pt>
                <c:pt idx="458">
                  <c:v>0.87597262037091217</c:v>
                </c:pt>
                <c:pt idx="459">
                  <c:v>0.87591411688995491</c:v>
                </c:pt>
                <c:pt idx="460">
                  <c:v>0.87559234774469086</c:v>
                </c:pt>
                <c:pt idx="461">
                  <c:v>0.87532908208038374</c:v>
                </c:pt>
                <c:pt idx="462">
                  <c:v>0.87524132685894807</c:v>
                </c:pt>
                <c:pt idx="463">
                  <c:v>0.87550459252325508</c:v>
                </c:pt>
                <c:pt idx="464">
                  <c:v>0.87623588603521907</c:v>
                </c:pt>
                <c:pt idx="465">
                  <c:v>0.87623588603521907</c:v>
                </c:pt>
                <c:pt idx="466">
                  <c:v>0.87597262037091217</c:v>
                </c:pt>
                <c:pt idx="467">
                  <c:v>0.87579710992804072</c:v>
                </c:pt>
                <c:pt idx="468">
                  <c:v>0.87573860644708357</c:v>
                </c:pt>
                <c:pt idx="469">
                  <c:v>0.87573860644708357</c:v>
                </c:pt>
                <c:pt idx="470">
                  <c:v>0.87553384426373371</c:v>
                </c:pt>
                <c:pt idx="471">
                  <c:v>0.8751535716375124</c:v>
                </c:pt>
                <c:pt idx="472">
                  <c:v>0.87500731293511969</c:v>
                </c:pt>
                <c:pt idx="473">
                  <c:v>0.87518282337799103</c:v>
                </c:pt>
                <c:pt idx="474">
                  <c:v>0.87506581641607672</c:v>
                </c:pt>
                <c:pt idx="475">
                  <c:v>0.87480255075176971</c:v>
                </c:pt>
                <c:pt idx="476">
                  <c:v>0.87448078160650555</c:v>
                </c:pt>
                <c:pt idx="477">
                  <c:v>0.87407125723980572</c:v>
                </c:pt>
                <c:pt idx="478">
                  <c:v>0.87395425027789153</c:v>
                </c:pt>
                <c:pt idx="479">
                  <c:v>0.87401275375884868</c:v>
                </c:pt>
                <c:pt idx="480">
                  <c:v>0.87389574679693438</c:v>
                </c:pt>
                <c:pt idx="481">
                  <c:v>0.87339846720879899</c:v>
                </c:pt>
                <c:pt idx="482">
                  <c:v>0.87307669806353483</c:v>
                </c:pt>
                <c:pt idx="483">
                  <c:v>0.87295969110162053</c:v>
                </c:pt>
                <c:pt idx="484">
                  <c:v>0.87284268413970623</c:v>
                </c:pt>
                <c:pt idx="485">
                  <c:v>0.87099982448955715</c:v>
                </c:pt>
                <c:pt idx="486">
                  <c:v>0.86942023050371497</c:v>
                </c:pt>
                <c:pt idx="487">
                  <c:v>0.86874744047270813</c:v>
                </c:pt>
                <c:pt idx="488">
                  <c:v>0.8693324752822793</c:v>
                </c:pt>
                <c:pt idx="489">
                  <c:v>0.86997601357280763</c:v>
                </c:pt>
                <c:pt idx="490">
                  <c:v>0.87015152401567897</c:v>
                </c:pt>
                <c:pt idx="491">
                  <c:v>0.86982975487041481</c:v>
                </c:pt>
                <c:pt idx="492">
                  <c:v>0.86988825835137185</c:v>
                </c:pt>
                <c:pt idx="493">
                  <c:v>0.86950798572515064</c:v>
                </c:pt>
                <c:pt idx="494">
                  <c:v>0.86912771309892933</c:v>
                </c:pt>
                <c:pt idx="495">
                  <c:v>0.8688351956941438</c:v>
                </c:pt>
                <c:pt idx="496">
                  <c:v>0.86889369917510095</c:v>
                </c:pt>
                <c:pt idx="497">
                  <c:v>0.86874744047270813</c:v>
                </c:pt>
                <c:pt idx="498">
                  <c:v>0.86865968525127246</c:v>
                </c:pt>
                <c:pt idx="499">
                  <c:v>0.86822090914409411</c:v>
                </c:pt>
                <c:pt idx="500">
                  <c:v>0.86807465044170129</c:v>
                </c:pt>
                <c:pt idx="501">
                  <c:v>0.8679576434797871</c:v>
                </c:pt>
                <c:pt idx="502">
                  <c:v>0.8678406365178728</c:v>
                </c:pt>
                <c:pt idx="503">
                  <c:v>0.86708009126543029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24C-4F62-8A70-77D25E92F2C6}"/>
            </c:ext>
          </c:extLst>
        </c:ser>
        <c:ser>
          <c:idx val="4"/>
          <c:order val="4"/>
          <c:tx>
            <c:v>450-2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大小中检!$AQ$3:$AQ$505</c:f>
              <c:numCache>
                <c:formatCode>General</c:formatCode>
                <c:ptCount val="5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</c:numCache>
            </c:numRef>
          </c:xVal>
          <c:yVal>
            <c:numRef>
              <c:f>大小中检!$AU$3:$AU$505</c:f>
              <c:numCache>
                <c:formatCode>0.00%</c:formatCode>
                <c:ptCount val="503"/>
                <c:pt idx="0">
                  <c:v>1</c:v>
                </c:pt>
                <c:pt idx="1">
                  <c:v>1.0006496766382187</c:v>
                </c:pt>
                <c:pt idx="2">
                  <c:v>1.0002362460502614</c:v>
                </c:pt>
                <c:pt idx="3">
                  <c:v>1.0005020228568056</c:v>
                </c:pt>
                <c:pt idx="4">
                  <c:v>1.0004134305879575</c:v>
                </c:pt>
                <c:pt idx="5">
                  <c:v>1.0005610843693706</c:v>
                </c:pt>
                <c:pt idx="6">
                  <c:v>1.0005315536130881</c:v>
                </c:pt>
                <c:pt idx="7">
                  <c:v>0.99997046924371735</c:v>
                </c:pt>
                <c:pt idx="8">
                  <c:v>0.9997637539497386</c:v>
                </c:pt>
                <c:pt idx="9">
                  <c:v>0.99943891563062937</c:v>
                </c:pt>
                <c:pt idx="10">
                  <c:v>0.99940938487434672</c:v>
                </c:pt>
                <c:pt idx="11">
                  <c:v>0.99935032336178131</c:v>
                </c:pt>
                <c:pt idx="12">
                  <c:v>0.99878923899241068</c:v>
                </c:pt>
                <c:pt idx="13">
                  <c:v>0.99864158521099722</c:v>
                </c:pt>
                <c:pt idx="14">
                  <c:v>0.99825768537932269</c:v>
                </c:pt>
                <c:pt idx="15">
                  <c:v>0.99822815462303982</c:v>
                </c:pt>
                <c:pt idx="16">
                  <c:v>0.99816909311047464</c:v>
                </c:pt>
                <c:pt idx="17">
                  <c:v>0.99808050084162658</c:v>
                </c:pt>
                <c:pt idx="18">
                  <c:v>0.99813956235419177</c:v>
                </c:pt>
                <c:pt idx="19">
                  <c:v>0.99769660100995172</c:v>
                </c:pt>
                <c:pt idx="20">
                  <c:v>0.99692880134660256</c:v>
                </c:pt>
                <c:pt idx="21">
                  <c:v>0.99616100168325306</c:v>
                </c:pt>
                <c:pt idx="22">
                  <c:v>0.99568850958273036</c:v>
                </c:pt>
                <c:pt idx="23">
                  <c:v>0.99551132504503437</c:v>
                </c:pt>
                <c:pt idx="24">
                  <c:v>0.99551132504503437</c:v>
                </c:pt>
                <c:pt idx="25">
                  <c:v>0.99500930218822914</c:v>
                </c:pt>
                <c:pt idx="26">
                  <c:v>0.99447774857514104</c:v>
                </c:pt>
                <c:pt idx="27">
                  <c:v>0.99418244101231423</c:v>
                </c:pt>
                <c:pt idx="28">
                  <c:v>0.99400525647461824</c:v>
                </c:pt>
                <c:pt idx="29">
                  <c:v>0.99406431798718364</c:v>
                </c:pt>
                <c:pt idx="30">
                  <c:v>0.993680418155509</c:v>
                </c:pt>
                <c:pt idx="31">
                  <c:v>0.99303074151729032</c:v>
                </c:pt>
                <c:pt idx="32">
                  <c:v>0.99285355697959432</c:v>
                </c:pt>
                <c:pt idx="33">
                  <c:v>0.99288308773587697</c:v>
                </c:pt>
                <c:pt idx="34">
                  <c:v>0.99279449546702891</c:v>
                </c:pt>
                <c:pt idx="35">
                  <c:v>0.99226294185394082</c:v>
                </c:pt>
                <c:pt idx="36">
                  <c:v>0.99170185748457018</c:v>
                </c:pt>
                <c:pt idx="37">
                  <c:v>0.99131795765289554</c:v>
                </c:pt>
                <c:pt idx="38">
                  <c:v>0.9912293653840476</c:v>
                </c:pt>
                <c:pt idx="39">
                  <c:v>0.9906978117709595</c:v>
                </c:pt>
                <c:pt idx="40">
                  <c:v>0.99034344269556751</c:v>
                </c:pt>
                <c:pt idx="41">
                  <c:v>0.98954611227593536</c:v>
                </c:pt>
                <c:pt idx="42">
                  <c:v>0.98907362017541278</c:v>
                </c:pt>
                <c:pt idx="43">
                  <c:v>0.98868972034373792</c:v>
                </c:pt>
                <c:pt idx="44">
                  <c:v>0.98877831261258597</c:v>
                </c:pt>
                <c:pt idx="45">
                  <c:v>0.98863065883117274</c:v>
                </c:pt>
                <c:pt idx="46">
                  <c:v>0.98809910521808464</c:v>
                </c:pt>
                <c:pt idx="47">
                  <c:v>0.98759708236127919</c:v>
                </c:pt>
                <c:pt idx="48">
                  <c:v>0.987538020848714</c:v>
                </c:pt>
                <c:pt idx="49">
                  <c:v>0.98629772908484192</c:v>
                </c:pt>
                <c:pt idx="50">
                  <c:v>0.9846735374892952</c:v>
                </c:pt>
                <c:pt idx="51">
                  <c:v>0.98369902253196706</c:v>
                </c:pt>
                <c:pt idx="52">
                  <c:v>0.98316746891887896</c:v>
                </c:pt>
                <c:pt idx="53">
                  <c:v>0.98363996101940165</c:v>
                </c:pt>
                <c:pt idx="54">
                  <c:v>0.9845554144641645</c:v>
                </c:pt>
                <c:pt idx="55">
                  <c:v>0.98544133715264437</c:v>
                </c:pt>
                <c:pt idx="56">
                  <c:v>0.98482119127070833</c:v>
                </c:pt>
                <c:pt idx="57">
                  <c:v>0.9843191684139031</c:v>
                </c:pt>
                <c:pt idx="58">
                  <c:v>0.98452588370788174</c:v>
                </c:pt>
                <c:pt idx="59">
                  <c:v>0.9844963529515991</c:v>
                </c:pt>
                <c:pt idx="60">
                  <c:v>0.98402386085107652</c:v>
                </c:pt>
                <c:pt idx="61">
                  <c:v>0.98325606118772702</c:v>
                </c:pt>
                <c:pt idx="62">
                  <c:v>0.98275403833092179</c:v>
                </c:pt>
                <c:pt idx="63">
                  <c:v>0.98260638454950833</c:v>
                </c:pt>
                <c:pt idx="64">
                  <c:v>0.98242920001181233</c:v>
                </c:pt>
                <c:pt idx="65">
                  <c:v>0.98198623866757229</c:v>
                </c:pt>
                <c:pt idx="66">
                  <c:v>0.98151374656704971</c:v>
                </c:pt>
                <c:pt idx="67">
                  <c:v>0.98118890824794025</c:v>
                </c:pt>
                <c:pt idx="68">
                  <c:v>0.98104125446652679</c:v>
                </c:pt>
                <c:pt idx="69">
                  <c:v>0.98101172371024425</c:v>
                </c:pt>
                <c:pt idx="70">
                  <c:v>0.9809231314413962</c:v>
                </c:pt>
                <c:pt idx="71">
                  <c:v>0.98015533177804692</c:v>
                </c:pt>
                <c:pt idx="72">
                  <c:v>0.97947612438354548</c:v>
                </c:pt>
                <c:pt idx="73">
                  <c:v>0.97929893984584948</c:v>
                </c:pt>
                <c:pt idx="74">
                  <c:v>0.97894457077045738</c:v>
                </c:pt>
                <c:pt idx="75">
                  <c:v>0.97797005581312935</c:v>
                </c:pt>
                <c:pt idx="76">
                  <c:v>0.97767474825030265</c:v>
                </c:pt>
                <c:pt idx="77">
                  <c:v>0.97746803295632412</c:v>
                </c:pt>
                <c:pt idx="78">
                  <c:v>0.97708413312464948</c:v>
                </c:pt>
                <c:pt idx="79">
                  <c:v>0.97667070253669197</c:v>
                </c:pt>
                <c:pt idx="80">
                  <c:v>0.97596196438590788</c:v>
                </c:pt>
                <c:pt idx="81">
                  <c:v>0.9751941647225586</c:v>
                </c:pt>
                <c:pt idx="82">
                  <c:v>0.97613914892360398</c:v>
                </c:pt>
                <c:pt idx="83">
                  <c:v>0.97566665682308129</c:v>
                </c:pt>
                <c:pt idx="84">
                  <c:v>0.97525322623512389</c:v>
                </c:pt>
                <c:pt idx="85">
                  <c:v>0.97433777279036116</c:v>
                </c:pt>
                <c:pt idx="86">
                  <c:v>0.97359950388329453</c:v>
                </c:pt>
                <c:pt idx="87">
                  <c:v>0.97510557245371066</c:v>
                </c:pt>
                <c:pt idx="88">
                  <c:v>0.97448542657177462</c:v>
                </c:pt>
                <c:pt idx="89">
                  <c:v>0.97410152674009975</c:v>
                </c:pt>
                <c:pt idx="90">
                  <c:v>0.97374715766470765</c:v>
                </c:pt>
                <c:pt idx="91">
                  <c:v>0.97336325783303312</c:v>
                </c:pt>
                <c:pt idx="92">
                  <c:v>0.97321560405161989</c:v>
                </c:pt>
                <c:pt idx="93">
                  <c:v>0.97324513480790242</c:v>
                </c:pt>
                <c:pt idx="94">
                  <c:v>0.97289076573251043</c:v>
                </c:pt>
                <c:pt idx="95">
                  <c:v>0.97244780438827039</c:v>
                </c:pt>
                <c:pt idx="96">
                  <c:v>0.97188672001889975</c:v>
                </c:pt>
                <c:pt idx="97">
                  <c:v>0.97200484304403034</c:v>
                </c:pt>
                <c:pt idx="98">
                  <c:v>0.97176859699376894</c:v>
                </c:pt>
                <c:pt idx="99">
                  <c:v>0.97170953548120376</c:v>
                </c:pt>
                <c:pt idx="100">
                  <c:v>0.97126657413696371</c:v>
                </c:pt>
                <c:pt idx="101">
                  <c:v>0.97088267430528907</c:v>
                </c:pt>
                <c:pt idx="102">
                  <c:v>0.97052830522989697</c:v>
                </c:pt>
                <c:pt idx="103">
                  <c:v>0.97070548976759308</c:v>
                </c:pt>
                <c:pt idx="104">
                  <c:v>0.97032158993591822</c:v>
                </c:pt>
                <c:pt idx="105">
                  <c:v>0.97002628237309152</c:v>
                </c:pt>
                <c:pt idx="106">
                  <c:v>0.9693470749785903</c:v>
                </c:pt>
                <c:pt idx="107">
                  <c:v>0.9689927059031983</c:v>
                </c:pt>
                <c:pt idx="108">
                  <c:v>0.96866786758408885</c:v>
                </c:pt>
                <c:pt idx="109">
                  <c:v>0.96854974455895826</c:v>
                </c:pt>
                <c:pt idx="110">
                  <c:v>0.96795912943330475</c:v>
                </c:pt>
                <c:pt idx="111">
                  <c:v>0.96739804506393412</c:v>
                </c:pt>
                <c:pt idx="112">
                  <c:v>0.96713226825739007</c:v>
                </c:pt>
                <c:pt idx="113">
                  <c:v>0.96719132976995548</c:v>
                </c:pt>
                <c:pt idx="114">
                  <c:v>0.96736851430765147</c:v>
                </c:pt>
                <c:pt idx="115">
                  <c:v>0.96725039128252066</c:v>
                </c:pt>
                <c:pt idx="116">
                  <c:v>0.96668930691315003</c:v>
                </c:pt>
                <c:pt idx="117">
                  <c:v>0.96651212237545403</c:v>
                </c:pt>
                <c:pt idx="118">
                  <c:v>0.96639399935032344</c:v>
                </c:pt>
                <c:pt idx="119">
                  <c:v>0.96624634556890998</c:v>
                </c:pt>
                <c:pt idx="120">
                  <c:v>0.96586244573723534</c:v>
                </c:pt>
                <c:pt idx="121">
                  <c:v>0.96538995363671276</c:v>
                </c:pt>
                <c:pt idx="122">
                  <c:v>0.96497652304875525</c:v>
                </c:pt>
                <c:pt idx="123">
                  <c:v>0.96503558456132066</c:v>
                </c:pt>
                <c:pt idx="124">
                  <c:v>0.96497652304875525</c:v>
                </c:pt>
                <c:pt idx="125">
                  <c:v>0.9646516847296458</c:v>
                </c:pt>
                <c:pt idx="126">
                  <c:v>0.96409060036027516</c:v>
                </c:pt>
                <c:pt idx="127">
                  <c:v>0.96379529279744858</c:v>
                </c:pt>
                <c:pt idx="128">
                  <c:v>0.96382482355373111</c:v>
                </c:pt>
                <c:pt idx="129">
                  <c:v>0.96370670052860052</c:v>
                </c:pt>
                <c:pt idx="130">
                  <c:v>0.96355904674718718</c:v>
                </c:pt>
                <c:pt idx="131">
                  <c:v>0.96302749313409908</c:v>
                </c:pt>
                <c:pt idx="132">
                  <c:v>0.96264359330242444</c:v>
                </c:pt>
                <c:pt idx="133">
                  <c:v>0.96246640876472844</c:v>
                </c:pt>
                <c:pt idx="134">
                  <c:v>0.96240734725216326</c:v>
                </c:pt>
                <c:pt idx="135">
                  <c:v>0.96234828573959785</c:v>
                </c:pt>
                <c:pt idx="136">
                  <c:v>0.96196438590792321</c:v>
                </c:pt>
                <c:pt idx="137">
                  <c:v>0.9614918938074003</c:v>
                </c:pt>
                <c:pt idx="138">
                  <c:v>0.96137377078226971</c:v>
                </c:pt>
                <c:pt idx="139">
                  <c:v>0.96122611700085636</c:v>
                </c:pt>
                <c:pt idx="140">
                  <c:v>0.9614918938074003</c:v>
                </c:pt>
                <c:pt idx="141">
                  <c:v>0.96098987095059507</c:v>
                </c:pt>
                <c:pt idx="142">
                  <c:v>0.96054690960635503</c:v>
                </c:pt>
                <c:pt idx="143">
                  <c:v>0.95800726456604557</c:v>
                </c:pt>
                <c:pt idx="144">
                  <c:v>0.96007441750583244</c:v>
                </c:pt>
                <c:pt idx="145">
                  <c:v>0.96034019431237649</c:v>
                </c:pt>
                <c:pt idx="146">
                  <c:v>0.96025160204352844</c:v>
                </c:pt>
                <c:pt idx="147">
                  <c:v>0.95995629448070163</c:v>
                </c:pt>
                <c:pt idx="148">
                  <c:v>0.95877506422939485</c:v>
                </c:pt>
                <c:pt idx="149">
                  <c:v>0.95726899565897872</c:v>
                </c:pt>
                <c:pt idx="150">
                  <c:v>0.95744618019667471</c:v>
                </c:pt>
                <c:pt idx="151">
                  <c:v>0.95694415733986948</c:v>
                </c:pt>
                <c:pt idx="152">
                  <c:v>0.95667838053332555</c:v>
                </c:pt>
                <c:pt idx="153">
                  <c:v>0.95676697280217349</c:v>
                </c:pt>
                <c:pt idx="154">
                  <c:v>0.95656025750819484</c:v>
                </c:pt>
                <c:pt idx="155">
                  <c:v>0.95632401145793344</c:v>
                </c:pt>
                <c:pt idx="156">
                  <c:v>0.95585151935741086</c:v>
                </c:pt>
                <c:pt idx="157">
                  <c:v>0.95549715028201876</c:v>
                </c:pt>
                <c:pt idx="158">
                  <c:v>0.95540855801317082</c:v>
                </c:pt>
                <c:pt idx="159">
                  <c:v>0.95396155095532009</c:v>
                </c:pt>
                <c:pt idx="160">
                  <c:v>0.95328234356081853</c:v>
                </c:pt>
                <c:pt idx="161">
                  <c:v>0.95260313616631731</c:v>
                </c:pt>
                <c:pt idx="162">
                  <c:v>0.95227829784720786</c:v>
                </c:pt>
                <c:pt idx="163">
                  <c:v>0.95266219767888249</c:v>
                </c:pt>
                <c:pt idx="164">
                  <c:v>0.9530165667542746</c:v>
                </c:pt>
                <c:pt idx="165">
                  <c:v>0.95257360541003455</c:v>
                </c:pt>
                <c:pt idx="166">
                  <c:v>0.95207158255322921</c:v>
                </c:pt>
                <c:pt idx="167">
                  <c:v>0.95171721347783722</c:v>
                </c:pt>
                <c:pt idx="168">
                  <c:v>0.95174674423411987</c:v>
                </c:pt>
                <c:pt idx="169">
                  <c:v>0.95171721347783722</c:v>
                </c:pt>
                <c:pt idx="170">
                  <c:v>0.95145143667129317</c:v>
                </c:pt>
                <c:pt idx="171">
                  <c:v>0.95089035230192254</c:v>
                </c:pt>
                <c:pt idx="172">
                  <c:v>0.95044739095768249</c:v>
                </c:pt>
                <c:pt idx="173">
                  <c:v>0.95041786020139973</c:v>
                </c:pt>
                <c:pt idx="174">
                  <c:v>0.95038832944511709</c:v>
                </c:pt>
                <c:pt idx="175">
                  <c:v>0.95024067566370363</c:v>
                </c:pt>
                <c:pt idx="176">
                  <c:v>0.94979771431946358</c:v>
                </c:pt>
                <c:pt idx="177">
                  <c:v>0.94938428373150641</c:v>
                </c:pt>
                <c:pt idx="178">
                  <c:v>0.949148037681245</c:v>
                </c:pt>
                <c:pt idx="179">
                  <c:v>0.94908897616867982</c:v>
                </c:pt>
                <c:pt idx="180">
                  <c:v>0.94882319936213577</c:v>
                </c:pt>
                <c:pt idx="181">
                  <c:v>0.94829164574904767</c:v>
                </c:pt>
                <c:pt idx="182">
                  <c:v>0.94778962289224222</c:v>
                </c:pt>
                <c:pt idx="183">
                  <c:v>0.9476419691108291</c:v>
                </c:pt>
                <c:pt idx="184">
                  <c:v>0.94755337684198104</c:v>
                </c:pt>
                <c:pt idx="185">
                  <c:v>0.94737619230428505</c:v>
                </c:pt>
                <c:pt idx="186">
                  <c:v>0.94690370020376213</c:v>
                </c:pt>
                <c:pt idx="187">
                  <c:v>0.9464016773469569</c:v>
                </c:pt>
                <c:pt idx="188">
                  <c:v>0.9461654312966955</c:v>
                </c:pt>
                <c:pt idx="189">
                  <c:v>0.94598824675899951</c:v>
                </c:pt>
                <c:pt idx="190">
                  <c:v>0.94581106222130351</c:v>
                </c:pt>
                <c:pt idx="191">
                  <c:v>0.94551575465847681</c:v>
                </c:pt>
                <c:pt idx="192">
                  <c:v>0.94510232407051942</c:v>
                </c:pt>
                <c:pt idx="193">
                  <c:v>0.94477748575141007</c:v>
                </c:pt>
                <c:pt idx="194">
                  <c:v>0.94477748575141007</c:v>
                </c:pt>
                <c:pt idx="195">
                  <c:v>0.94460030121371408</c:v>
                </c:pt>
                <c:pt idx="196">
                  <c:v>0.94442311667601808</c:v>
                </c:pt>
                <c:pt idx="197">
                  <c:v>0.94392109381921263</c:v>
                </c:pt>
                <c:pt idx="198">
                  <c:v>0.94338954020612475</c:v>
                </c:pt>
                <c:pt idx="199">
                  <c:v>0.94356672474382075</c:v>
                </c:pt>
                <c:pt idx="200">
                  <c:v>0.94365531701266869</c:v>
                </c:pt>
                <c:pt idx="201">
                  <c:v>0.94338954020612475</c:v>
                </c:pt>
                <c:pt idx="202">
                  <c:v>0.94300564037445</c:v>
                </c:pt>
                <c:pt idx="203">
                  <c:v>0.94259220978649261</c:v>
                </c:pt>
                <c:pt idx="204">
                  <c:v>0.94276939432418871</c:v>
                </c:pt>
                <c:pt idx="205">
                  <c:v>0.94297610961816725</c:v>
                </c:pt>
                <c:pt idx="206">
                  <c:v>0.94297610961816725</c:v>
                </c:pt>
                <c:pt idx="207">
                  <c:v>0.94268080205534066</c:v>
                </c:pt>
                <c:pt idx="208">
                  <c:v>0.94232643297994867</c:v>
                </c:pt>
                <c:pt idx="209">
                  <c:v>0.94206065617340462</c:v>
                </c:pt>
                <c:pt idx="210">
                  <c:v>0.94176534861057792</c:v>
                </c:pt>
                <c:pt idx="211">
                  <c:v>0.94149957180403399</c:v>
                </c:pt>
                <c:pt idx="212">
                  <c:v>0.94105661045979394</c:v>
                </c:pt>
                <c:pt idx="213">
                  <c:v>0.94052505684670584</c:v>
                </c:pt>
                <c:pt idx="214">
                  <c:v>0.94031834155272709</c:v>
                </c:pt>
                <c:pt idx="215">
                  <c:v>0.94206065617340462</c:v>
                </c:pt>
                <c:pt idx="216">
                  <c:v>0.94064317987183654</c:v>
                </c:pt>
                <c:pt idx="217">
                  <c:v>0.93949148037681252</c:v>
                </c:pt>
                <c:pt idx="218">
                  <c:v>0.93943241886424711</c:v>
                </c:pt>
                <c:pt idx="219">
                  <c:v>0.94138144877890328</c:v>
                </c:pt>
                <c:pt idx="220">
                  <c:v>0.94117473348492453</c:v>
                </c:pt>
                <c:pt idx="221">
                  <c:v>0.94028881079644455</c:v>
                </c:pt>
                <c:pt idx="222">
                  <c:v>0.93978678793963921</c:v>
                </c:pt>
                <c:pt idx="223">
                  <c:v>0.93946194962052976</c:v>
                </c:pt>
                <c:pt idx="224">
                  <c:v>0.93919617281398571</c:v>
                </c:pt>
                <c:pt idx="225">
                  <c:v>0.93798541180639639</c:v>
                </c:pt>
                <c:pt idx="226">
                  <c:v>0.93754245046215634</c:v>
                </c:pt>
                <c:pt idx="227">
                  <c:v>0.93712901987419905</c:v>
                </c:pt>
                <c:pt idx="228">
                  <c:v>0.93695183533650306</c:v>
                </c:pt>
                <c:pt idx="229">
                  <c:v>0.9368041815550896</c:v>
                </c:pt>
                <c:pt idx="230">
                  <c:v>0.93644981247969761</c:v>
                </c:pt>
                <c:pt idx="231">
                  <c:v>0.93603638189174021</c:v>
                </c:pt>
                <c:pt idx="232">
                  <c:v>0.93577060508519616</c:v>
                </c:pt>
                <c:pt idx="233">
                  <c:v>0.93559342054750017</c:v>
                </c:pt>
                <c:pt idx="234">
                  <c:v>0.93535717449723887</c:v>
                </c:pt>
                <c:pt idx="235">
                  <c:v>0.93512092844697758</c:v>
                </c:pt>
                <c:pt idx="236">
                  <c:v>0.93467796710273754</c:v>
                </c:pt>
                <c:pt idx="237">
                  <c:v>0.93441219029619349</c:v>
                </c:pt>
                <c:pt idx="238">
                  <c:v>0.93414641348964944</c:v>
                </c:pt>
                <c:pt idx="239">
                  <c:v>0.9340578212208015</c:v>
                </c:pt>
                <c:pt idx="240">
                  <c:v>0.93373298290169215</c:v>
                </c:pt>
                <c:pt idx="241">
                  <c:v>0.93343767533886546</c:v>
                </c:pt>
                <c:pt idx="242">
                  <c:v>0.93314236777603876</c:v>
                </c:pt>
                <c:pt idx="243">
                  <c:v>0.93293565248206001</c:v>
                </c:pt>
                <c:pt idx="244">
                  <c:v>0.93272893718808148</c:v>
                </c:pt>
                <c:pt idx="245">
                  <c:v>0.93249269113782007</c:v>
                </c:pt>
                <c:pt idx="246">
                  <c:v>0.93213832206242808</c:v>
                </c:pt>
                <c:pt idx="247">
                  <c:v>0.93178395298703598</c:v>
                </c:pt>
                <c:pt idx="248">
                  <c:v>0.93151817618049204</c:v>
                </c:pt>
                <c:pt idx="249">
                  <c:v>0.93137052239907869</c:v>
                </c:pt>
                <c:pt idx="250">
                  <c:v>0.9310161533236867</c:v>
                </c:pt>
                <c:pt idx="251">
                  <c:v>0.93057319197944666</c:v>
                </c:pt>
                <c:pt idx="252">
                  <c:v>0.93015976139148926</c:v>
                </c:pt>
                <c:pt idx="253">
                  <c:v>0.92980539231609727</c:v>
                </c:pt>
                <c:pt idx="254">
                  <c:v>0.92980539231609727</c:v>
                </c:pt>
                <c:pt idx="255">
                  <c:v>0.92977586155981451</c:v>
                </c:pt>
                <c:pt idx="256">
                  <c:v>0.92953961550955322</c:v>
                </c:pt>
                <c:pt idx="257">
                  <c:v>0.92924430794672652</c:v>
                </c:pt>
                <c:pt idx="258">
                  <c:v>0.92900806189646512</c:v>
                </c:pt>
                <c:pt idx="259">
                  <c:v>0.92880134660248659</c:v>
                </c:pt>
                <c:pt idx="260">
                  <c:v>0.92862416206479048</c:v>
                </c:pt>
                <c:pt idx="261">
                  <c:v>0.92835838525824654</c:v>
                </c:pt>
                <c:pt idx="262">
                  <c:v>0.9279154239140065</c:v>
                </c:pt>
                <c:pt idx="263">
                  <c:v>0.92762011635117969</c:v>
                </c:pt>
                <c:pt idx="264">
                  <c:v>0.92762011635117969</c:v>
                </c:pt>
                <c:pt idx="265">
                  <c:v>0.92753152408233175</c:v>
                </c:pt>
                <c:pt idx="266">
                  <c:v>0.92732480878835311</c:v>
                </c:pt>
                <c:pt idx="267">
                  <c:v>0.92705903198180906</c:v>
                </c:pt>
                <c:pt idx="268">
                  <c:v>0.92667513215013431</c:v>
                </c:pt>
                <c:pt idx="269">
                  <c:v>0.92605498626819838</c:v>
                </c:pt>
                <c:pt idx="270">
                  <c:v>0.92573014794908892</c:v>
                </c:pt>
                <c:pt idx="271">
                  <c:v>0.92561202492395833</c:v>
                </c:pt>
                <c:pt idx="272">
                  <c:v>0.92522812509228358</c:v>
                </c:pt>
                <c:pt idx="273">
                  <c:v>0.92484422526060894</c:v>
                </c:pt>
                <c:pt idx="274">
                  <c:v>0.92454891769778225</c:v>
                </c:pt>
                <c:pt idx="275">
                  <c:v>0.92443079467265155</c:v>
                </c:pt>
                <c:pt idx="276">
                  <c:v>0.9242240793786729</c:v>
                </c:pt>
                <c:pt idx="277">
                  <c:v>0.92381064879071562</c:v>
                </c:pt>
                <c:pt idx="278">
                  <c:v>0.92342674895904087</c:v>
                </c:pt>
                <c:pt idx="279">
                  <c:v>0.92322003366506222</c:v>
                </c:pt>
                <c:pt idx="280">
                  <c:v>0.92307237988364876</c:v>
                </c:pt>
                <c:pt idx="281">
                  <c:v>0.92292472610223553</c:v>
                </c:pt>
                <c:pt idx="282">
                  <c:v>0.92271801080825677</c:v>
                </c:pt>
                <c:pt idx="283">
                  <c:v>0.92233411097658213</c:v>
                </c:pt>
                <c:pt idx="284">
                  <c:v>0.92209786492632084</c:v>
                </c:pt>
                <c:pt idx="285">
                  <c:v>0.92186161887605944</c:v>
                </c:pt>
                <c:pt idx="286">
                  <c:v>0.9216549035820808</c:v>
                </c:pt>
                <c:pt idx="287">
                  <c:v>0.92127100375040605</c:v>
                </c:pt>
                <c:pt idx="288">
                  <c:v>0.921005226943862</c:v>
                </c:pt>
                <c:pt idx="289">
                  <c:v>0.92070991938103541</c:v>
                </c:pt>
                <c:pt idx="290">
                  <c:v>0.92059179635590471</c:v>
                </c:pt>
                <c:pt idx="291">
                  <c:v>0.92056226559962195</c:v>
                </c:pt>
                <c:pt idx="292">
                  <c:v>0.92035555030564331</c:v>
                </c:pt>
                <c:pt idx="293">
                  <c:v>0.92006024274281661</c:v>
                </c:pt>
                <c:pt idx="294">
                  <c:v>0.91985352744883797</c:v>
                </c:pt>
                <c:pt idx="295">
                  <c:v>0.91955821988601127</c:v>
                </c:pt>
                <c:pt idx="296">
                  <c:v>0.91935150459203263</c:v>
                </c:pt>
                <c:pt idx="297">
                  <c:v>0.91914478929805399</c:v>
                </c:pt>
                <c:pt idx="298">
                  <c:v>0.91873135871009659</c:v>
                </c:pt>
                <c:pt idx="299">
                  <c:v>0.91852464341611784</c:v>
                </c:pt>
                <c:pt idx="300">
                  <c:v>0.91944009686088068</c:v>
                </c:pt>
                <c:pt idx="301">
                  <c:v>0.91938103534831528</c:v>
                </c:pt>
                <c:pt idx="302">
                  <c:v>0.91905619702920593</c:v>
                </c:pt>
                <c:pt idx="303">
                  <c:v>0.91858370492868324</c:v>
                </c:pt>
                <c:pt idx="304">
                  <c:v>0.91822933585329125</c:v>
                </c:pt>
                <c:pt idx="305">
                  <c:v>0.91805215131559526</c:v>
                </c:pt>
                <c:pt idx="306">
                  <c:v>0.91769778224020315</c:v>
                </c:pt>
                <c:pt idx="307">
                  <c:v>0.91734341316481116</c:v>
                </c:pt>
                <c:pt idx="308">
                  <c:v>0.91698904408941917</c:v>
                </c:pt>
                <c:pt idx="309">
                  <c:v>0.91648702123261383</c:v>
                </c:pt>
                <c:pt idx="310">
                  <c:v>0.91610312140093908</c:v>
                </c:pt>
                <c:pt idx="311">
                  <c:v>0.91577828308182974</c:v>
                </c:pt>
                <c:pt idx="312">
                  <c:v>0.91568969081298168</c:v>
                </c:pt>
                <c:pt idx="313">
                  <c:v>0.91530579098130704</c:v>
                </c:pt>
                <c:pt idx="314">
                  <c:v>0.914862829637067</c:v>
                </c:pt>
                <c:pt idx="315">
                  <c:v>0.91447892980539225</c:v>
                </c:pt>
                <c:pt idx="316">
                  <c:v>0.91444939904910971</c:v>
                </c:pt>
                <c:pt idx="317">
                  <c:v>0.91441986829282695</c:v>
                </c:pt>
                <c:pt idx="318">
                  <c:v>0.91406549921743496</c:v>
                </c:pt>
                <c:pt idx="319">
                  <c:v>0.91347488409178157</c:v>
                </c:pt>
                <c:pt idx="320">
                  <c:v>0.91315004577267223</c:v>
                </c:pt>
                <c:pt idx="321">
                  <c:v>0.91312051501638958</c:v>
                </c:pt>
                <c:pt idx="322">
                  <c:v>0.91303192274754152</c:v>
                </c:pt>
                <c:pt idx="323">
                  <c:v>0.91285473820984553</c:v>
                </c:pt>
                <c:pt idx="324">
                  <c:v>0.91250036913445354</c:v>
                </c:pt>
                <c:pt idx="325">
                  <c:v>0.9121164693027789</c:v>
                </c:pt>
                <c:pt idx="326">
                  <c:v>0.91190975400880014</c:v>
                </c:pt>
                <c:pt idx="327">
                  <c:v>0.91179163098366955</c:v>
                </c:pt>
                <c:pt idx="328">
                  <c:v>0.91152585417712551</c:v>
                </c:pt>
                <c:pt idx="329">
                  <c:v>0.91114195434545076</c:v>
                </c:pt>
                <c:pt idx="330">
                  <c:v>0.91072852375749347</c:v>
                </c:pt>
                <c:pt idx="331">
                  <c:v>0.91055133921979747</c:v>
                </c:pt>
                <c:pt idx="332">
                  <c:v>0.91049227770723207</c:v>
                </c:pt>
                <c:pt idx="333">
                  <c:v>0.91031509316953607</c:v>
                </c:pt>
                <c:pt idx="334">
                  <c:v>0.90996072409414408</c:v>
                </c:pt>
                <c:pt idx="335">
                  <c:v>0.90954729350618668</c:v>
                </c:pt>
                <c:pt idx="336">
                  <c:v>0.90931104745592539</c:v>
                </c:pt>
                <c:pt idx="337">
                  <c:v>0.90925198594335999</c:v>
                </c:pt>
                <c:pt idx="338">
                  <c:v>0.90916339367451193</c:v>
                </c:pt>
                <c:pt idx="339">
                  <c:v>0.90886808611168535</c:v>
                </c:pt>
                <c:pt idx="340">
                  <c:v>0.90854324779257589</c:v>
                </c:pt>
                <c:pt idx="341">
                  <c:v>0.90827747098603195</c:v>
                </c:pt>
                <c:pt idx="342">
                  <c:v>0.90818887871718401</c:v>
                </c:pt>
                <c:pt idx="343">
                  <c:v>0.90818887871718401</c:v>
                </c:pt>
                <c:pt idx="344">
                  <c:v>0.90792310191063996</c:v>
                </c:pt>
                <c:pt idx="345">
                  <c:v>0.90748014056639992</c:v>
                </c:pt>
                <c:pt idx="346">
                  <c:v>0.90715530224729057</c:v>
                </c:pt>
                <c:pt idx="347">
                  <c:v>0.90721436375985587</c:v>
                </c:pt>
                <c:pt idx="348">
                  <c:v>0.90709624073472517</c:v>
                </c:pt>
                <c:pt idx="349">
                  <c:v>0.90691905619702917</c:v>
                </c:pt>
                <c:pt idx="350">
                  <c:v>0.90650562560907189</c:v>
                </c:pt>
                <c:pt idx="351">
                  <c:v>0.90612172577739725</c:v>
                </c:pt>
                <c:pt idx="352">
                  <c:v>0.90609219502111449</c:v>
                </c:pt>
                <c:pt idx="353">
                  <c:v>0.90606266426483184</c:v>
                </c:pt>
                <c:pt idx="354">
                  <c:v>0.90591501048341849</c:v>
                </c:pt>
                <c:pt idx="355">
                  <c:v>0.9054425183828958</c:v>
                </c:pt>
                <c:pt idx="356">
                  <c:v>0.90497002628237311</c:v>
                </c:pt>
                <c:pt idx="357">
                  <c:v>0.90467471871954641</c:v>
                </c:pt>
                <c:pt idx="358">
                  <c:v>0.90446800342556777</c:v>
                </c:pt>
                <c:pt idx="359">
                  <c:v>0.90429081888787177</c:v>
                </c:pt>
                <c:pt idx="360">
                  <c:v>0.90393644981247967</c:v>
                </c:pt>
                <c:pt idx="361">
                  <c:v>0.90370020376221838</c:v>
                </c:pt>
                <c:pt idx="362">
                  <c:v>0.90322771166169558</c:v>
                </c:pt>
                <c:pt idx="363">
                  <c:v>0.90302099636771704</c:v>
                </c:pt>
                <c:pt idx="364">
                  <c:v>0.90299146561143429</c:v>
                </c:pt>
                <c:pt idx="365">
                  <c:v>0.90275521956117299</c:v>
                </c:pt>
                <c:pt idx="366">
                  <c:v>0.90254850426719424</c:v>
                </c:pt>
                <c:pt idx="367">
                  <c:v>0.90228272746065019</c:v>
                </c:pt>
                <c:pt idx="368">
                  <c:v>0.90219413519180225</c:v>
                </c:pt>
                <c:pt idx="369">
                  <c:v>0.90219413519180225</c:v>
                </c:pt>
                <c:pt idx="370">
                  <c:v>0.90192835838525831</c:v>
                </c:pt>
                <c:pt idx="371">
                  <c:v>0.90157398930986632</c:v>
                </c:pt>
                <c:pt idx="372">
                  <c:v>0.90119008947819157</c:v>
                </c:pt>
                <c:pt idx="373">
                  <c:v>0.90095384342793017</c:v>
                </c:pt>
                <c:pt idx="374">
                  <c:v>0.90086525115908223</c:v>
                </c:pt>
                <c:pt idx="375">
                  <c:v>0.8994182441012315</c:v>
                </c:pt>
                <c:pt idx="376">
                  <c:v>0.8989457520007087</c:v>
                </c:pt>
                <c:pt idx="377">
                  <c:v>0.89870950595044741</c:v>
                </c:pt>
                <c:pt idx="378">
                  <c:v>0.89865044443788211</c:v>
                </c:pt>
                <c:pt idx="379">
                  <c:v>0.89847325990018612</c:v>
                </c:pt>
                <c:pt idx="380">
                  <c:v>0.89811889082479401</c:v>
                </c:pt>
                <c:pt idx="381">
                  <c:v>0.89776452174940202</c:v>
                </c:pt>
                <c:pt idx="382">
                  <c:v>0.89752827569914073</c:v>
                </c:pt>
                <c:pt idx="383">
                  <c:v>0.89746921418657533</c:v>
                </c:pt>
                <c:pt idx="384">
                  <c:v>0.89741015267400992</c:v>
                </c:pt>
                <c:pt idx="385">
                  <c:v>0.89723296813631392</c:v>
                </c:pt>
                <c:pt idx="386">
                  <c:v>0.89693766057348734</c:v>
                </c:pt>
                <c:pt idx="387">
                  <c:v>0.89667188376694329</c:v>
                </c:pt>
                <c:pt idx="388">
                  <c:v>0.89664235301066064</c:v>
                </c:pt>
                <c:pt idx="389">
                  <c:v>0.89652422998552994</c:v>
                </c:pt>
                <c:pt idx="390">
                  <c:v>0.8960812686412899</c:v>
                </c:pt>
                <c:pt idx="391">
                  <c:v>0.8957268995658979</c:v>
                </c:pt>
                <c:pt idx="392">
                  <c:v>0.89534299973422315</c:v>
                </c:pt>
                <c:pt idx="393">
                  <c:v>0.89516581519652716</c:v>
                </c:pt>
                <c:pt idx="394">
                  <c:v>0.89490003838998311</c:v>
                </c:pt>
                <c:pt idx="395">
                  <c:v>0.89454566931459123</c:v>
                </c:pt>
                <c:pt idx="396">
                  <c:v>0.89433895402061248</c:v>
                </c:pt>
                <c:pt idx="397">
                  <c:v>0.89416176948291648</c:v>
                </c:pt>
                <c:pt idx="398">
                  <c:v>0.89365974662611114</c:v>
                </c:pt>
                <c:pt idx="399">
                  <c:v>0.89336443906328444</c:v>
                </c:pt>
                <c:pt idx="400">
                  <c:v>0.89312819301302304</c:v>
                </c:pt>
                <c:pt idx="401">
                  <c:v>0.89271476242506576</c:v>
                </c:pt>
                <c:pt idx="402">
                  <c:v>0.89259663939993505</c:v>
                </c:pt>
                <c:pt idx="403">
                  <c:v>0.89230133183710836</c:v>
                </c:pt>
                <c:pt idx="404">
                  <c:v>0.89224227032454295</c:v>
                </c:pt>
                <c:pt idx="405">
                  <c:v>0.89209461654312971</c:v>
                </c:pt>
                <c:pt idx="406">
                  <c:v>0.89168118595517232</c:v>
                </c:pt>
                <c:pt idx="407">
                  <c:v>0.89120869385464963</c:v>
                </c:pt>
                <c:pt idx="408">
                  <c:v>0.89097244780438822</c:v>
                </c:pt>
                <c:pt idx="409">
                  <c:v>0.89106104007323628</c:v>
                </c:pt>
                <c:pt idx="410">
                  <c:v>0.89103150931695352</c:v>
                </c:pt>
                <c:pt idx="411">
                  <c:v>0.89085432477925763</c:v>
                </c:pt>
                <c:pt idx="412">
                  <c:v>0.89032277116616965</c:v>
                </c:pt>
                <c:pt idx="413">
                  <c:v>0.8898798098219296</c:v>
                </c:pt>
                <c:pt idx="414">
                  <c:v>0.88982074830936431</c:v>
                </c:pt>
                <c:pt idx="415">
                  <c:v>0.88982074830936431</c:v>
                </c:pt>
                <c:pt idx="416">
                  <c:v>0.8896435637716682</c:v>
                </c:pt>
                <c:pt idx="417">
                  <c:v>0.88902341788973216</c:v>
                </c:pt>
                <c:pt idx="418">
                  <c:v>0.88840327200779612</c:v>
                </c:pt>
                <c:pt idx="419">
                  <c:v>0.88858045654549211</c:v>
                </c:pt>
                <c:pt idx="420">
                  <c:v>0.88872811032690546</c:v>
                </c:pt>
                <c:pt idx="421">
                  <c:v>0.88855092578920947</c:v>
                </c:pt>
                <c:pt idx="422">
                  <c:v>0.88837374125151347</c:v>
                </c:pt>
                <c:pt idx="423">
                  <c:v>0.88813749520125207</c:v>
                </c:pt>
                <c:pt idx="424">
                  <c:v>0.88781265688214273</c:v>
                </c:pt>
                <c:pt idx="425">
                  <c:v>0.88775359536957743</c:v>
                </c:pt>
                <c:pt idx="426">
                  <c:v>0.89176977822402037</c:v>
                </c:pt>
                <c:pt idx="427">
                  <c:v>0.89079526326669223</c:v>
                </c:pt>
                <c:pt idx="428">
                  <c:v>0.89017511738475619</c:v>
                </c:pt>
                <c:pt idx="429">
                  <c:v>0.88961403301538555</c:v>
                </c:pt>
                <c:pt idx="430">
                  <c:v>0.88908247940229745</c:v>
                </c:pt>
                <c:pt idx="431">
                  <c:v>0.88881670259575341</c:v>
                </c:pt>
                <c:pt idx="432">
                  <c:v>0.88872811032690546</c:v>
                </c:pt>
                <c:pt idx="433">
                  <c:v>0.88843280276407888</c:v>
                </c:pt>
                <c:pt idx="434">
                  <c:v>0.88790124915099078</c:v>
                </c:pt>
                <c:pt idx="435">
                  <c:v>0.88748781856303338</c:v>
                </c:pt>
                <c:pt idx="436">
                  <c:v>0.8870743879750761</c:v>
                </c:pt>
                <c:pt idx="437">
                  <c:v>0.88695626494994539</c:v>
                </c:pt>
                <c:pt idx="438">
                  <c:v>0.8867790804122494</c:v>
                </c:pt>
                <c:pt idx="439">
                  <c:v>0.88639518058057465</c:v>
                </c:pt>
                <c:pt idx="440">
                  <c:v>0.88598174999261725</c:v>
                </c:pt>
                <c:pt idx="441">
                  <c:v>0.88562738091722526</c:v>
                </c:pt>
                <c:pt idx="442">
                  <c:v>0.88553878864837721</c:v>
                </c:pt>
                <c:pt idx="443">
                  <c:v>0.88539113486696397</c:v>
                </c:pt>
                <c:pt idx="444">
                  <c:v>0.88497770427900657</c:v>
                </c:pt>
                <c:pt idx="445">
                  <c:v>0.88459380444733182</c:v>
                </c:pt>
                <c:pt idx="446">
                  <c:v>0.88418037385937454</c:v>
                </c:pt>
                <c:pt idx="447">
                  <c:v>0.88403272007796119</c:v>
                </c:pt>
                <c:pt idx="448">
                  <c:v>0.88403272007796119</c:v>
                </c:pt>
                <c:pt idx="449">
                  <c:v>0.8836192894900039</c:v>
                </c:pt>
                <c:pt idx="450">
                  <c:v>0.88196556713817442</c:v>
                </c:pt>
                <c:pt idx="451">
                  <c:v>0.88178838260047843</c:v>
                </c:pt>
                <c:pt idx="452">
                  <c:v>0.88042996781147564</c:v>
                </c:pt>
                <c:pt idx="453">
                  <c:v>0.87986888344210501</c:v>
                </c:pt>
                <c:pt idx="454">
                  <c:v>0.87904202226619021</c:v>
                </c:pt>
                <c:pt idx="455">
                  <c:v>0.87853999940938488</c:v>
                </c:pt>
                <c:pt idx="456">
                  <c:v>0.87836281487168888</c:v>
                </c:pt>
                <c:pt idx="457">
                  <c:v>0.87836281487168888</c:v>
                </c:pt>
                <c:pt idx="458">
                  <c:v>0.87818563033399288</c:v>
                </c:pt>
                <c:pt idx="459">
                  <c:v>0.87797891504001424</c:v>
                </c:pt>
                <c:pt idx="460">
                  <c:v>0.87765407672090479</c:v>
                </c:pt>
                <c:pt idx="461">
                  <c:v>0.87756548445205684</c:v>
                </c:pt>
                <c:pt idx="462">
                  <c:v>0.87765407672090479</c:v>
                </c:pt>
                <c:pt idx="463">
                  <c:v>0.87815609957771013</c:v>
                </c:pt>
                <c:pt idx="464">
                  <c:v>0.87824469184655818</c:v>
                </c:pt>
                <c:pt idx="465">
                  <c:v>0.87803797655257954</c:v>
                </c:pt>
                <c:pt idx="466">
                  <c:v>0.87780173050231824</c:v>
                </c:pt>
                <c:pt idx="467">
                  <c:v>0.87780173050231824</c:v>
                </c:pt>
                <c:pt idx="468">
                  <c:v>0.87777219974603549</c:v>
                </c:pt>
                <c:pt idx="469">
                  <c:v>0.8775359536957742</c:v>
                </c:pt>
                <c:pt idx="470">
                  <c:v>0.87721111537666474</c:v>
                </c:pt>
                <c:pt idx="471">
                  <c:v>0.87706346159525139</c:v>
                </c:pt>
                <c:pt idx="472">
                  <c:v>0.87706346159525139</c:v>
                </c:pt>
                <c:pt idx="473">
                  <c:v>0.87706346159525139</c:v>
                </c:pt>
                <c:pt idx="474">
                  <c:v>0.8768272155449901</c:v>
                </c:pt>
                <c:pt idx="475">
                  <c:v>0.87650237722588076</c:v>
                </c:pt>
                <c:pt idx="476">
                  <c:v>0.87611847739420601</c:v>
                </c:pt>
                <c:pt idx="477">
                  <c:v>0.87600035436907542</c:v>
                </c:pt>
                <c:pt idx="478">
                  <c:v>0.87602988512535807</c:v>
                </c:pt>
                <c:pt idx="479">
                  <c:v>0.87591176210022748</c:v>
                </c:pt>
                <c:pt idx="480">
                  <c:v>0.87549833151226997</c:v>
                </c:pt>
                <c:pt idx="481">
                  <c:v>0.87517349319316062</c:v>
                </c:pt>
                <c:pt idx="482">
                  <c:v>0.87496677789918209</c:v>
                </c:pt>
                <c:pt idx="483">
                  <c:v>0.87493724714289933</c:v>
                </c:pt>
                <c:pt idx="484">
                  <c:v>0.87357883235389666</c:v>
                </c:pt>
                <c:pt idx="485">
                  <c:v>0.87192511000206718</c:v>
                </c:pt>
                <c:pt idx="486">
                  <c:v>0.87133449487641379</c:v>
                </c:pt>
                <c:pt idx="487">
                  <c:v>0.87139355638897908</c:v>
                </c:pt>
                <c:pt idx="488">
                  <c:v>0.87216135605232847</c:v>
                </c:pt>
                <c:pt idx="489">
                  <c:v>0.87230900983374193</c:v>
                </c:pt>
                <c:pt idx="490">
                  <c:v>0.87210229453976318</c:v>
                </c:pt>
                <c:pt idx="491">
                  <c:v>0.87201370227091513</c:v>
                </c:pt>
                <c:pt idx="492">
                  <c:v>0.87177745622065383</c:v>
                </c:pt>
                <c:pt idx="493">
                  <c:v>0.87142308714526184</c:v>
                </c:pt>
                <c:pt idx="494">
                  <c:v>0.87112777958243504</c:v>
                </c:pt>
                <c:pt idx="495">
                  <c:v>0.87106871806986974</c:v>
                </c:pt>
                <c:pt idx="496">
                  <c:v>0.87103918731358709</c:v>
                </c:pt>
                <c:pt idx="497">
                  <c:v>0.8708620027758911</c:v>
                </c:pt>
                <c:pt idx="498">
                  <c:v>0.87050763370049911</c:v>
                </c:pt>
                <c:pt idx="499">
                  <c:v>0.87030091840652035</c:v>
                </c:pt>
                <c:pt idx="500">
                  <c:v>0.87009420311254171</c:v>
                </c:pt>
                <c:pt idx="501">
                  <c:v>0.87003514159997641</c:v>
                </c:pt>
                <c:pt idx="502">
                  <c:v>0.86968077252458431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24C-4F62-8A70-77D25E92F2C6}"/>
            </c:ext>
          </c:extLst>
        </c:ser>
        <c:ser>
          <c:idx val="5"/>
          <c:order val="5"/>
          <c:tx>
            <c:v>450-3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大小中检!$AX$3:$AX$494</c:f>
              <c:numCache>
                <c:formatCode>General</c:formatCode>
                <c:ptCount val="49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</c:numCache>
            </c:numRef>
          </c:xVal>
          <c:yVal>
            <c:numRef>
              <c:f>大小中检!$BB$3:$BB$494</c:f>
              <c:numCache>
                <c:formatCode>0.00%</c:formatCode>
                <c:ptCount val="492"/>
                <c:pt idx="0">
                  <c:v>1</c:v>
                </c:pt>
                <c:pt idx="1">
                  <c:v>1.0004952802703648</c:v>
                </c:pt>
                <c:pt idx="2">
                  <c:v>1.0000874024006525</c:v>
                </c:pt>
                <c:pt idx="3">
                  <c:v>1.0001456706677545</c:v>
                </c:pt>
                <c:pt idx="4">
                  <c:v>0.99997086586644923</c:v>
                </c:pt>
                <c:pt idx="5">
                  <c:v>1.0000582682671018</c:v>
                </c:pt>
                <c:pt idx="6">
                  <c:v>0.9998834634657966</c:v>
                </c:pt>
                <c:pt idx="7">
                  <c:v>0.99944645146253352</c:v>
                </c:pt>
                <c:pt idx="8">
                  <c:v>0.99918424426057573</c:v>
                </c:pt>
                <c:pt idx="9">
                  <c:v>0.99868896399021112</c:v>
                </c:pt>
                <c:pt idx="10">
                  <c:v>0.99877636639086353</c:v>
                </c:pt>
                <c:pt idx="11">
                  <c:v>0.99842675678825321</c:v>
                </c:pt>
                <c:pt idx="12">
                  <c:v>0.99813541545274442</c:v>
                </c:pt>
                <c:pt idx="13">
                  <c:v>0.99801887891854102</c:v>
                </c:pt>
                <c:pt idx="14">
                  <c:v>0.99766926931593058</c:v>
                </c:pt>
                <c:pt idx="15">
                  <c:v>0.99775667171658322</c:v>
                </c:pt>
                <c:pt idx="16">
                  <c:v>0.99746533038107454</c:v>
                </c:pt>
                <c:pt idx="17">
                  <c:v>0.99746533038107454</c:v>
                </c:pt>
                <c:pt idx="18">
                  <c:v>0.99755273278172718</c:v>
                </c:pt>
                <c:pt idx="19">
                  <c:v>0.99720312317911675</c:v>
                </c:pt>
                <c:pt idx="20">
                  <c:v>0.99627083090548885</c:v>
                </c:pt>
                <c:pt idx="21">
                  <c:v>0.99539680689896282</c:v>
                </c:pt>
                <c:pt idx="22">
                  <c:v>0.9950471972963526</c:v>
                </c:pt>
                <c:pt idx="23">
                  <c:v>0.9950471972963526</c:v>
                </c:pt>
                <c:pt idx="24">
                  <c:v>0.99493066076214898</c:v>
                </c:pt>
                <c:pt idx="25">
                  <c:v>0.9945227828924369</c:v>
                </c:pt>
                <c:pt idx="26">
                  <c:v>0.99402750262207207</c:v>
                </c:pt>
                <c:pt idx="27">
                  <c:v>0.99408577088917383</c:v>
                </c:pt>
                <c:pt idx="28">
                  <c:v>0.99385269782076691</c:v>
                </c:pt>
                <c:pt idx="29">
                  <c:v>0.99388183195431767</c:v>
                </c:pt>
                <c:pt idx="30">
                  <c:v>0.99335741755040197</c:v>
                </c:pt>
                <c:pt idx="31">
                  <c:v>0.99294953968069</c:v>
                </c:pt>
                <c:pt idx="32">
                  <c:v>0.99289127141358813</c:v>
                </c:pt>
                <c:pt idx="33">
                  <c:v>0.99289127141358813</c:v>
                </c:pt>
                <c:pt idx="34">
                  <c:v>0.9926873324787322</c:v>
                </c:pt>
                <c:pt idx="35">
                  <c:v>0.99219205220836726</c:v>
                </c:pt>
                <c:pt idx="36">
                  <c:v>0.99166763780445166</c:v>
                </c:pt>
                <c:pt idx="37">
                  <c:v>0.99128889406829046</c:v>
                </c:pt>
                <c:pt idx="38">
                  <c:v>0.99120149166763782</c:v>
                </c:pt>
                <c:pt idx="39">
                  <c:v>0.99096841859923102</c:v>
                </c:pt>
                <c:pt idx="40">
                  <c:v>0.99015266285980652</c:v>
                </c:pt>
                <c:pt idx="41">
                  <c:v>0.98942430952103488</c:v>
                </c:pt>
                <c:pt idx="42">
                  <c:v>0.98922037058617884</c:v>
                </c:pt>
                <c:pt idx="43">
                  <c:v>0.98924950471972961</c:v>
                </c:pt>
                <c:pt idx="44">
                  <c:v>0.98930777298683148</c:v>
                </c:pt>
                <c:pt idx="45">
                  <c:v>0.98878335858291577</c:v>
                </c:pt>
                <c:pt idx="46">
                  <c:v>0.98837548071320358</c:v>
                </c:pt>
                <c:pt idx="47">
                  <c:v>0.98831721244610193</c:v>
                </c:pt>
                <c:pt idx="48">
                  <c:v>0.98721011537116887</c:v>
                </c:pt>
                <c:pt idx="49">
                  <c:v>0.98607388416268493</c:v>
                </c:pt>
                <c:pt idx="50">
                  <c:v>0.98487938468709946</c:v>
                </c:pt>
                <c:pt idx="51">
                  <c:v>0.98418016548187859</c:v>
                </c:pt>
                <c:pt idx="52">
                  <c:v>0.98426756788253122</c:v>
                </c:pt>
                <c:pt idx="53">
                  <c:v>0.98543293322456593</c:v>
                </c:pt>
                <c:pt idx="54">
                  <c:v>0.98659829856660064</c:v>
                </c:pt>
                <c:pt idx="55">
                  <c:v>0.98619042069688856</c:v>
                </c:pt>
                <c:pt idx="56">
                  <c:v>0.98557860389232033</c:v>
                </c:pt>
                <c:pt idx="57">
                  <c:v>0.98575340869362549</c:v>
                </c:pt>
                <c:pt idx="58">
                  <c:v>0.98575340869362549</c:v>
                </c:pt>
                <c:pt idx="59">
                  <c:v>0.98549120149166769</c:v>
                </c:pt>
                <c:pt idx="60">
                  <c:v>0.98485025055354869</c:v>
                </c:pt>
                <c:pt idx="61">
                  <c:v>0.98418016548187859</c:v>
                </c:pt>
                <c:pt idx="62">
                  <c:v>0.98394709241347178</c:v>
                </c:pt>
                <c:pt idx="63">
                  <c:v>0.98385969001281914</c:v>
                </c:pt>
                <c:pt idx="64">
                  <c:v>0.98348094627665772</c:v>
                </c:pt>
                <c:pt idx="65">
                  <c:v>0.98298566600629311</c:v>
                </c:pt>
                <c:pt idx="66">
                  <c:v>0.98260692227013169</c:v>
                </c:pt>
                <c:pt idx="67">
                  <c:v>0.98251951986947905</c:v>
                </c:pt>
                <c:pt idx="68">
                  <c:v>0.98249038573592828</c:v>
                </c:pt>
                <c:pt idx="69">
                  <c:v>0.98266519053723345</c:v>
                </c:pt>
                <c:pt idx="70">
                  <c:v>0.98190770306491104</c:v>
                </c:pt>
                <c:pt idx="71">
                  <c:v>0.9811502155925883</c:v>
                </c:pt>
                <c:pt idx="72">
                  <c:v>0.98094627665773226</c:v>
                </c:pt>
                <c:pt idx="73">
                  <c:v>0.98068406945577447</c:v>
                </c:pt>
                <c:pt idx="74">
                  <c:v>0.98065493532222348</c:v>
                </c:pt>
                <c:pt idx="75">
                  <c:v>0.9798391795827992</c:v>
                </c:pt>
                <c:pt idx="76">
                  <c:v>0.97981004544924843</c:v>
                </c:pt>
                <c:pt idx="77">
                  <c:v>0.97940216757953613</c:v>
                </c:pt>
                <c:pt idx="78">
                  <c:v>0.97899428970982416</c:v>
                </c:pt>
                <c:pt idx="79">
                  <c:v>0.97797459503554363</c:v>
                </c:pt>
                <c:pt idx="80">
                  <c:v>0.97724624169677199</c:v>
                </c:pt>
                <c:pt idx="81">
                  <c:v>0.97809113156974725</c:v>
                </c:pt>
                <c:pt idx="82">
                  <c:v>0.97762498543293319</c:v>
                </c:pt>
                <c:pt idx="83">
                  <c:v>0.97707143689546672</c:v>
                </c:pt>
                <c:pt idx="84">
                  <c:v>0.97625568115604244</c:v>
                </c:pt>
                <c:pt idx="85">
                  <c:v>0.97581866915277948</c:v>
                </c:pt>
                <c:pt idx="86">
                  <c:v>0.97718797342967012</c:v>
                </c:pt>
                <c:pt idx="87">
                  <c:v>0.97660529075865288</c:v>
                </c:pt>
                <c:pt idx="88">
                  <c:v>0.97622654702249168</c:v>
                </c:pt>
                <c:pt idx="89">
                  <c:v>0.97581866915277948</c:v>
                </c:pt>
                <c:pt idx="90">
                  <c:v>0.97546905955016905</c:v>
                </c:pt>
                <c:pt idx="91">
                  <c:v>0.97541079128306718</c:v>
                </c:pt>
                <c:pt idx="92">
                  <c:v>0.97541079128306718</c:v>
                </c:pt>
                <c:pt idx="93">
                  <c:v>0.97523598648176202</c:v>
                </c:pt>
                <c:pt idx="94">
                  <c:v>0.97479897447849917</c:v>
                </c:pt>
                <c:pt idx="95">
                  <c:v>0.9743619624752361</c:v>
                </c:pt>
                <c:pt idx="96">
                  <c:v>0.97439109660878687</c:v>
                </c:pt>
                <c:pt idx="97">
                  <c:v>0.97427456007458346</c:v>
                </c:pt>
                <c:pt idx="98">
                  <c:v>0.97418715767393094</c:v>
                </c:pt>
                <c:pt idx="99">
                  <c:v>0.97372101153711688</c:v>
                </c:pt>
                <c:pt idx="100">
                  <c:v>0.97322573126675227</c:v>
                </c:pt>
                <c:pt idx="101">
                  <c:v>0.97308006059899776</c:v>
                </c:pt>
                <c:pt idx="102">
                  <c:v>0.97313832886609963</c:v>
                </c:pt>
                <c:pt idx="103">
                  <c:v>0.97284698753059096</c:v>
                </c:pt>
                <c:pt idx="104">
                  <c:v>0.97226430485957349</c:v>
                </c:pt>
                <c:pt idx="105">
                  <c:v>0.97171075632210713</c:v>
                </c:pt>
                <c:pt idx="106">
                  <c:v>0.97144854912014922</c:v>
                </c:pt>
                <c:pt idx="107">
                  <c:v>0.97130287845239482</c:v>
                </c:pt>
                <c:pt idx="108">
                  <c:v>0.97112807365108966</c:v>
                </c:pt>
                <c:pt idx="109">
                  <c:v>0.97042885444586879</c:v>
                </c:pt>
                <c:pt idx="110">
                  <c:v>0.96996270830905496</c:v>
                </c:pt>
                <c:pt idx="111">
                  <c:v>0.96987530590840232</c:v>
                </c:pt>
                <c:pt idx="112">
                  <c:v>0.97007924484325836</c:v>
                </c:pt>
                <c:pt idx="113">
                  <c:v>0.97016664724391088</c:v>
                </c:pt>
                <c:pt idx="114">
                  <c:v>0.96981703764130056</c:v>
                </c:pt>
                <c:pt idx="115">
                  <c:v>0.96938002563803771</c:v>
                </c:pt>
                <c:pt idx="116">
                  <c:v>0.96938002563803771</c:v>
                </c:pt>
                <c:pt idx="117">
                  <c:v>0.96938002563803771</c:v>
                </c:pt>
                <c:pt idx="118">
                  <c:v>0.96926348910383409</c:v>
                </c:pt>
                <c:pt idx="119">
                  <c:v>0.96876820883346937</c:v>
                </c:pt>
                <c:pt idx="120">
                  <c:v>0.96830206269665542</c:v>
                </c:pt>
                <c:pt idx="121">
                  <c:v>0.96821466029600278</c:v>
                </c:pt>
                <c:pt idx="122">
                  <c:v>0.96818552616245201</c:v>
                </c:pt>
                <c:pt idx="123">
                  <c:v>0.9680689896282485</c:v>
                </c:pt>
                <c:pt idx="124">
                  <c:v>0.96760284349143466</c:v>
                </c:pt>
                <c:pt idx="125">
                  <c:v>0.96713669735462071</c:v>
                </c:pt>
                <c:pt idx="126">
                  <c:v>0.96696189255331544</c:v>
                </c:pt>
                <c:pt idx="127">
                  <c:v>0.96678708775201028</c:v>
                </c:pt>
                <c:pt idx="128">
                  <c:v>0.966612282950705</c:v>
                </c:pt>
                <c:pt idx="129">
                  <c:v>0.96620440508099303</c:v>
                </c:pt>
                <c:pt idx="130">
                  <c:v>0.9657382589441792</c:v>
                </c:pt>
                <c:pt idx="131">
                  <c:v>0.96559258827642469</c:v>
                </c:pt>
                <c:pt idx="132">
                  <c:v>0.96567999067707733</c:v>
                </c:pt>
                <c:pt idx="133">
                  <c:v>0.96565085654352656</c:v>
                </c:pt>
                <c:pt idx="134">
                  <c:v>0.96533038107446689</c:v>
                </c:pt>
                <c:pt idx="135">
                  <c:v>0.96489336907120382</c:v>
                </c:pt>
                <c:pt idx="136">
                  <c:v>0.96468943013634789</c:v>
                </c:pt>
                <c:pt idx="137">
                  <c:v>0.96460202773569526</c:v>
                </c:pt>
                <c:pt idx="138">
                  <c:v>0.96439808880083899</c:v>
                </c:pt>
                <c:pt idx="139">
                  <c:v>0.96401934506467779</c:v>
                </c:pt>
                <c:pt idx="140">
                  <c:v>0.96358233306141472</c:v>
                </c:pt>
                <c:pt idx="141">
                  <c:v>0.96078545624053147</c:v>
                </c:pt>
                <c:pt idx="142">
                  <c:v>0.96349493066076219</c:v>
                </c:pt>
                <c:pt idx="143">
                  <c:v>0.96390280853047439</c:v>
                </c:pt>
                <c:pt idx="144">
                  <c:v>0.96396107679757614</c:v>
                </c:pt>
                <c:pt idx="145">
                  <c:v>0.96375713786271999</c:v>
                </c:pt>
                <c:pt idx="146">
                  <c:v>0.96262090665423605</c:v>
                </c:pt>
                <c:pt idx="147">
                  <c:v>0.96107679757604014</c:v>
                </c:pt>
                <c:pt idx="148">
                  <c:v>0.96063978557277707</c:v>
                </c:pt>
                <c:pt idx="149">
                  <c:v>0.960202773569514</c:v>
                </c:pt>
                <c:pt idx="150">
                  <c:v>0.96046498077147191</c:v>
                </c:pt>
                <c:pt idx="151">
                  <c:v>0.96069805383987894</c:v>
                </c:pt>
                <c:pt idx="152">
                  <c:v>0.96066891970632784</c:v>
                </c:pt>
                <c:pt idx="153">
                  <c:v>0.96034844423726851</c:v>
                </c:pt>
                <c:pt idx="154">
                  <c:v>0.95991143223400544</c:v>
                </c:pt>
                <c:pt idx="155">
                  <c:v>0.95964922503204764</c:v>
                </c:pt>
                <c:pt idx="156">
                  <c:v>0.9594452860971916</c:v>
                </c:pt>
                <c:pt idx="157">
                  <c:v>0.95801771355319909</c:v>
                </c:pt>
                <c:pt idx="158">
                  <c:v>0.95728936021442723</c:v>
                </c:pt>
                <c:pt idx="159">
                  <c:v>0.95664840927630812</c:v>
                </c:pt>
                <c:pt idx="160">
                  <c:v>0.95653187274210472</c:v>
                </c:pt>
                <c:pt idx="161">
                  <c:v>0.95711455541312196</c:v>
                </c:pt>
                <c:pt idx="162">
                  <c:v>0.95723109194732559</c:v>
                </c:pt>
                <c:pt idx="163">
                  <c:v>0.95679407994406251</c:v>
                </c:pt>
                <c:pt idx="164">
                  <c:v>0.95638620207435032</c:v>
                </c:pt>
                <c:pt idx="165">
                  <c:v>0.95609486073884165</c:v>
                </c:pt>
                <c:pt idx="166">
                  <c:v>0.95615312900594351</c:v>
                </c:pt>
                <c:pt idx="167">
                  <c:v>0.95606572660529088</c:v>
                </c:pt>
                <c:pt idx="168">
                  <c:v>0.95571611700268044</c:v>
                </c:pt>
                <c:pt idx="169">
                  <c:v>0.95516256846521375</c:v>
                </c:pt>
                <c:pt idx="170">
                  <c:v>0.95495862953035782</c:v>
                </c:pt>
                <c:pt idx="171">
                  <c:v>0.95498776366390881</c:v>
                </c:pt>
                <c:pt idx="172">
                  <c:v>0.95501689779745957</c:v>
                </c:pt>
                <c:pt idx="173">
                  <c:v>0.95472555646195101</c:v>
                </c:pt>
                <c:pt idx="174">
                  <c:v>0.9542011420580353</c:v>
                </c:pt>
                <c:pt idx="175">
                  <c:v>0.95388066658897563</c:v>
                </c:pt>
                <c:pt idx="176">
                  <c:v>0.95376413005477223</c:v>
                </c:pt>
                <c:pt idx="177">
                  <c:v>0.95370586178767047</c:v>
                </c:pt>
                <c:pt idx="178">
                  <c:v>0.9534145204521618</c:v>
                </c:pt>
                <c:pt idx="179">
                  <c:v>0.95280270364759356</c:v>
                </c:pt>
                <c:pt idx="180">
                  <c:v>0.95245309404498313</c:v>
                </c:pt>
                <c:pt idx="181">
                  <c:v>0.95242395991143236</c:v>
                </c:pt>
                <c:pt idx="182">
                  <c:v>0.9522491551101272</c:v>
                </c:pt>
                <c:pt idx="183">
                  <c:v>0.95192867964106753</c:v>
                </c:pt>
                <c:pt idx="184">
                  <c:v>0.95134599697005029</c:v>
                </c:pt>
                <c:pt idx="185">
                  <c:v>0.95099638736743985</c:v>
                </c:pt>
                <c:pt idx="186">
                  <c:v>0.95093811910033799</c:v>
                </c:pt>
                <c:pt idx="187">
                  <c:v>0.95085071669968546</c:v>
                </c:pt>
                <c:pt idx="188">
                  <c:v>0.95058850949772755</c:v>
                </c:pt>
                <c:pt idx="189">
                  <c:v>0.95012236336091371</c:v>
                </c:pt>
                <c:pt idx="190">
                  <c:v>0.94968535135765075</c:v>
                </c:pt>
                <c:pt idx="191">
                  <c:v>0.94965621722409965</c:v>
                </c:pt>
                <c:pt idx="192">
                  <c:v>0.94953968068989625</c:v>
                </c:pt>
                <c:pt idx="193">
                  <c:v>0.94945227828924372</c:v>
                </c:pt>
                <c:pt idx="194">
                  <c:v>0.94904440041953164</c:v>
                </c:pt>
                <c:pt idx="195">
                  <c:v>0.94854912014916681</c:v>
                </c:pt>
                <c:pt idx="196">
                  <c:v>0.94872392495047198</c:v>
                </c:pt>
                <c:pt idx="197">
                  <c:v>0.94881132735112461</c:v>
                </c:pt>
                <c:pt idx="198">
                  <c:v>0.94866565668337022</c:v>
                </c:pt>
                <c:pt idx="199">
                  <c:v>0.94822864468010715</c:v>
                </c:pt>
                <c:pt idx="200">
                  <c:v>0.94782076681039518</c:v>
                </c:pt>
                <c:pt idx="201">
                  <c:v>0.94805383987880198</c:v>
                </c:pt>
                <c:pt idx="202">
                  <c:v>0.94837431534786165</c:v>
                </c:pt>
                <c:pt idx="203">
                  <c:v>0.94849085188206506</c:v>
                </c:pt>
                <c:pt idx="204">
                  <c:v>0.94825777881365814</c:v>
                </c:pt>
                <c:pt idx="205">
                  <c:v>0.9479081692110477</c:v>
                </c:pt>
                <c:pt idx="206">
                  <c:v>0.9476459620090899</c:v>
                </c:pt>
                <c:pt idx="207">
                  <c:v>0.94744202307423386</c:v>
                </c:pt>
                <c:pt idx="208">
                  <c:v>0.94715068173872508</c:v>
                </c:pt>
                <c:pt idx="209">
                  <c:v>0.94668453560191124</c:v>
                </c:pt>
                <c:pt idx="210">
                  <c:v>0.94618925533154641</c:v>
                </c:pt>
                <c:pt idx="211">
                  <c:v>0.9459561822631396</c:v>
                </c:pt>
                <c:pt idx="212">
                  <c:v>0.9472672182729287</c:v>
                </c:pt>
                <c:pt idx="213">
                  <c:v>0.9459561822631396</c:v>
                </c:pt>
                <c:pt idx="214">
                  <c:v>0.9447616827875539</c:v>
                </c:pt>
                <c:pt idx="215">
                  <c:v>0.94493648758885906</c:v>
                </c:pt>
                <c:pt idx="216">
                  <c:v>0.94683020626966563</c:v>
                </c:pt>
                <c:pt idx="217">
                  <c:v>0.94677193800256387</c:v>
                </c:pt>
                <c:pt idx="218">
                  <c:v>0.94598531639669037</c:v>
                </c:pt>
                <c:pt idx="219">
                  <c:v>0.9455483043934273</c:v>
                </c:pt>
                <c:pt idx="220">
                  <c:v>0.94514042652371533</c:v>
                </c:pt>
                <c:pt idx="221">
                  <c:v>0.94493648758885906</c:v>
                </c:pt>
                <c:pt idx="222">
                  <c:v>0.94467428038690127</c:v>
                </c:pt>
                <c:pt idx="223">
                  <c:v>0.94435380491784182</c:v>
                </c:pt>
                <c:pt idx="224">
                  <c:v>0.94394592704812963</c:v>
                </c:pt>
                <c:pt idx="225">
                  <c:v>0.94315930544225612</c:v>
                </c:pt>
                <c:pt idx="226">
                  <c:v>0.94304276890805272</c:v>
                </c:pt>
                <c:pt idx="227">
                  <c:v>0.94269315930544229</c:v>
                </c:pt>
                <c:pt idx="228">
                  <c:v>0.94231441556928108</c:v>
                </c:pt>
                <c:pt idx="229">
                  <c:v>0.94202307423377241</c:v>
                </c:pt>
                <c:pt idx="230">
                  <c:v>0.94184826943246724</c:v>
                </c:pt>
                <c:pt idx="231">
                  <c:v>0.94161519636406021</c:v>
                </c:pt>
                <c:pt idx="232">
                  <c:v>0.94126558676144978</c:v>
                </c:pt>
                <c:pt idx="233">
                  <c:v>0.94088684302528858</c:v>
                </c:pt>
                <c:pt idx="234">
                  <c:v>0.94065376995688155</c:v>
                </c:pt>
                <c:pt idx="235">
                  <c:v>0.94053723342267814</c:v>
                </c:pt>
                <c:pt idx="236">
                  <c:v>0.94042069688847474</c:v>
                </c:pt>
                <c:pt idx="237">
                  <c:v>0.94010022141941507</c:v>
                </c:pt>
                <c:pt idx="238">
                  <c:v>0.93977974595035541</c:v>
                </c:pt>
                <c:pt idx="239">
                  <c:v>0.9395466728819486</c:v>
                </c:pt>
                <c:pt idx="240">
                  <c:v>0.93937186808064344</c:v>
                </c:pt>
                <c:pt idx="241">
                  <c:v>0.93916792914578717</c:v>
                </c:pt>
                <c:pt idx="242">
                  <c:v>0.93890572194382937</c:v>
                </c:pt>
                <c:pt idx="243">
                  <c:v>0.93858524647476993</c:v>
                </c:pt>
                <c:pt idx="244">
                  <c:v>0.9382356368721595</c:v>
                </c:pt>
                <c:pt idx="245">
                  <c:v>0.9380899662044051</c:v>
                </c:pt>
                <c:pt idx="246">
                  <c:v>0.9378277590024473</c:v>
                </c:pt>
                <c:pt idx="247">
                  <c:v>0.93747814939983687</c:v>
                </c:pt>
                <c:pt idx="248">
                  <c:v>0.93701200326302303</c:v>
                </c:pt>
                <c:pt idx="249">
                  <c:v>0.93657499125975996</c:v>
                </c:pt>
                <c:pt idx="250">
                  <c:v>0.93651672299265831</c:v>
                </c:pt>
                <c:pt idx="251">
                  <c:v>0.93645845472555655</c:v>
                </c:pt>
                <c:pt idx="252">
                  <c:v>0.93625451579070051</c:v>
                </c:pt>
                <c:pt idx="253">
                  <c:v>0.93599230858874272</c:v>
                </c:pt>
                <c:pt idx="254">
                  <c:v>0.93581750378743744</c:v>
                </c:pt>
                <c:pt idx="255">
                  <c:v>0.93564269898613228</c:v>
                </c:pt>
                <c:pt idx="256">
                  <c:v>0.93549702831837789</c:v>
                </c:pt>
                <c:pt idx="257">
                  <c:v>0.93526395524997086</c:v>
                </c:pt>
                <c:pt idx="258">
                  <c:v>0.93482694324670801</c:v>
                </c:pt>
                <c:pt idx="259">
                  <c:v>0.93450646777764834</c:v>
                </c:pt>
                <c:pt idx="260">
                  <c:v>0.93450646777764834</c:v>
                </c:pt>
                <c:pt idx="261">
                  <c:v>0.93447733364409757</c:v>
                </c:pt>
                <c:pt idx="262">
                  <c:v>0.93433166297634318</c:v>
                </c:pt>
                <c:pt idx="263">
                  <c:v>0.93406945577438527</c:v>
                </c:pt>
                <c:pt idx="264">
                  <c:v>0.93369071203822407</c:v>
                </c:pt>
                <c:pt idx="265">
                  <c:v>0.93307889523365584</c:v>
                </c:pt>
                <c:pt idx="266">
                  <c:v>0.93284582216524881</c:v>
                </c:pt>
                <c:pt idx="267">
                  <c:v>0.93264188323039277</c:v>
                </c:pt>
                <c:pt idx="268">
                  <c:v>0.93223400536068068</c:v>
                </c:pt>
                <c:pt idx="269">
                  <c:v>0.93185526162451937</c:v>
                </c:pt>
                <c:pt idx="270">
                  <c:v>0.93159305442256146</c:v>
                </c:pt>
                <c:pt idx="271">
                  <c:v>0.93153478615545982</c:v>
                </c:pt>
                <c:pt idx="272">
                  <c:v>0.93127257895350202</c:v>
                </c:pt>
                <c:pt idx="273">
                  <c:v>0.93086470108378983</c:v>
                </c:pt>
                <c:pt idx="274">
                  <c:v>0.93057335974828115</c:v>
                </c:pt>
                <c:pt idx="275">
                  <c:v>0.93036942081342511</c:v>
                </c:pt>
                <c:pt idx="276">
                  <c:v>0.93025288427922159</c:v>
                </c:pt>
                <c:pt idx="277">
                  <c:v>0.93010721361146731</c:v>
                </c:pt>
                <c:pt idx="278">
                  <c:v>0.9298450064095094</c:v>
                </c:pt>
                <c:pt idx="279">
                  <c:v>0.92946626267334809</c:v>
                </c:pt>
                <c:pt idx="280">
                  <c:v>0.92926232373849205</c:v>
                </c:pt>
                <c:pt idx="281">
                  <c:v>0.92914578720428853</c:v>
                </c:pt>
                <c:pt idx="282">
                  <c:v>0.9287961776016781</c:v>
                </c:pt>
                <c:pt idx="283">
                  <c:v>0.9285339703997203</c:v>
                </c:pt>
                <c:pt idx="284">
                  <c:v>0.92821349493066074</c:v>
                </c:pt>
                <c:pt idx="285">
                  <c:v>0.92798042186225382</c:v>
                </c:pt>
                <c:pt idx="286">
                  <c:v>0.92798042186225382</c:v>
                </c:pt>
                <c:pt idx="287">
                  <c:v>0.92795128772870294</c:v>
                </c:pt>
                <c:pt idx="288">
                  <c:v>0.9276308122596435</c:v>
                </c:pt>
                <c:pt idx="289">
                  <c:v>0.92745600745833823</c:v>
                </c:pt>
                <c:pt idx="290">
                  <c:v>0.92722293438993131</c:v>
                </c:pt>
                <c:pt idx="291">
                  <c:v>0.92701899545507516</c:v>
                </c:pt>
                <c:pt idx="292">
                  <c:v>0.92681505652021923</c:v>
                </c:pt>
                <c:pt idx="293">
                  <c:v>0.92640717865050692</c:v>
                </c:pt>
                <c:pt idx="294">
                  <c:v>0.9261741055821</c:v>
                </c:pt>
                <c:pt idx="295">
                  <c:v>0.9257953618459388</c:v>
                </c:pt>
                <c:pt idx="296">
                  <c:v>0.92786388532805042</c:v>
                </c:pt>
                <c:pt idx="297">
                  <c:v>0.92780561706094866</c:v>
                </c:pt>
                <c:pt idx="298">
                  <c:v>0.92731033679058394</c:v>
                </c:pt>
                <c:pt idx="299">
                  <c:v>0.92675678825311736</c:v>
                </c:pt>
                <c:pt idx="300">
                  <c:v>0.92535834984267573</c:v>
                </c:pt>
                <c:pt idx="301">
                  <c:v>0.92547488637687914</c:v>
                </c:pt>
                <c:pt idx="302">
                  <c:v>0.92518354504137057</c:v>
                </c:pt>
                <c:pt idx="303">
                  <c:v>0.92462999650390398</c:v>
                </c:pt>
                <c:pt idx="304">
                  <c:v>0.92419298450064102</c:v>
                </c:pt>
                <c:pt idx="305">
                  <c:v>0.92393077729868323</c:v>
                </c:pt>
                <c:pt idx="306">
                  <c:v>0.92381424076447971</c:v>
                </c:pt>
                <c:pt idx="307">
                  <c:v>0.92337722876121664</c:v>
                </c:pt>
                <c:pt idx="308">
                  <c:v>0.92288194849085192</c:v>
                </c:pt>
                <c:pt idx="309">
                  <c:v>0.92261974128889412</c:v>
                </c:pt>
                <c:pt idx="310">
                  <c:v>0.92250320475469072</c:v>
                </c:pt>
                <c:pt idx="311">
                  <c:v>0.92247407062113984</c:v>
                </c:pt>
                <c:pt idx="312">
                  <c:v>0.92206619275142765</c:v>
                </c:pt>
                <c:pt idx="313">
                  <c:v>0.92157091248106293</c:v>
                </c:pt>
                <c:pt idx="314">
                  <c:v>0.92125043701200326</c:v>
                </c:pt>
                <c:pt idx="315">
                  <c:v>0.92125043701200326</c:v>
                </c:pt>
                <c:pt idx="316">
                  <c:v>0.92116303461135063</c:v>
                </c:pt>
                <c:pt idx="317">
                  <c:v>0.92092996154294371</c:v>
                </c:pt>
                <c:pt idx="318">
                  <c:v>0.92052208367323163</c:v>
                </c:pt>
                <c:pt idx="319">
                  <c:v>0.92023074233772284</c:v>
                </c:pt>
                <c:pt idx="320">
                  <c:v>0.92008507166996856</c:v>
                </c:pt>
                <c:pt idx="321">
                  <c:v>0.91996853513576515</c:v>
                </c:pt>
                <c:pt idx="322">
                  <c:v>0.91964805966670549</c:v>
                </c:pt>
                <c:pt idx="323">
                  <c:v>0.91921104766344253</c:v>
                </c:pt>
                <c:pt idx="324">
                  <c:v>0.91883230392728121</c:v>
                </c:pt>
                <c:pt idx="325">
                  <c:v>0.91877403566017957</c:v>
                </c:pt>
                <c:pt idx="326">
                  <c:v>0.91874490152662869</c:v>
                </c:pt>
                <c:pt idx="327">
                  <c:v>0.91839529192401825</c:v>
                </c:pt>
                <c:pt idx="328">
                  <c:v>0.91804568232140782</c:v>
                </c:pt>
                <c:pt idx="329">
                  <c:v>0.91772520685234826</c:v>
                </c:pt>
                <c:pt idx="330">
                  <c:v>0.91766693858524651</c:v>
                </c:pt>
                <c:pt idx="331">
                  <c:v>0.91760867031814475</c:v>
                </c:pt>
                <c:pt idx="332">
                  <c:v>0.91746299965039046</c:v>
                </c:pt>
                <c:pt idx="333">
                  <c:v>0.91711339004778003</c:v>
                </c:pt>
                <c:pt idx="334">
                  <c:v>0.9167637804451696</c:v>
                </c:pt>
                <c:pt idx="335">
                  <c:v>0.91667637804451696</c:v>
                </c:pt>
                <c:pt idx="336">
                  <c:v>0.91667637804451696</c:v>
                </c:pt>
                <c:pt idx="337">
                  <c:v>0.91644330497611004</c:v>
                </c:pt>
                <c:pt idx="338">
                  <c:v>0.91603542710639796</c:v>
                </c:pt>
                <c:pt idx="339">
                  <c:v>0.91562754923668577</c:v>
                </c:pt>
                <c:pt idx="340">
                  <c:v>0.91562754923668577</c:v>
                </c:pt>
                <c:pt idx="341">
                  <c:v>0.91562754923668577</c:v>
                </c:pt>
                <c:pt idx="342">
                  <c:v>0.91551101270248225</c:v>
                </c:pt>
                <c:pt idx="343">
                  <c:v>0.91510313483277017</c:v>
                </c:pt>
                <c:pt idx="344">
                  <c:v>0.91475352523015974</c:v>
                </c:pt>
                <c:pt idx="345">
                  <c:v>0.91463698869595622</c:v>
                </c:pt>
                <c:pt idx="346">
                  <c:v>0.91460785456240534</c:v>
                </c:pt>
                <c:pt idx="347">
                  <c:v>0.91446218389465106</c:v>
                </c:pt>
                <c:pt idx="348">
                  <c:v>0.91405430602493887</c:v>
                </c:pt>
                <c:pt idx="349">
                  <c:v>0.91355902575457404</c:v>
                </c:pt>
                <c:pt idx="350">
                  <c:v>0.91332595268616712</c:v>
                </c:pt>
                <c:pt idx="351">
                  <c:v>0.91312201375131108</c:v>
                </c:pt>
                <c:pt idx="352">
                  <c:v>0.91297634308355669</c:v>
                </c:pt>
                <c:pt idx="353">
                  <c:v>0.91259759934739548</c:v>
                </c:pt>
                <c:pt idx="354">
                  <c:v>0.91227712387833593</c:v>
                </c:pt>
                <c:pt idx="355">
                  <c:v>0.91181097774152209</c:v>
                </c:pt>
                <c:pt idx="356">
                  <c:v>0.91172357534086945</c:v>
                </c:pt>
                <c:pt idx="357">
                  <c:v>0.91160703880666594</c:v>
                </c:pt>
                <c:pt idx="358">
                  <c:v>0.91149050227246253</c:v>
                </c:pt>
                <c:pt idx="359">
                  <c:v>0.91122829507050473</c:v>
                </c:pt>
                <c:pt idx="360">
                  <c:v>0.9109952220020977</c:v>
                </c:pt>
                <c:pt idx="361">
                  <c:v>0.9109952220020977</c:v>
                </c:pt>
                <c:pt idx="362">
                  <c:v>0.91093695373499595</c:v>
                </c:pt>
                <c:pt idx="363">
                  <c:v>0.91058734413238551</c:v>
                </c:pt>
                <c:pt idx="364">
                  <c:v>0.91023773452977508</c:v>
                </c:pt>
                <c:pt idx="365">
                  <c:v>0.909829856660063</c:v>
                </c:pt>
                <c:pt idx="366">
                  <c:v>0.90971332012585959</c:v>
                </c:pt>
                <c:pt idx="367">
                  <c:v>0.90962591772520696</c:v>
                </c:pt>
                <c:pt idx="368">
                  <c:v>0.90924717398904564</c:v>
                </c:pt>
                <c:pt idx="369">
                  <c:v>0.90883929611933345</c:v>
                </c:pt>
                <c:pt idx="370">
                  <c:v>0.9085188206502739</c:v>
                </c:pt>
                <c:pt idx="371">
                  <c:v>0.90840228411607038</c:v>
                </c:pt>
                <c:pt idx="372">
                  <c:v>0.90822747931476522</c:v>
                </c:pt>
                <c:pt idx="373">
                  <c:v>0.90779046731150215</c:v>
                </c:pt>
                <c:pt idx="374">
                  <c:v>0.90732432117468831</c:v>
                </c:pt>
                <c:pt idx="375">
                  <c:v>0.90665423610301843</c:v>
                </c:pt>
                <c:pt idx="376">
                  <c:v>0.90653769956881491</c:v>
                </c:pt>
                <c:pt idx="377">
                  <c:v>0.90645029716816228</c:v>
                </c:pt>
                <c:pt idx="378">
                  <c:v>0.90604241929845009</c:v>
                </c:pt>
                <c:pt idx="379">
                  <c:v>0.90575107796294141</c:v>
                </c:pt>
                <c:pt idx="380">
                  <c:v>0.90569280969583965</c:v>
                </c:pt>
                <c:pt idx="381">
                  <c:v>0.90557627316163614</c:v>
                </c:pt>
                <c:pt idx="382">
                  <c:v>0.90516839529192406</c:v>
                </c:pt>
                <c:pt idx="383">
                  <c:v>0.90478965155576285</c:v>
                </c:pt>
                <c:pt idx="384">
                  <c:v>0.90438177368605066</c:v>
                </c:pt>
                <c:pt idx="385">
                  <c:v>0.90411956648409286</c:v>
                </c:pt>
                <c:pt idx="386">
                  <c:v>0.90388649341568583</c:v>
                </c:pt>
                <c:pt idx="387">
                  <c:v>0.90356601794662628</c:v>
                </c:pt>
                <c:pt idx="388">
                  <c:v>0.90333294487821936</c:v>
                </c:pt>
                <c:pt idx="389">
                  <c:v>0.90307073767626156</c:v>
                </c:pt>
                <c:pt idx="390">
                  <c:v>0.90272112807365112</c:v>
                </c:pt>
                <c:pt idx="391">
                  <c:v>0.90237151847104069</c:v>
                </c:pt>
                <c:pt idx="392">
                  <c:v>0.90205104300198113</c:v>
                </c:pt>
                <c:pt idx="393">
                  <c:v>0.90178883580002334</c:v>
                </c:pt>
                <c:pt idx="394">
                  <c:v>0.90149749446451477</c:v>
                </c:pt>
                <c:pt idx="395">
                  <c:v>0.90135182379676027</c:v>
                </c:pt>
                <c:pt idx="396">
                  <c:v>0.90126442139610774</c:v>
                </c:pt>
                <c:pt idx="397">
                  <c:v>0.90108961659480247</c:v>
                </c:pt>
                <c:pt idx="398">
                  <c:v>0.90062347045798863</c:v>
                </c:pt>
                <c:pt idx="399">
                  <c:v>0.90018645845472556</c:v>
                </c:pt>
                <c:pt idx="400">
                  <c:v>0.90018645845472556</c:v>
                </c:pt>
                <c:pt idx="401">
                  <c:v>0.90012819018762391</c:v>
                </c:pt>
                <c:pt idx="402">
                  <c:v>0.90006992192052204</c:v>
                </c:pt>
                <c:pt idx="403">
                  <c:v>0.89972031231791172</c:v>
                </c:pt>
                <c:pt idx="404">
                  <c:v>0.89919589791399612</c:v>
                </c:pt>
                <c:pt idx="405">
                  <c:v>0.89905022724624184</c:v>
                </c:pt>
                <c:pt idx="406">
                  <c:v>0.8989628248455892</c:v>
                </c:pt>
                <c:pt idx="407">
                  <c:v>0.89887542244493657</c:v>
                </c:pt>
                <c:pt idx="408">
                  <c:v>0.89849667870877525</c:v>
                </c:pt>
                <c:pt idx="409">
                  <c:v>0.89776832537000362</c:v>
                </c:pt>
                <c:pt idx="410">
                  <c:v>0.89750611816804571</c:v>
                </c:pt>
                <c:pt idx="411">
                  <c:v>0.89773919123645263</c:v>
                </c:pt>
                <c:pt idx="412">
                  <c:v>0.89768092296935098</c:v>
                </c:pt>
                <c:pt idx="413">
                  <c:v>0.89759352056869834</c:v>
                </c:pt>
                <c:pt idx="414">
                  <c:v>0.89747698403449483</c:v>
                </c:pt>
                <c:pt idx="415">
                  <c:v>0.89709824029833363</c:v>
                </c:pt>
                <c:pt idx="416">
                  <c:v>0.89706910616478275</c:v>
                </c:pt>
                <c:pt idx="417">
                  <c:v>0.90024472672182732</c:v>
                </c:pt>
                <c:pt idx="418">
                  <c:v>0.89937070271530128</c:v>
                </c:pt>
                <c:pt idx="419">
                  <c:v>0.89864234937652954</c:v>
                </c:pt>
                <c:pt idx="420">
                  <c:v>0.89805966670551218</c:v>
                </c:pt>
                <c:pt idx="421">
                  <c:v>0.89759352056869834</c:v>
                </c:pt>
                <c:pt idx="422">
                  <c:v>0.89744784990094395</c:v>
                </c:pt>
                <c:pt idx="423">
                  <c:v>0.89721477683253703</c:v>
                </c:pt>
                <c:pt idx="424">
                  <c:v>0.89703997203123187</c:v>
                </c:pt>
                <c:pt idx="425">
                  <c:v>0.89651555762731616</c:v>
                </c:pt>
                <c:pt idx="426">
                  <c:v>0.89602027735695144</c:v>
                </c:pt>
                <c:pt idx="427">
                  <c:v>0.89578720428854453</c:v>
                </c:pt>
                <c:pt idx="428">
                  <c:v>0.89564153362079024</c:v>
                </c:pt>
                <c:pt idx="429">
                  <c:v>0.89537932641883233</c:v>
                </c:pt>
                <c:pt idx="430">
                  <c:v>0.89497144854912025</c:v>
                </c:pt>
                <c:pt idx="431">
                  <c:v>0.89459270481295894</c:v>
                </c:pt>
                <c:pt idx="432">
                  <c:v>0.8942430952103485</c:v>
                </c:pt>
                <c:pt idx="433">
                  <c:v>0.89421396107679763</c:v>
                </c:pt>
                <c:pt idx="434">
                  <c:v>0.89395175387483983</c:v>
                </c:pt>
                <c:pt idx="435">
                  <c:v>0.89357301013867851</c:v>
                </c:pt>
                <c:pt idx="436">
                  <c:v>0.8930777298683138</c:v>
                </c:pt>
                <c:pt idx="437">
                  <c:v>0.89281552266635589</c:v>
                </c:pt>
                <c:pt idx="438">
                  <c:v>0.89275725439925424</c:v>
                </c:pt>
                <c:pt idx="439">
                  <c:v>0.89252418133084732</c:v>
                </c:pt>
                <c:pt idx="440">
                  <c:v>0.89208716932758425</c:v>
                </c:pt>
                <c:pt idx="441">
                  <c:v>0.89173755972497382</c:v>
                </c:pt>
                <c:pt idx="442">
                  <c:v>0.89141708425591437</c:v>
                </c:pt>
                <c:pt idx="443">
                  <c:v>0.89144621838946514</c:v>
                </c:pt>
                <c:pt idx="444">
                  <c:v>0.89127141358815987</c:v>
                </c:pt>
                <c:pt idx="445">
                  <c:v>0.89092180398554943</c:v>
                </c:pt>
                <c:pt idx="446">
                  <c:v>0.89065959678359174</c:v>
                </c:pt>
                <c:pt idx="447">
                  <c:v>0.89022258478032867</c:v>
                </c:pt>
                <c:pt idx="448">
                  <c:v>0.88870760983568353</c:v>
                </c:pt>
                <c:pt idx="449">
                  <c:v>0.88812492716466618</c:v>
                </c:pt>
                <c:pt idx="450">
                  <c:v>0.88561939167929149</c:v>
                </c:pt>
                <c:pt idx="451">
                  <c:v>0.88643514741871576</c:v>
                </c:pt>
                <c:pt idx="452">
                  <c:v>0.88660995222002104</c:v>
                </c:pt>
                <c:pt idx="453">
                  <c:v>0.88719263489103839</c:v>
                </c:pt>
                <c:pt idx="454">
                  <c:v>0.88722176902458927</c:v>
                </c:pt>
                <c:pt idx="455">
                  <c:v>0.88701783008973323</c:v>
                </c:pt>
                <c:pt idx="456">
                  <c:v>0.88681389115487708</c:v>
                </c:pt>
                <c:pt idx="457">
                  <c:v>0.88675562288777543</c:v>
                </c:pt>
                <c:pt idx="458">
                  <c:v>0.88675562288777543</c:v>
                </c:pt>
                <c:pt idx="459">
                  <c:v>0.88649341568581763</c:v>
                </c:pt>
                <c:pt idx="460">
                  <c:v>0.8861438060832072</c:v>
                </c:pt>
                <c:pt idx="461">
                  <c:v>0.88593986714835105</c:v>
                </c:pt>
                <c:pt idx="462">
                  <c:v>0.8859981354154528</c:v>
                </c:pt>
                <c:pt idx="463">
                  <c:v>0.88591073301480028</c:v>
                </c:pt>
                <c:pt idx="464">
                  <c:v>0.88564852581284237</c:v>
                </c:pt>
                <c:pt idx="465">
                  <c:v>0.88529891621023193</c:v>
                </c:pt>
                <c:pt idx="466">
                  <c:v>0.88500757487472326</c:v>
                </c:pt>
                <c:pt idx="467">
                  <c:v>0.88500757487472326</c:v>
                </c:pt>
                <c:pt idx="468">
                  <c:v>0.88500757487472326</c:v>
                </c:pt>
                <c:pt idx="469">
                  <c:v>0.88471623353921458</c:v>
                </c:pt>
                <c:pt idx="470">
                  <c:v>0.88433748980305327</c:v>
                </c:pt>
                <c:pt idx="471">
                  <c:v>0.8840461484675447</c:v>
                </c:pt>
                <c:pt idx="472">
                  <c:v>0.88392961193334119</c:v>
                </c:pt>
                <c:pt idx="473">
                  <c:v>0.88343433166297636</c:v>
                </c:pt>
                <c:pt idx="474">
                  <c:v>0.88139494231441562</c:v>
                </c:pt>
                <c:pt idx="475">
                  <c:v>0.88066658897564398</c:v>
                </c:pt>
                <c:pt idx="476">
                  <c:v>0.88025871110593168</c:v>
                </c:pt>
                <c:pt idx="477">
                  <c:v>0.88119100337955947</c:v>
                </c:pt>
                <c:pt idx="478">
                  <c:v>0.88124927164666134</c:v>
                </c:pt>
                <c:pt idx="479">
                  <c:v>0.88113273511245782</c:v>
                </c:pt>
                <c:pt idx="480">
                  <c:v>0.88104533271180518</c:v>
                </c:pt>
                <c:pt idx="481">
                  <c:v>0.8808996620440509</c:v>
                </c:pt>
                <c:pt idx="482">
                  <c:v>0.88052091830788959</c:v>
                </c:pt>
                <c:pt idx="483">
                  <c:v>0.88028784523948267</c:v>
                </c:pt>
                <c:pt idx="484">
                  <c:v>0.8801130404381774</c:v>
                </c:pt>
                <c:pt idx="485">
                  <c:v>0.88008390630462652</c:v>
                </c:pt>
                <c:pt idx="486">
                  <c:v>0.87993823563687223</c:v>
                </c:pt>
                <c:pt idx="487">
                  <c:v>0.8795886260342618</c:v>
                </c:pt>
                <c:pt idx="488">
                  <c:v>0.87935555296585488</c:v>
                </c:pt>
                <c:pt idx="489">
                  <c:v>0.87918074816454961</c:v>
                </c:pt>
                <c:pt idx="490">
                  <c:v>0.87909334576389697</c:v>
                </c:pt>
                <c:pt idx="491">
                  <c:v>0.87868546789418489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24C-4F62-8A70-77D25E92F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975296"/>
        <c:axId val="741383456"/>
      </c:scatterChart>
      <c:valAx>
        <c:axId val="1115975296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741383456"/>
        <c:crosses val="autoZero"/>
        <c:crossBetween val="midCat"/>
      </c:valAx>
      <c:valAx>
        <c:axId val="741383456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Capacity Retention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115975296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84591111111111106"/>
          <c:y val="0.12519501312335962"/>
          <c:w val="0.1133223097112861"/>
          <c:h val="0.31730708661417323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G11E-V1.2-PreA-0.5C_0.5C</a:t>
            </a:r>
            <a:r>
              <a:rPr lang="zh-CN"/>
              <a:t>循环 </a:t>
            </a:r>
            <a:r>
              <a:rPr lang="en-US"/>
              <a:t>25℃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435-1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大小中检!$O$3:$O$486</c:f>
              <c:numCache>
                <c:formatCode>General</c:formatCode>
                <c:ptCount val="48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</c:numCache>
            </c:numRef>
          </c:xVal>
          <c:yVal>
            <c:numRef>
              <c:f>大小中检!$Q$3:$Q$486</c:f>
              <c:numCache>
                <c:formatCode>0.00%</c:formatCode>
                <c:ptCount val="484"/>
                <c:pt idx="0">
                  <c:v>1</c:v>
                </c:pt>
                <c:pt idx="1">
                  <c:v>1.0008409530506708</c:v>
                </c:pt>
                <c:pt idx="2">
                  <c:v>1.0006246583740313</c:v>
                </c:pt>
                <c:pt idx="3">
                  <c:v>1.0005954522754292</c:v>
                </c:pt>
                <c:pt idx="4">
                  <c:v>1.0005551930175465</c:v>
                </c:pt>
                <c:pt idx="5">
                  <c:v>1.0005683003037735</c:v>
                </c:pt>
                <c:pt idx="6">
                  <c:v>1.000341637176835</c:v>
                </c:pt>
                <c:pt idx="7">
                  <c:v>0.99983626488902733</c:v>
                </c:pt>
                <c:pt idx="8">
                  <c:v>0.99961362035170942</c:v>
                </c:pt>
                <c:pt idx="9">
                  <c:v>0.99923475619962621</c:v>
                </c:pt>
                <c:pt idx="10">
                  <c:v>0.99925955244633191</c:v>
                </c:pt>
                <c:pt idx="11">
                  <c:v>0.99905197965791559</c:v>
                </c:pt>
                <c:pt idx="12">
                  <c:v>0.99850636441481999</c:v>
                </c:pt>
                <c:pt idx="13">
                  <c:v>0.99834147997091316</c:v>
                </c:pt>
                <c:pt idx="14">
                  <c:v>0.99799831850146359</c:v>
                </c:pt>
                <c:pt idx="15">
                  <c:v>0.99787953779567906</c:v>
                </c:pt>
                <c:pt idx="16">
                  <c:v>0.99756608780527023</c:v>
                </c:pt>
                <c:pt idx="17">
                  <c:v>0.99740597187034541</c:v>
                </c:pt>
                <c:pt idx="18">
                  <c:v>0.99764905986155505</c:v>
                </c:pt>
                <c:pt idx="19">
                  <c:v>0.99719324746196925</c:v>
                </c:pt>
                <c:pt idx="20">
                  <c:v>0.99647200436498717</c:v>
                </c:pt>
                <c:pt idx="21">
                  <c:v>0.9955181721478531</c:v>
                </c:pt>
                <c:pt idx="22">
                  <c:v>0.99517261419696634</c:v>
                </c:pt>
                <c:pt idx="23">
                  <c:v>0.99499618751593422</c:v>
                </c:pt>
                <c:pt idx="24">
                  <c:v>0.99482466791594004</c:v>
                </c:pt>
                <c:pt idx="25">
                  <c:v>0.99437310234230214</c:v>
                </c:pt>
                <c:pt idx="26">
                  <c:v>0.99394070862016082</c:v>
                </c:pt>
                <c:pt idx="27">
                  <c:v>0.99389981356108037</c:v>
                </c:pt>
                <c:pt idx="28">
                  <c:v>0.99385485100459492</c:v>
                </c:pt>
                <c:pt idx="29">
                  <c:v>0.99387136553313726</c:v>
                </c:pt>
                <c:pt idx="30">
                  <c:v>0.99332993190561025</c:v>
                </c:pt>
                <c:pt idx="31">
                  <c:v>0.9929714786022289</c:v>
                </c:pt>
                <c:pt idx="32">
                  <c:v>0.99318095064294054</c:v>
                </c:pt>
                <c:pt idx="33">
                  <c:v>0.99323404819423622</c:v>
                </c:pt>
                <c:pt idx="34">
                  <c:v>0.99295420600302786</c:v>
                </c:pt>
                <c:pt idx="35">
                  <c:v>0.99258975334475652</c:v>
                </c:pt>
                <c:pt idx="36">
                  <c:v>0.9919122256557571</c:v>
                </c:pt>
                <c:pt idx="37">
                  <c:v>0.99180973939348493</c:v>
                </c:pt>
                <c:pt idx="38">
                  <c:v>0.99182106154558047</c:v>
                </c:pt>
                <c:pt idx="39">
                  <c:v>0.99145002263900595</c:v>
                </c:pt>
                <c:pt idx="40">
                  <c:v>0.99072365237595605</c:v>
                </c:pt>
                <c:pt idx="41">
                  <c:v>0.99039856233285306</c:v>
                </c:pt>
                <c:pt idx="42">
                  <c:v>0.99036475075121744</c:v>
                </c:pt>
                <c:pt idx="43">
                  <c:v>0.99058092315839597</c:v>
                </c:pt>
                <c:pt idx="44">
                  <c:v>0.99041450627057714</c:v>
                </c:pt>
                <c:pt idx="45">
                  <c:v>0.98989106255642278</c:v>
                </c:pt>
                <c:pt idx="46">
                  <c:v>0.98975081948457111</c:v>
                </c:pt>
                <c:pt idx="47">
                  <c:v>0.98919291208498883</c:v>
                </c:pt>
                <c:pt idx="48">
                  <c:v>0.98846766670098096</c:v>
                </c:pt>
                <c:pt idx="49">
                  <c:v>0.98694435224194954</c:v>
                </c:pt>
                <c:pt idx="50">
                  <c:v>0.98629100945235049</c:v>
                </c:pt>
                <c:pt idx="51">
                  <c:v>0.9863202237022497</c:v>
                </c:pt>
                <c:pt idx="52">
                  <c:v>0.98738343002796292</c:v>
                </c:pt>
                <c:pt idx="53">
                  <c:v>0.98858621101914068</c:v>
                </c:pt>
                <c:pt idx="54">
                  <c:v>0.98856054258361259</c:v>
                </c:pt>
                <c:pt idx="55">
                  <c:v>0.98798434367265353</c:v>
                </c:pt>
                <c:pt idx="56">
                  <c:v>0.98805797434211229</c:v>
                </c:pt>
                <c:pt idx="57">
                  <c:v>0.988162204982029</c:v>
                </c:pt>
                <c:pt idx="58">
                  <c:v>0.98795315680878248</c:v>
                </c:pt>
                <c:pt idx="59">
                  <c:v>0.9872804302339544</c:v>
                </c:pt>
                <c:pt idx="60">
                  <c:v>0.98666997142000257</c:v>
                </c:pt>
                <c:pt idx="61">
                  <c:v>0.98660996971980497</c:v>
                </c:pt>
                <c:pt idx="62">
                  <c:v>0.98658815684794932</c:v>
                </c:pt>
                <c:pt idx="63">
                  <c:v>0.98627658980724109</c:v>
                </c:pt>
                <c:pt idx="64">
                  <c:v>0.98575333357292716</c:v>
                </c:pt>
                <c:pt idx="65">
                  <c:v>0.98548043628710791</c:v>
                </c:pt>
                <c:pt idx="66">
                  <c:v>0.98555208619129708</c:v>
                </c:pt>
                <c:pt idx="67">
                  <c:v>0.98552418430027999</c:v>
                </c:pt>
                <c:pt idx="68">
                  <c:v>0.98558699004678496</c:v>
                </c:pt>
                <c:pt idx="69">
                  <c:v>0.9849126250611786</c:v>
                </c:pt>
                <c:pt idx="70">
                  <c:v>0.98433559471788434</c:v>
                </c:pt>
                <c:pt idx="71">
                  <c:v>0.98420871162247925</c:v>
                </c:pt>
                <c:pt idx="72">
                  <c:v>0.98399596276021084</c:v>
                </c:pt>
                <c:pt idx="73">
                  <c:v>0.9838647431745865</c:v>
                </c:pt>
                <c:pt idx="74">
                  <c:v>0.98301029157541331</c:v>
                </c:pt>
                <c:pt idx="75">
                  <c:v>0.98305808263209837</c:v>
                </c:pt>
                <c:pt idx="76">
                  <c:v>0.98274715954388503</c:v>
                </c:pt>
                <c:pt idx="77">
                  <c:v>0.98212495471037264</c:v>
                </c:pt>
                <c:pt idx="78">
                  <c:v>0.98106169947687505</c:v>
                </c:pt>
                <c:pt idx="79">
                  <c:v>0.98117981992756964</c:v>
                </c:pt>
                <c:pt idx="80">
                  <c:v>0.98172268003214247</c:v>
                </c:pt>
                <c:pt idx="81">
                  <c:v>0.98122524710800729</c:v>
                </c:pt>
                <c:pt idx="82">
                  <c:v>0.98060615607010371</c:v>
                </c:pt>
                <c:pt idx="83">
                  <c:v>0.97986959668529772</c:v>
                </c:pt>
                <c:pt idx="84">
                  <c:v>0.98105008387807302</c:v>
                </c:pt>
                <c:pt idx="85">
                  <c:v>0.98112347000860944</c:v>
                </c:pt>
                <c:pt idx="86">
                  <c:v>0.98045705253797288</c:v>
                </c:pt>
                <c:pt idx="87">
                  <c:v>0.98019947153997744</c:v>
                </c:pt>
                <c:pt idx="88">
                  <c:v>0.97977987535476174</c:v>
                </c:pt>
                <c:pt idx="89">
                  <c:v>0.97972360694877558</c:v>
                </c:pt>
                <c:pt idx="90">
                  <c:v>0.97977611760665817</c:v>
                </c:pt>
                <c:pt idx="91">
                  <c:v>0.97977040354717726</c:v>
                </c:pt>
                <c:pt idx="92">
                  <c:v>0.97951323011405211</c:v>
                </c:pt>
                <c:pt idx="93">
                  <c:v>0.97903068961027562</c:v>
                </c:pt>
                <c:pt idx="94">
                  <c:v>0.97899890770169395</c:v>
                </c:pt>
                <c:pt idx="95">
                  <c:v>0.97894620141267363</c:v>
                </c:pt>
                <c:pt idx="96">
                  <c:v>0.97901358003702266</c:v>
                </c:pt>
                <c:pt idx="97">
                  <c:v>0.97858622381667759</c:v>
                </c:pt>
                <c:pt idx="98">
                  <c:v>0.97819904534124136</c:v>
                </c:pt>
                <c:pt idx="99">
                  <c:v>0.97799866199713614</c:v>
                </c:pt>
                <c:pt idx="100">
                  <c:v>0.97821703525461401</c:v>
                </c:pt>
                <c:pt idx="101">
                  <c:v>0.97795624264544101</c:v>
                </c:pt>
                <c:pt idx="102">
                  <c:v>0.97740673923348309</c:v>
                </c:pt>
                <c:pt idx="103">
                  <c:v>0.97687753255206355</c:v>
                </c:pt>
                <c:pt idx="104">
                  <c:v>0.97669907619797769</c:v>
                </c:pt>
                <c:pt idx="105">
                  <c:v>0.976543573897384</c:v>
                </c:pt>
                <c:pt idx="106">
                  <c:v>0.97639421767503365</c:v>
                </c:pt>
                <c:pt idx="107">
                  <c:v>0.97579492613852659</c:v>
                </c:pt>
                <c:pt idx="108">
                  <c:v>0.97533315514053787</c:v>
                </c:pt>
                <c:pt idx="109">
                  <c:v>0.97529571623155709</c:v>
                </c:pt>
                <c:pt idx="110">
                  <c:v>0.97552577029821619</c:v>
                </c:pt>
                <c:pt idx="111">
                  <c:v>0.97577908816766878</c:v>
                </c:pt>
                <c:pt idx="112">
                  <c:v>0.97535178085510821</c:v>
                </c:pt>
                <c:pt idx="113">
                  <c:v>0.97500470676290407</c:v>
                </c:pt>
                <c:pt idx="114">
                  <c:v>0.9750742047245784</c:v>
                </c:pt>
                <c:pt idx="115">
                  <c:v>0.97518789902078229</c:v>
                </c:pt>
                <c:pt idx="116">
                  <c:v>0.97507647078525694</c:v>
                </c:pt>
                <c:pt idx="117">
                  <c:v>0.97456912588347733</c:v>
                </c:pt>
                <c:pt idx="118">
                  <c:v>0.97410612403958063</c:v>
                </c:pt>
                <c:pt idx="119">
                  <c:v>0.97409506272900204</c:v>
                </c:pt>
                <c:pt idx="120">
                  <c:v>0.97416780490704358</c:v>
                </c:pt>
                <c:pt idx="121">
                  <c:v>0.97414879608149529</c:v>
                </c:pt>
                <c:pt idx="122">
                  <c:v>0.97361725812901789</c:v>
                </c:pt>
                <c:pt idx="123">
                  <c:v>0.97313970621925328</c:v>
                </c:pt>
                <c:pt idx="124">
                  <c:v>0.97313151416536126</c:v>
                </c:pt>
                <c:pt idx="125">
                  <c:v>0.9731551529278355</c:v>
                </c:pt>
                <c:pt idx="126">
                  <c:v>0.97308175049470425</c:v>
                </c:pt>
                <c:pt idx="127">
                  <c:v>0.97263073920929011</c:v>
                </c:pt>
                <c:pt idx="128">
                  <c:v>0.97220768687397485</c:v>
                </c:pt>
                <c:pt idx="129">
                  <c:v>0.97219383781968383</c:v>
                </c:pt>
                <c:pt idx="130">
                  <c:v>0.97232445420930025</c:v>
                </c:pt>
                <c:pt idx="131">
                  <c:v>0.97228656697896221</c:v>
                </c:pt>
                <c:pt idx="132">
                  <c:v>0.97188560465961427</c:v>
                </c:pt>
                <c:pt idx="133">
                  <c:v>0.97154812464445572</c:v>
                </c:pt>
                <c:pt idx="134">
                  <c:v>0.97145903096381991</c:v>
                </c:pt>
                <c:pt idx="135">
                  <c:v>0.97176282981810136</c:v>
                </c:pt>
                <c:pt idx="136">
                  <c:v>0.97177054909674376</c:v>
                </c:pt>
                <c:pt idx="137">
                  <c:v>0.97135956068158769</c:v>
                </c:pt>
                <c:pt idx="138">
                  <c:v>0.97097398801174017</c:v>
                </c:pt>
                <c:pt idx="139">
                  <c:v>0.96896816565412203</c:v>
                </c:pt>
                <c:pt idx="140">
                  <c:v>0.97088601921014628</c:v>
                </c:pt>
                <c:pt idx="141">
                  <c:v>0.9711379921155272</c:v>
                </c:pt>
                <c:pt idx="142">
                  <c:v>0.9710199857829962</c:v>
                </c:pt>
                <c:pt idx="143">
                  <c:v>0.97078447849837324</c:v>
                </c:pt>
                <c:pt idx="144">
                  <c:v>0.96859027965772737</c:v>
                </c:pt>
                <c:pt idx="145">
                  <c:v>0.96775826042901247</c:v>
                </c:pt>
                <c:pt idx="146">
                  <c:v>0.96746441430886243</c:v>
                </c:pt>
                <c:pt idx="147">
                  <c:v>0.96687559718952065</c:v>
                </c:pt>
                <c:pt idx="148">
                  <c:v>0.96649792312685856</c:v>
                </c:pt>
                <c:pt idx="149">
                  <c:v>0.96693507720668437</c:v>
                </c:pt>
                <c:pt idx="150">
                  <c:v>0.96788807799148313</c:v>
                </c:pt>
                <c:pt idx="151">
                  <c:v>0.96757404925895862</c:v>
                </c:pt>
                <c:pt idx="152">
                  <c:v>0.9671666800198504</c:v>
                </c:pt>
                <c:pt idx="153">
                  <c:v>0.96714526656156763</c:v>
                </c:pt>
                <c:pt idx="154">
                  <c:v>0.96579136866780013</c:v>
                </c:pt>
                <c:pt idx="155">
                  <c:v>0.96501196606383388</c:v>
                </c:pt>
                <c:pt idx="156">
                  <c:v>0.96421518489380054</c:v>
                </c:pt>
                <c:pt idx="157">
                  <c:v>0.96384426825668701</c:v>
                </c:pt>
                <c:pt idx="158">
                  <c:v>0.96445815061554885</c:v>
                </c:pt>
                <c:pt idx="159">
                  <c:v>0.96508984355924066</c:v>
                </c:pt>
                <c:pt idx="160">
                  <c:v>0.96460036630137258</c:v>
                </c:pt>
                <c:pt idx="161">
                  <c:v>0.96412774592653794</c:v>
                </c:pt>
                <c:pt idx="162">
                  <c:v>0.9636696185584892</c:v>
                </c:pt>
                <c:pt idx="163">
                  <c:v>0.96378778791696829</c:v>
                </c:pt>
                <c:pt idx="164">
                  <c:v>0.96379976217285612</c:v>
                </c:pt>
                <c:pt idx="165">
                  <c:v>0.96350841850100954</c:v>
                </c:pt>
                <c:pt idx="166">
                  <c:v>0.96296986228146653</c:v>
                </c:pt>
                <c:pt idx="167">
                  <c:v>0.96260157851341488</c:v>
                </c:pt>
                <c:pt idx="168">
                  <c:v>0.96279103096769991</c:v>
                </c:pt>
                <c:pt idx="169">
                  <c:v>0.96290990133775589</c:v>
                </c:pt>
                <c:pt idx="170">
                  <c:v>0.96268234156810273</c:v>
                </c:pt>
                <c:pt idx="171">
                  <c:v>0.96214156004436813</c:v>
                </c:pt>
                <c:pt idx="172">
                  <c:v>0.96178935063479909</c:v>
                </c:pt>
                <c:pt idx="173">
                  <c:v>0.96175296324318349</c:v>
                </c:pt>
                <c:pt idx="174">
                  <c:v>0.96168652201803595</c:v>
                </c:pt>
                <c:pt idx="175">
                  <c:v>0.96136182323720831</c:v>
                </c:pt>
                <c:pt idx="176">
                  <c:v>0.96078687147475239</c:v>
                </c:pt>
                <c:pt idx="177">
                  <c:v>0.96038687915979559</c:v>
                </c:pt>
                <c:pt idx="178">
                  <c:v>0.96040537445360741</c:v>
                </c:pt>
                <c:pt idx="179">
                  <c:v>0.96027549168075732</c:v>
                </c:pt>
                <c:pt idx="180">
                  <c:v>0.9599853054931422</c:v>
                </c:pt>
                <c:pt idx="181">
                  <c:v>0.95931683389555955</c:v>
                </c:pt>
                <c:pt idx="182">
                  <c:v>0.95900857628159764</c:v>
                </c:pt>
                <c:pt idx="183">
                  <c:v>0.95905685641612715</c:v>
                </c:pt>
                <c:pt idx="184">
                  <c:v>0.95898677156103951</c:v>
                </c:pt>
                <c:pt idx="185">
                  <c:v>0.95875086486284378</c:v>
                </c:pt>
                <c:pt idx="186">
                  <c:v>0.95825347269519556</c:v>
                </c:pt>
                <c:pt idx="187">
                  <c:v>0.95786767178902077</c:v>
                </c:pt>
                <c:pt idx="188">
                  <c:v>0.95782884715948113</c:v>
                </c:pt>
                <c:pt idx="189">
                  <c:v>0.95781758206646761</c:v>
                </c:pt>
                <c:pt idx="190">
                  <c:v>0.95771721514152075</c:v>
                </c:pt>
                <c:pt idx="191">
                  <c:v>0.95729869492756259</c:v>
                </c:pt>
                <c:pt idx="192">
                  <c:v>0.95689971337348401</c:v>
                </c:pt>
                <c:pt idx="193">
                  <c:v>0.95722192600860301</c:v>
                </c:pt>
                <c:pt idx="194">
                  <c:v>0.95728314225211397</c:v>
                </c:pt>
                <c:pt idx="195">
                  <c:v>0.95707997116429633</c:v>
                </c:pt>
                <c:pt idx="196">
                  <c:v>0.95661452393117807</c:v>
                </c:pt>
                <c:pt idx="197">
                  <c:v>0.95624725907530195</c:v>
                </c:pt>
                <c:pt idx="198">
                  <c:v>0.95682517791001342</c:v>
                </c:pt>
                <c:pt idx="199">
                  <c:v>0.95728433234153509</c:v>
                </c:pt>
                <c:pt idx="200">
                  <c:v>0.95739990143614206</c:v>
                </c:pt>
                <c:pt idx="201">
                  <c:v>0.95708723397028417</c:v>
                </c:pt>
                <c:pt idx="202">
                  <c:v>0.95681448340781805</c:v>
                </c:pt>
                <c:pt idx="203">
                  <c:v>0.95647631053238025</c:v>
                </c:pt>
                <c:pt idx="204">
                  <c:v>0.95631983822739541</c:v>
                </c:pt>
                <c:pt idx="205">
                  <c:v>0.95603878149287369</c:v>
                </c:pt>
                <c:pt idx="206">
                  <c:v>0.95542021213800399</c:v>
                </c:pt>
                <c:pt idx="207">
                  <c:v>0.95497145876197098</c:v>
                </c:pt>
                <c:pt idx="208">
                  <c:v>0.95570960764977098</c:v>
                </c:pt>
                <c:pt idx="209">
                  <c:v>0.95411150503704945</c:v>
                </c:pt>
                <c:pt idx="210">
                  <c:v>0.95284504611054444</c:v>
                </c:pt>
                <c:pt idx="211">
                  <c:v>0.95332203558078821</c:v>
                </c:pt>
                <c:pt idx="212">
                  <c:v>0.95579096574916944</c:v>
                </c:pt>
                <c:pt idx="213">
                  <c:v>0.95564070473280716</c:v>
                </c:pt>
                <c:pt idx="214">
                  <c:v>0.95476264697634916</c:v>
                </c:pt>
                <c:pt idx="215">
                  <c:v>0.95421725996958084</c:v>
                </c:pt>
                <c:pt idx="216">
                  <c:v>0.95387801112288551</c:v>
                </c:pt>
                <c:pt idx="217">
                  <c:v>0.95365314128137602</c:v>
                </c:pt>
                <c:pt idx="218">
                  <c:v>0.95352744012409474</c:v>
                </c:pt>
                <c:pt idx="219">
                  <c:v>0.95317693433568318</c:v>
                </c:pt>
                <c:pt idx="220">
                  <c:v>0.95280642526343995</c:v>
                </c:pt>
                <c:pt idx="221">
                  <c:v>0.95254020389019523</c:v>
                </c:pt>
                <c:pt idx="222">
                  <c:v>0.95246916533331138</c:v>
                </c:pt>
                <c:pt idx="223">
                  <c:v>0.95236353267024099</c:v>
                </c:pt>
                <c:pt idx="224">
                  <c:v>0.95204540383512193</c:v>
                </c:pt>
                <c:pt idx="225">
                  <c:v>0.95113015170860526</c:v>
                </c:pt>
                <c:pt idx="226">
                  <c:v>0.9511419466359502</c:v>
                </c:pt>
                <c:pt idx="227">
                  <c:v>0.95082904278246749</c:v>
                </c:pt>
                <c:pt idx="228">
                  <c:v>0.95042077690064475</c:v>
                </c:pt>
                <c:pt idx="229">
                  <c:v>0.95013279156332897</c:v>
                </c:pt>
                <c:pt idx="230">
                  <c:v>0.95008264478169391</c:v>
                </c:pt>
                <c:pt idx="231">
                  <c:v>0.95004006240405059</c:v>
                </c:pt>
                <c:pt idx="232">
                  <c:v>0.94981498062880854</c:v>
                </c:pt>
                <c:pt idx="233">
                  <c:v>0.9494043671733331</c:v>
                </c:pt>
                <c:pt idx="234">
                  <c:v>0.9490299862348226</c:v>
                </c:pt>
                <c:pt idx="235">
                  <c:v>0.94882900784600688</c:v>
                </c:pt>
                <c:pt idx="236">
                  <c:v>0.94875560541287562</c:v>
                </c:pt>
                <c:pt idx="237">
                  <c:v>0.94852039157495915</c:v>
                </c:pt>
                <c:pt idx="238">
                  <c:v>0.9482408998895393</c:v>
                </c:pt>
                <c:pt idx="239">
                  <c:v>0.94797359439373974</c:v>
                </c:pt>
                <c:pt idx="240">
                  <c:v>0.94775879955582276</c:v>
                </c:pt>
                <c:pt idx="241">
                  <c:v>0.9476604296987402</c:v>
                </c:pt>
                <c:pt idx="242">
                  <c:v>0.94731955874386131</c:v>
                </c:pt>
                <c:pt idx="243">
                  <c:v>0.94679413426443759</c:v>
                </c:pt>
                <c:pt idx="244">
                  <c:v>0.94633689538780597</c:v>
                </c:pt>
                <c:pt idx="245">
                  <c:v>0.9460553332728453</c:v>
                </c:pt>
                <c:pt idx="246">
                  <c:v>0.94614079147483843</c:v>
                </c:pt>
                <c:pt idx="247">
                  <c:v>0.94607686900058907</c:v>
                </c:pt>
                <c:pt idx="248">
                  <c:v>0.94574648061417288</c:v>
                </c:pt>
                <c:pt idx="249">
                  <c:v>0.94566355746567266</c:v>
                </c:pt>
                <c:pt idx="250">
                  <c:v>0.94541634491797621</c:v>
                </c:pt>
                <c:pt idx="251">
                  <c:v>0.94541772248723766</c:v>
                </c:pt>
                <c:pt idx="252">
                  <c:v>0.94535305009362702</c:v>
                </c:pt>
                <c:pt idx="253">
                  <c:v>0.94485381573276528</c:v>
                </c:pt>
                <c:pt idx="254">
                  <c:v>0.94446464834076227</c:v>
                </c:pt>
                <c:pt idx="255">
                  <c:v>0.94438000526850951</c:v>
                </c:pt>
                <c:pt idx="256">
                  <c:v>0.9444085511120216</c:v>
                </c:pt>
                <c:pt idx="257">
                  <c:v>0.94444206109565332</c:v>
                </c:pt>
                <c:pt idx="258">
                  <c:v>0.94425982253957153</c:v>
                </c:pt>
                <c:pt idx="259">
                  <c:v>0.94390339075794649</c:v>
                </c:pt>
                <c:pt idx="260">
                  <c:v>0.94321669285936649</c:v>
                </c:pt>
                <c:pt idx="261">
                  <c:v>0.94288266899430773</c:v>
                </c:pt>
                <c:pt idx="262">
                  <c:v>0.94268611675998293</c:v>
                </c:pt>
                <c:pt idx="263">
                  <c:v>0.94224688409931878</c:v>
                </c:pt>
                <c:pt idx="264">
                  <c:v>0.94179428331091064</c:v>
                </c:pt>
                <c:pt idx="265">
                  <c:v>0.94152088064465222</c:v>
                </c:pt>
                <c:pt idx="266">
                  <c:v>0.94147679842828635</c:v>
                </c:pt>
                <c:pt idx="267">
                  <c:v>0.94137064408218218</c:v>
                </c:pt>
                <c:pt idx="268">
                  <c:v>0.94101375582790259</c:v>
                </c:pt>
                <c:pt idx="269">
                  <c:v>0.94065351739038949</c:v>
                </c:pt>
                <c:pt idx="270">
                  <c:v>0.94044481972293137</c:v>
                </c:pt>
                <c:pt idx="271">
                  <c:v>0.94033578796884321</c:v>
                </c:pt>
                <c:pt idx="272">
                  <c:v>0.94027029229419468</c:v>
                </c:pt>
                <c:pt idx="273">
                  <c:v>0.93994093097125142</c:v>
                </c:pt>
                <c:pt idx="274">
                  <c:v>0.93956871012655319</c:v>
                </c:pt>
                <c:pt idx="275">
                  <c:v>0.93937589118643994</c:v>
                </c:pt>
                <c:pt idx="276">
                  <c:v>0.93933990320839711</c:v>
                </c:pt>
                <c:pt idx="277">
                  <c:v>0.93904034302876638</c:v>
                </c:pt>
                <c:pt idx="278">
                  <c:v>0.93881140568985177</c:v>
                </c:pt>
                <c:pt idx="279">
                  <c:v>0.93844012224435513</c:v>
                </c:pt>
                <c:pt idx="280">
                  <c:v>0.93821356508428277</c:v>
                </c:pt>
                <c:pt idx="281">
                  <c:v>0.93829556713617623</c:v>
                </c:pt>
                <c:pt idx="282">
                  <c:v>0.93839542868068393</c:v>
                </c:pt>
                <c:pt idx="283">
                  <c:v>0.93809210260165199</c:v>
                </c:pt>
                <c:pt idx="284">
                  <c:v>0.93795758989187616</c:v>
                </c:pt>
                <c:pt idx="285">
                  <c:v>0.93776564314058508</c:v>
                </c:pt>
                <c:pt idx="286">
                  <c:v>0.93758514896214795</c:v>
                </c:pt>
                <c:pt idx="287">
                  <c:v>0.93740085627912006</c:v>
                </c:pt>
                <c:pt idx="288">
                  <c:v>0.93697971134739755</c:v>
                </c:pt>
                <c:pt idx="289">
                  <c:v>0.93680502904401008</c:v>
                </c:pt>
                <c:pt idx="290">
                  <c:v>0.93638221309631953</c:v>
                </c:pt>
                <c:pt idx="291">
                  <c:v>0.93806509735334953</c:v>
                </c:pt>
                <c:pt idx="292">
                  <c:v>0.93845255297289765</c:v>
                </c:pt>
                <c:pt idx="293">
                  <c:v>0.93784530577012326</c:v>
                </c:pt>
                <c:pt idx="294">
                  <c:v>0.9373352790914975</c:v>
                </c:pt>
                <c:pt idx="295">
                  <c:v>0.93710630099609593</c:v>
                </c:pt>
                <c:pt idx="296">
                  <c:v>0.93711703625477816</c:v>
                </c:pt>
                <c:pt idx="297">
                  <c:v>0.93705039939849299</c:v>
                </c:pt>
                <c:pt idx="298">
                  <c:v>0.93668483001247715</c:v>
                </c:pt>
                <c:pt idx="299">
                  <c:v>0.93632028768993425</c:v>
                </c:pt>
                <c:pt idx="300">
                  <c:v>0.93430651781734642</c:v>
                </c:pt>
                <c:pt idx="301">
                  <c:v>0.93485038868279746</c:v>
                </c:pt>
                <c:pt idx="302">
                  <c:v>0.9342765373454911</c:v>
                </c:pt>
                <c:pt idx="303">
                  <c:v>0.93366813265848525</c:v>
                </c:pt>
                <c:pt idx="304">
                  <c:v>0.93349757491158469</c:v>
                </c:pt>
                <c:pt idx="305">
                  <c:v>0.93363860865928461</c:v>
                </c:pt>
                <c:pt idx="306">
                  <c:v>0.93362494708483401</c:v>
                </c:pt>
                <c:pt idx="307">
                  <c:v>0.9331585869064063</c:v>
                </c:pt>
                <c:pt idx="308">
                  <c:v>0.93253252650922147</c:v>
                </c:pt>
                <c:pt idx="309">
                  <c:v>0.9323082598637199</c:v>
                </c:pt>
                <c:pt idx="310">
                  <c:v>0.93244814427848577</c:v>
                </c:pt>
                <c:pt idx="311">
                  <c:v>0.93243765355872565</c:v>
                </c:pt>
                <c:pt idx="312">
                  <c:v>0.93212907804416489</c:v>
                </c:pt>
                <c:pt idx="313">
                  <c:v>0.93167902046054718</c:v>
                </c:pt>
                <c:pt idx="314">
                  <c:v>0.93148506849009449</c:v>
                </c:pt>
                <c:pt idx="315">
                  <c:v>0.93145870719428703</c:v>
                </c:pt>
                <c:pt idx="316">
                  <c:v>0.9313061801172462</c:v>
                </c:pt>
                <c:pt idx="317">
                  <c:v>0.93081397217474748</c:v>
                </c:pt>
                <c:pt idx="318">
                  <c:v>0.93031395528933492</c:v>
                </c:pt>
                <c:pt idx="319">
                  <c:v>0.93014719604702512</c:v>
                </c:pt>
                <c:pt idx="320">
                  <c:v>0.9301319449695804</c:v>
                </c:pt>
                <c:pt idx="321">
                  <c:v>0.93007366319313534</c:v>
                </c:pt>
                <c:pt idx="322">
                  <c:v>0.92967482021111258</c:v>
                </c:pt>
                <c:pt idx="323">
                  <c:v>0.92925219174326223</c:v>
                </c:pt>
                <c:pt idx="324">
                  <c:v>0.92913050917560169</c:v>
                </c:pt>
                <c:pt idx="325">
                  <c:v>0.92916118250773638</c:v>
                </c:pt>
                <c:pt idx="326">
                  <c:v>0.92918654934526057</c:v>
                </c:pt>
                <c:pt idx="327">
                  <c:v>0.92891819233209583</c:v>
                </c:pt>
                <c:pt idx="328">
                  <c:v>0.92854795225266684</c:v>
                </c:pt>
                <c:pt idx="329">
                  <c:v>0.92835242708181509</c:v>
                </c:pt>
                <c:pt idx="330">
                  <c:v>0.92844434111135299</c:v>
                </c:pt>
                <c:pt idx="331">
                  <c:v>0.92848702130456506</c:v>
                </c:pt>
                <c:pt idx="332">
                  <c:v>0.9280049698786329</c:v>
                </c:pt>
                <c:pt idx="333">
                  <c:v>0.9274707175441198</c:v>
                </c:pt>
                <c:pt idx="334">
                  <c:v>0.92732223351059162</c:v>
                </c:pt>
                <c:pt idx="335">
                  <c:v>0.92760743110419508</c:v>
                </c:pt>
                <c:pt idx="336">
                  <c:v>0.9276269942179669</c:v>
                </c:pt>
                <c:pt idx="337">
                  <c:v>0.92732110863154982</c:v>
                </c:pt>
                <c:pt idx="338">
                  <c:v>0.926842203606416</c:v>
                </c:pt>
                <c:pt idx="339">
                  <c:v>0.9266576582331687</c:v>
                </c:pt>
                <c:pt idx="340">
                  <c:v>0.92687178466469855</c:v>
                </c:pt>
                <c:pt idx="341">
                  <c:v>0.92695280856090345</c:v>
                </c:pt>
                <c:pt idx="342">
                  <c:v>0.92648869814055945</c:v>
                </c:pt>
                <c:pt idx="343">
                  <c:v>0.92592010439007932</c:v>
                </c:pt>
                <c:pt idx="344">
                  <c:v>0.92552165267033193</c:v>
                </c:pt>
                <c:pt idx="345">
                  <c:v>0.92539952993261154</c:v>
                </c:pt>
                <c:pt idx="346">
                  <c:v>0.92524655453421334</c:v>
                </c:pt>
                <c:pt idx="347">
                  <c:v>0.92494370123043101</c:v>
                </c:pt>
                <c:pt idx="348">
                  <c:v>0.92451420937016582</c:v>
                </c:pt>
                <c:pt idx="349">
                  <c:v>0.9240590327717777</c:v>
                </c:pt>
                <c:pt idx="350">
                  <c:v>0.92388584215581537</c:v>
                </c:pt>
                <c:pt idx="351">
                  <c:v>0.92391506455701211</c:v>
                </c:pt>
                <c:pt idx="352">
                  <c:v>0.92383093501649582</c:v>
                </c:pt>
                <c:pt idx="353">
                  <c:v>0.92365189176899676</c:v>
                </c:pt>
                <c:pt idx="354">
                  <c:v>0.92339876953068178</c:v>
                </c:pt>
                <c:pt idx="355">
                  <c:v>0.92349592484445109</c:v>
                </c:pt>
                <c:pt idx="356">
                  <c:v>0.92359408276780108</c:v>
                </c:pt>
                <c:pt idx="357">
                  <c:v>0.92328968071751183</c:v>
                </c:pt>
                <c:pt idx="358">
                  <c:v>0.92291957105884137</c:v>
                </c:pt>
                <c:pt idx="359">
                  <c:v>0.92238407972712255</c:v>
                </c:pt>
                <c:pt idx="360">
                  <c:v>0.92235847650197367</c:v>
                </c:pt>
                <c:pt idx="361">
                  <c:v>0.92235513447003781</c:v>
                </c:pt>
                <c:pt idx="362">
                  <c:v>0.92194608606366402</c:v>
                </c:pt>
                <c:pt idx="363">
                  <c:v>0.9215006258117826</c:v>
                </c:pt>
                <c:pt idx="364">
                  <c:v>0.92112944833315225</c:v>
                </c:pt>
                <c:pt idx="365">
                  <c:v>0.92104428357786561</c:v>
                </c:pt>
                <c:pt idx="366">
                  <c:v>0.92101601487846529</c:v>
                </c:pt>
                <c:pt idx="367">
                  <c:v>0.92037509466611134</c:v>
                </c:pt>
                <c:pt idx="368">
                  <c:v>0.91977178453998354</c:v>
                </c:pt>
                <c:pt idx="369">
                  <c:v>0.91918888526255782</c:v>
                </c:pt>
                <c:pt idx="370">
                  <c:v>0.91921685236395412</c:v>
                </c:pt>
                <c:pt idx="371">
                  <c:v>0.91941794487093342</c:v>
                </c:pt>
                <c:pt idx="372">
                  <c:v>0.91928270669568846</c:v>
                </c:pt>
                <c:pt idx="373">
                  <c:v>0.91885250567254906</c:v>
                </c:pt>
                <c:pt idx="374">
                  <c:v>0.91852922521746994</c:v>
                </c:pt>
                <c:pt idx="375">
                  <c:v>0.9188490006146649</c:v>
                </c:pt>
                <c:pt idx="376">
                  <c:v>0.91828913690370539</c:v>
                </c:pt>
                <c:pt idx="377">
                  <c:v>0.91778908741310317</c:v>
                </c:pt>
                <c:pt idx="378">
                  <c:v>0.91729402651651282</c:v>
                </c:pt>
                <c:pt idx="379">
                  <c:v>0.91706645859556235</c:v>
                </c:pt>
                <c:pt idx="380">
                  <c:v>0.91684502045026017</c:v>
                </c:pt>
                <c:pt idx="381">
                  <c:v>0.91642879890217022</c:v>
                </c:pt>
                <c:pt idx="382">
                  <c:v>0.91635542907422851</c:v>
                </c:pt>
                <c:pt idx="383">
                  <c:v>0.91592818697204703</c:v>
                </c:pt>
                <c:pt idx="384">
                  <c:v>0.9155758715956116</c:v>
                </c:pt>
                <c:pt idx="385">
                  <c:v>0.91516736117486663</c:v>
                </c:pt>
                <c:pt idx="386">
                  <c:v>0.91466694487588129</c:v>
                </c:pt>
                <c:pt idx="387">
                  <c:v>0.91462053953975508</c:v>
                </c:pt>
                <c:pt idx="388">
                  <c:v>0.91411274631661821</c:v>
                </c:pt>
                <c:pt idx="389">
                  <c:v>0.91419059120683521</c:v>
                </c:pt>
                <c:pt idx="390">
                  <c:v>0.91425951042639375</c:v>
                </c:pt>
                <c:pt idx="391">
                  <c:v>0.91402284565753944</c:v>
                </c:pt>
                <c:pt idx="392">
                  <c:v>0.91332112491784201</c:v>
                </c:pt>
                <c:pt idx="393">
                  <c:v>0.9129210021821268</c:v>
                </c:pt>
                <c:pt idx="394">
                  <c:v>0.9132315584619568</c:v>
                </c:pt>
                <c:pt idx="395">
                  <c:v>0.91332114122043695</c:v>
                </c:pt>
                <c:pt idx="396">
                  <c:v>0.91328839745876134</c:v>
                </c:pt>
                <c:pt idx="397">
                  <c:v>0.91258576377375455</c:v>
                </c:pt>
                <c:pt idx="398">
                  <c:v>0.91202299004962162</c:v>
                </c:pt>
                <c:pt idx="399">
                  <c:v>0.9121196073777621</c:v>
                </c:pt>
                <c:pt idx="400">
                  <c:v>0.91223736102007358</c:v>
                </c:pt>
                <c:pt idx="401">
                  <c:v>0.91210059855221381</c:v>
                </c:pt>
                <c:pt idx="402">
                  <c:v>0.91114270698897215</c:v>
                </c:pt>
                <c:pt idx="403">
                  <c:v>0.91026268476983963</c:v>
                </c:pt>
                <c:pt idx="404">
                  <c:v>0.91079758105684794</c:v>
                </c:pt>
                <c:pt idx="405">
                  <c:v>0.91112995020853349</c:v>
                </c:pt>
                <c:pt idx="406">
                  <c:v>0.91109829056941272</c:v>
                </c:pt>
                <c:pt idx="407">
                  <c:v>0.91103136026642095</c:v>
                </c:pt>
                <c:pt idx="408">
                  <c:v>0.91066804878978624</c:v>
                </c:pt>
                <c:pt idx="409">
                  <c:v>0.91063365031473753</c:v>
                </c:pt>
                <c:pt idx="410">
                  <c:v>0.91245062341407845</c:v>
                </c:pt>
                <c:pt idx="411">
                  <c:v>0.91193168736738905</c:v>
                </c:pt>
                <c:pt idx="412">
                  <c:v>0.91153881113506674</c:v>
                </c:pt>
                <c:pt idx="413">
                  <c:v>0.91094767089596462</c:v>
                </c:pt>
                <c:pt idx="414">
                  <c:v>0.91046645090236777</c:v>
                </c:pt>
                <c:pt idx="415">
                  <c:v>0.91039187468241023</c:v>
                </c:pt>
                <c:pt idx="416">
                  <c:v>0.91052447183729601</c:v>
                </c:pt>
                <c:pt idx="417">
                  <c:v>0.91016342642133996</c:v>
                </c:pt>
                <c:pt idx="418">
                  <c:v>0.90955312248203879</c:v>
                </c:pt>
                <c:pt idx="419">
                  <c:v>0.90901129759223631</c:v>
                </c:pt>
                <c:pt idx="420">
                  <c:v>0.90892499980661046</c:v>
                </c:pt>
                <c:pt idx="421">
                  <c:v>0.90897535037068067</c:v>
                </c:pt>
                <c:pt idx="422">
                  <c:v>0.90870748243536015</c:v>
                </c:pt>
                <c:pt idx="423">
                  <c:v>0.90813791052919146</c:v>
                </c:pt>
                <c:pt idx="424">
                  <c:v>0.90762317240066559</c:v>
                </c:pt>
                <c:pt idx="425">
                  <c:v>0.90747252827332525</c:v>
                </c:pt>
                <c:pt idx="426">
                  <c:v>0.90761508631363996</c:v>
                </c:pt>
                <c:pt idx="427">
                  <c:v>0.9073273536665436</c:v>
                </c:pt>
                <c:pt idx="428">
                  <c:v>0.90676620205059411</c:v>
                </c:pt>
                <c:pt idx="429">
                  <c:v>0.90628042548174803</c:v>
                </c:pt>
                <c:pt idx="430">
                  <c:v>0.90621133508494389</c:v>
                </c:pt>
                <c:pt idx="431">
                  <c:v>0.90617346415720057</c:v>
                </c:pt>
                <c:pt idx="432">
                  <c:v>0.90589534188974474</c:v>
                </c:pt>
                <c:pt idx="433">
                  <c:v>0.90529478690213994</c:v>
                </c:pt>
                <c:pt idx="434">
                  <c:v>0.90484012383548829</c:v>
                </c:pt>
                <c:pt idx="435">
                  <c:v>0.90491329803229237</c:v>
                </c:pt>
                <c:pt idx="436">
                  <c:v>0.90502469366262794</c:v>
                </c:pt>
                <c:pt idx="437">
                  <c:v>0.90488265730534723</c:v>
                </c:pt>
                <c:pt idx="438">
                  <c:v>0.90439578031135137</c:v>
                </c:pt>
                <c:pt idx="439">
                  <c:v>0.90438961793051331</c:v>
                </c:pt>
                <c:pt idx="440">
                  <c:v>0.90210084773737542</c:v>
                </c:pt>
                <c:pt idx="441">
                  <c:v>0.90072195796576449</c:v>
                </c:pt>
                <c:pt idx="442">
                  <c:v>0.8997557520791698</c:v>
                </c:pt>
                <c:pt idx="443">
                  <c:v>0.89883927725804247</c:v>
                </c:pt>
                <c:pt idx="444">
                  <c:v>0.89840032989278762</c:v>
                </c:pt>
                <c:pt idx="445">
                  <c:v>0.89861971391114348</c:v>
                </c:pt>
                <c:pt idx="446">
                  <c:v>0.89854327919537758</c:v>
                </c:pt>
                <c:pt idx="447">
                  <c:v>0.89837710684648087</c:v>
                </c:pt>
                <c:pt idx="448">
                  <c:v>0.8981677407726355</c:v>
                </c:pt>
                <c:pt idx="449">
                  <c:v>0.89797413930797132</c:v>
                </c:pt>
                <c:pt idx="450">
                  <c:v>0.89924995592389712</c:v>
                </c:pt>
                <c:pt idx="451">
                  <c:v>0.90048764077056265</c:v>
                </c:pt>
                <c:pt idx="452">
                  <c:v>0.90006974820650465</c:v>
                </c:pt>
                <c:pt idx="453">
                  <c:v>0.89974392454663521</c:v>
                </c:pt>
                <c:pt idx="454">
                  <c:v>0.90001327601808345</c:v>
                </c:pt>
                <c:pt idx="455">
                  <c:v>0.90019148783324709</c:v>
                </c:pt>
                <c:pt idx="456">
                  <c:v>0.89989886440770794</c:v>
                </c:pt>
                <c:pt idx="457">
                  <c:v>0.89953415090791966</c:v>
                </c:pt>
                <c:pt idx="458">
                  <c:v>0.89909734733388225</c:v>
                </c:pt>
                <c:pt idx="459">
                  <c:v>0.8992883974424587</c:v>
                </c:pt>
                <c:pt idx="460">
                  <c:v>0.89957888522807783</c:v>
                </c:pt>
                <c:pt idx="461">
                  <c:v>0.89927380662010392</c:v>
                </c:pt>
                <c:pt idx="462">
                  <c:v>0.89872115680734777</c:v>
                </c:pt>
                <c:pt idx="463">
                  <c:v>0.89834601779817858</c:v>
                </c:pt>
                <c:pt idx="464">
                  <c:v>0.89835653297183093</c:v>
                </c:pt>
                <c:pt idx="465">
                  <c:v>0.89789956308801366</c:v>
                </c:pt>
                <c:pt idx="466">
                  <c:v>0.89445753918673054</c:v>
                </c:pt>
                <c:pt idx="467">
                  <c:v>0.89322783446022436</c:v>
                </c:pt>
                <c:pt idx="468">
                  <c:v>0.89265474119357668</c:v>
                </c:pt>
                <c:pt idx="469">
                  <c:v>0.89444496988613209</c:v>
                </c:pt>
                <c:pt idx="470">
                  <c:v>0.89488866130647671</c:v>
                </c:pt>
                <c:pt idx="471">
                  <c:v>0.89474776613083273</c:v>
                </c:pt>
                <c:pt idx="472">
                  <c:v>0.8947760103763408</c:v>
                </c:pt>
                <c:pt idx="473">
                  <c:v>0.89466729652285137</c:v>
                </c:pt>
                <c:pt idx="474">
                  <c:v>0.89431518492885109</c:v>
                </c:pt>
                <c:pt idx="475">
                  <c:v>0.8939997541731729</c:v>
                </c:pt>
                <c:pt idx="476">
                  <c:v>0.89405043078913926</c:v>
                </c:pt>
                <c:pt idx="477">
                  <c:v>0.89411253552406733</c:v>
                </c:pt>
                <c:pt idx="478">
                  <c:v>0.89397175446658694</c:v>
                </c:pt>
                <c:pt idx="479">
                  <c:v>0.89350373957478613</c:v>
                </c:pt>
                <c:pt idx="480">
                  <c:v>0.89327049835084171</c:v>
                </c:pt>
                <c:pt idx="481">
                  <c:v>0.89324191175084267</c:v>
                </c:pt>
                <c:pt idx="482">
                  <c:v>0.89332439472928316</c:v>
                </c:pt>
                <c:pt idx="483">
                  <c:v>0.89231924194368761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0D9-47C5-A94A-FB482CEB8F42}"/>
            </c:ext>
          </c:extLst>
        </c:ser>
        <c:ser>
          <c:idx val="1"/>
          <c:order val="1"/>
          <c:tx>
            <c:v>435-2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大小中检!$V$3:$V$495</c:f>
              <c:numCache>
                <c:formatCode>General</c:formatCode>
                <c:ptCount val="49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</c:numCache>
            </c:numRef>
          </c:xVal>
          <c:yVal>
            <c:numRef>
              <c:f>大小中检!$X$3:$X$495</c:f>
              <c:numCache>
                <c:formatCode>0.00%</c:formatCode>
                <c:ptCount val="493"/>
                <c:pt idx="0">
                  <c:v>1</c:v>
                </c:pt>
                <c:pt idx="1">
                  <c:v>1.0007394469273114</c:v>
                </c:pt>
                <c:pt idx="2">
                  <c:v>1.0004035364254282</c:v>
                </c:pt>
                <c:pt idx="3">
                  <c:v>1.0003512811424864</c:v>
                </c:pt>
                <c:pt idx="4">
                  <c:v>1.0002518125383293</c:v>
                </c:pt>
                <c:pt idx="5">
                  <c:v>1.0002505806026971</c:v>
                </c:pt>
                <c:pt idx="6">
                  <c:v>1.0002228090206309</c:v>
                </c:pt>
                <c:pt idx="7">
                  <c:v>0.99970351143834701</c:v>
                </c:pt>
                <c:pt idx="8">
                  <c:v>0.99955052298155933</c:v>
                </c:pt>
                <c:pt idx="9">
                  <c:v>0.99911533967985788</c:v>
                </c:pt>
                <c:pt idx="10">
                  <c:v>0.99920617657607547</c:v>
                </c:pt>
                <c:pt idx="11">
                  <c:v>0.99902274870310426</c:v>
                </c:pt>
                <c:pt idx="12">
                  <c:v>0.99846754550017613</c:v>
                </c:pt>
                <c:pt idx="13">
                  <c:v>0.99833541836399464</c:v>
                </c:pt>
                <c:pt idx="14">
                  <c:v>0.99818214435921282</c:v>
                </c:pt>
                <c:pt idx="15">
                  <c:v>0.9981568611239533</c:v>
                </c:pt>
                <c:pt idx="16">
                  <c:v>0.99796270480491367</c:v>
                </c:pt>
                <c:pt idx="17">
                  <c:v>0.99786522687820189</c:v>
                </c:pt>
                <c:pt idx="18">
                  <c:v>0.99808247179220255</c:v>
                </c:pt>
                <c:pt idx="19">
                  <c:v>0.99776827109639399</c:v>
                </c:pt>
                <c:pt idx="20">
                  <c:v>0.99727925791852534</c:v>
                </c:pt>
                <c:pt idx="21">
                  <c:v>0.99650188205906776</c:v>
                </c:pt>
                <c:pt idx="22">
                  <c:v>0.99581655871443164</c:v>
                </c:pt>
                <c:pt idx="23">
                  <c:v>0.99579435123899562</c:v>
                </c:pt>
                <c:pt idx="24">
                  <c:v>0.99574894094940092</c:v>
                </c:pt>
                <c:pt idx="25">
                  <c:v>0.99534178214370339</c:v>
                </c:pt>
                <c:pt idx="26">
                  <c:v>0.99494684479215811</c:v>
                </c:pt>
                <c:pt idx="27">
                  <c:v>0.99500164553150561</c:v>
                </c:pt>
                <c:pt idx="28">
                  <c:v>0.99500109891105959</c:v>
                </c:pt>
                <c:pt idx="29">
                  <c:v>0.99507742996917092</c:v>
                </c:pt>
                <c:pt idx="30">
                  <c:v>0.99469945416848227</c:v>
                </c:pt>
                <c:pt idx="31">
                  <c:v>0.99431461705741842</c:v>
                </c:pt>
                <c:pt idx="32">
                  <c:v>0.99414095492584942</c:v>
                </c:pt>
                <c:pt idx="33">
                  <c:v>0.99433653898486007</c:v>
                </c:pt>
                <c:pt idx="34">
                  <c:v>0.99431848419311153</c:v>
                </c:pt>
                <c:pt idx="35">
                  <c:v>0.99375743133555883</c:v>
                </c:pt>
                <c:pt idx="36">
                  <c:v>0.99346350454733956</c:v>
                </c:pt>
                <c:pt idx="37">
                  <c:v>0.99309307537221247</c:v>
                </c:pt>
                <c:pt idx="38">
                  <c:v>0.99303303686679967</c:v>
                </c:pt>
                <c:pt idx="39">
                  <c:v>0.99292242373235395</c:v>
                </c:pt>
                <c:pt idx="40">
                  <c:v>0.99240864130561557</c:v>
                </c:pt>
                <c:pt idx="41">
                  <c:v>0.99170426783050813</c:v>
                </c:pt>
                <c:pt idx="42">
                  <c:v>0.99149877117684093</c:v>
                </c:pt>
                <c:pt idx="43">
                  <c:v>0.99165035636919985</c:v>
                </c:pt>
                <c:pt idx="44">
                  <c:v>0.99184871432301158</c:v>
                </c:pt>
                <c:pt idx="45">
                  <c:v>0.99157903463875841</c:v>
                </c:pt>
                <c:pt idx="46">
                  <c:v>0.9911698362045307</c:v>
                </c:pt>
                <c:pt idx="47">
                  <c:v>0.99106378367947834</c:v>
                </c:pt>
                <c:pt idx="48">
                  <c:v>0.99037444634589489</c:v>
                </c:pt>
                <c:pt idx="49">
                  <c:v>0.98961753203985148</c:v>
                </c:pt>
                <c:pt idx="50">
                  <c:v>0.98808551809979006</c:v>
                </c:pt>
                <c:pt idx="51">
                  <c:v>0.98734319937550818</c:v>
                </c:pt>
                <c:pt idx="52">
                  <c:v>0.98739550360953465</c:v>
                </c:pt>
                <c:pt idx="53">
                  <c:v>0.98849126548254485</c:v>
                </c:pt>
                <c:pt idx="54">
                  <c:v>0.98968334677326164</c:v>
                </c:pt>
                <c:pt idx="55">
                  <c:v>0.98987361148106578</c:v>
                </c:pt>
                <c:pt idx="56">
                  <c:v>0.98928738144893735</c:v>
                </c:pt>
                <c:pt idx="57">
                  <c:v>0.98923776952457065</c:v>
                </c:pt>
                <c:pt idx="58">
                  <c:v>0.98936090597819126</c:v>
                </c:pt>
                <c:pt idx="59">
                  <c:v>0.98922497697442957</c:v>
                </c:pt>
                <c:pt idx="60">
                  <c:v>0.98863607094966965</c:v>
                </c:pt>
                <c:pt idx="61">
                  <c:v>0.98795964038542483</c:v>
                </c:pt>
                <c:pt idx="62">
                  <c:v>0.98779155051900025</c:v>
                </c:pt>
                <c:pt idx="63">
                  <c:v>0.98760681728376976</c:v>
                </c:pt>
                <c:pt idx="64">
                  <c:v>0.98751559693738855</c:v>
                </c:pt>
                <c:pt idx="65">
                  <c:v>0.98689926198815536</c:v>
                </c:pt>
                <c:pt idx="66">
                  <c:v>0.98646679547165594</c:v>
                </c:pt>
                <c:pt idx="67">
                  <c:v>0.98625478832372071</c:v>
                </c:pt>
                <c:pt idx="68">
                  <c:v>0.98629904826282433</c:v>
                </c:pt>
                <c:pt idx="69">
                  <c:v>0.9865036719554805</c:v>
                </c:pt>
                <c:pt idx="70">
                  <c:v>0.98591568784281625</c:v>
                </c:pt>
                <c:pt idx="71">
                  <c:v>0.9850859016886484</c:v>
                </c:pt>
                <c:pt idx="72">
                  <c:v>0.98473363336595354</c:v>
                </c:pt>
                <c:pt idx="73">
                  <c:v>0.98461814144006377</c:v>
                </c:pt>
                <c:pt idx="74">
                  <c:v>0.9846059934125384</c:v>
                </c:pt>
                <c:pt idx="75">
                  <c:v>0.98367179459465648</c:v>
                </c:pt>
                <c:pt idx="76">
                  <c:v>0.98364256263856265</c:v>
                </c:pt>
                <c:pt idx="77">
                  <c:v>0.98345404385278035</c:v>
                </c:pt>
                <c:pt idx="78">
                  <c:v>0.98322026978917154</c:v>
                </c:pt>
                <c:pt idx="79">
                  <c:v>0.98245017132430934</c:v>
                </c:pt>
                <c:pt idx="80">
                  <c:v>0.98150325338291367</c:v>
                </c:pt>
                <c:pt idx="81">
                  <c:v>0.98219625388933707</c:v>
                </c:pt>
                <c:pt idx="82">
                  <c:v>0.98231336935953684</c:v>
                </c:pt>
                <c:pt idx="83">
                  <c:v>0.98189737488304674</c:v>
                </c:pt>
                <c:pt idx="84">
                  <c:v>0.98115847457618144</c:v>
                </c:pt>
                <c:pt idx="85">
                  <c:v>0.98046861509769434</c:v>
                </c:pt>
                <c:pt idx="86">
                  <c:v>0.9820781757144712</c:v>
                </c:pt>
                <c:pt idx="87">
                  <c:v>0.98184901121134038</c:v>
                </c:pt>
                <c:pt idx="88">
                  <c:v>0.98126926719793772</c:v>
                </c:pt>
                <c:pt idx="89">
                  <c:v>0.98102144417301351</c:v>
                </c:pt>
                <c:pt idx="90">
                  <c:v>0.98065491476763589</c:v>
                </c:pt>
                <c:pt idx="91">
                  <c:v>0.98060969212386595</c:v>
                </c:pt>
                <c:pt idx="92">
                  <c:v>0.98064018864964841</c:v>
                </c:pt>
                <c:pt idx="93">
                  <c:v>0.98069064090096958</c:v>
                </c:pt>
                <c:pt idx="94">
                  <c:v>0.98041335748155622</c:v>
                </c:pt>
                <c:pt idx="95">
                  <c:v>0.97990180232917268</c:v>
                </c:pt>
                <c:pt idx="96">
                  <c:v>0.97987668226419566</c:v>
                </c:pt>
                <c:pt idx="97">
                  <c:v>0.9798571752569335</c:v>
                </c:pt>
                <c:pt idx="98">
                  <c:v>0.97991653660567424</c:v>
                </c:pt>
                <c:pt idx="99">
                  <c:v>0.97960443264799457</c:v>
                </c:pt>
                <c:pt idx="100">
                  <c:v>0.9791563262599261</c:v>
                </c:pt>
                <c:pt idx="101">
                  <c:v>0.97898649862999387</c:v>
                </c:pt>
                <c:pt idx="102">
                  <c:v>0.9791411351066337</c:v>
                </c:pt>
                <c:pt idx="103">
                  <c:v>0.97898130981501319</c:v>
                </c:pt>
                <c:pt idx="104">
                  <c:v>0.97853634445488114</c:v>
                </c:pt>
                <c:pt idx="105">
                  <c:v>0.97795505032379548</c:v>
                </c:pt>
                <c:pt idx="106">
                  <c:v>0.97759362814825745</c:v>
                </c:pt>
                <c:pt idx="107">
                  <c:v>0.97751230407950429</c:v>
                </c:pt>
                <c:pt idx="108">
                  <c:v>0.97737595899152252</c:v>
                </c:pt>
                <c:pt idx="109">
                  <c:v>0.976950525114195</c:v>
                </c:pt>
                <c:pt idx="110">
                  <c:v>0.97640907716607384</c:v>
                </c:pt>
                <c:pt idx="111">
                  <c:v>0.97627826355066583</c:v>
                </c:pt>
                <c:pt idx="112">
                  <c:v>0.9763749337844797</c:v>
                </c:pt>
                <c:pt idx="113">
                  <c:v>0.97673868113654205</c:v>
                </c:pt>
                <c:pt idx="114">
                  <c:v>0.9766124199720132</c:v>
                </c:pt>
                <c:pt idx="115">
                  <c:v>0.97617367955815515</c:v>
                </c:pt>
                <c:pt idx="116">
                  <c:v>0.97596753838187245</c:v>
                </c:pt>
                <c:pt idx="117">
                  <c:v>0.97615412359980824</c:v>
                </c:pt>
                <c:pt idx="118">
                  <c:v>0.97617999424808444</c:v>
                </c:pt>
                <c:pt idx="119">
                  <c:v>0.97586890194615561</c:v>
                </c:pt>
                <c:pt idx="120">
                  <c:v>0.97533920225836812</c:v>
                </c:pt>
                <c:pt idx="121">
                  <c:v>0.97514699582420339</c:v>
                </c:pt>
                <c:pt idx="122">
                  <c:v>0.97529611714529774</c:v>
                </c:pt>
                <c:pt idx="123">
                  <c:v>0.9753321940947387</c:v>
                </c:pt>
                <c:pt idx="124">
                  <c:v>0.97502958664749517</c:v>
                </c:pt>
                <c:pt idx="125">
                  <c:v>0.97452017718432538</c:v>
                </c:pt>
                <c:pt idx="126">
                  <c:v>0.97415286456159222</c:v>
                </c:pt>
                <c:pt idx="127">
                  <c:v>0.9743114987101511</c:v>
                </c:pt>
                <c:pt idx="128">
                  <c:v>0.97430246723501979</c:v>
                </c:pt>
                <c:pt idx="129">
                  <c:v>0.97401781667735554</c:v>
                </c:pt>
                <c:pt idx="130">
                  <c:v>0.97357730586593327</c:v>
                </c:pt>
                <c:pt idx="131">
                  <c:v>0.9733624269210277</c:v>
                </c:pt>
                <c:pt idx="132">
                  <c:v>0.973472477117999</c:v>
                </c:pt>
                <c:pt idx="133">
                  <c:v>0.97354991773403088</c:v>
                </c:pt>
                <c:pt idx="134">
                  <c:v>0.97346704354759483</c:v>
                </c:pt>
                <c:pt idx="135">
                  <c:v>0.973010990766773</c:v>
                </c:pt>
                <c:pt idx="136">
                  <c:v>0.97268561290661926</c:v>
                </c:pt>
                <c:pt idx="137">
                  <c:v>0.97260576552892186</c:v>
                </c:pt>
                <c:pt idx="138">
                  <c:v>0.972827236553237</c:v>
                </c:pt>
                <c:pt idx="139">
                  <c:v>0.97265106975783311</c:v>
                </c:pt>
                <c:pt idx="140">
                  <c:v>0.97225438648426621</c:v>
                </c:pt>
                <c:pt idx="141">
                  <c:v>0.97193356923350571</c:v>
                </c:pt>
                <c:pt idx="142">
                  <c:v>0.97033359487082049</c:v>
                </c:pt>
                <c:pt idx="143">
                  <c:v>0.97221037945910016</c:v>
                </c:pt>
                <c:pt idx="144">
                  <c:v>0.97249940298033299</c:v>
                </c:pt>
                <c:pt idx="145">
                  <c:v>0.97237422689818209</c:v>
                </c:pt>
                <c:pt idx="146">
                  <c:v>0.97213784211005483</c:v>
                </c:pt>
                <c:pt idx="147">
                  <c:v>0.96990951530683689</c:v>
                </c:pt>
                <c:pt idx="148">
                  <c:v>0.96902652748208951</c:v>
                </c:pt>
                <c:pt idx="149">
                  <c:v>0.96873150745297809</c:v>
                </c:pt>
                <c:pt idx="150">
                  <c:v>0.96907919069073734</c:v>
                </c:pt>
                <c:pt idx="151">
                  <c:v>0.96933123166746182</c:v>
                </c:pt>
                <c:pt idx="152">
                  <c:v>0.96941622706756925</c:v>
                </c:pt>
                <c:pt idx="153">
                  <c:v>0.96932481091684908</c:v>
                </c:pt>
                <c:pt idx="154">
                  <c:v>0.96892802158259861</c:v>
                </c:pt>
                <c:pt idx="155">
                  <c:v>0.96852510520424362</c:v>
                </c:pt>
                <c:pt idx="156">
                  <c:v>0.96843245711789117</c:v>
                </c:pt>
                <c:pt idx="157">
                  <c:v>0.96750711844634418</c:v>
                </c:pt>
                <c:pt idx="158">
                  <c:v>0.96645038690488649</c:v>
                </c:pt>
                <c:pt idx="159">
                  <c:v>0.96567317421571131</c:v>
                </c:pt>
                <c:pt idx="160">
                  <c:v>0.96512980085825784</c:v>
                </c:pt>
                <c:pt idx="161">
                  <c:v>0.96550138854239009</c:v>
                </c:pt>
                <c:pt idx="162">
                  <c:v>0.96642946031616739</c:v>
                </c:pt>
                <c:pt idx="163">
                  <c:v>0.96611476195099744</c:v>
                </c:pt>
                <c:pt idx="164">
                  <c:v>0.96561517533882868</c:v>
                </c:pt>
                <c:pt idx="165">
                  <c:v>0.96514160622819012</c:v>
                </c:pt>
                <c:pt idx="166">
                  <c:v>0.96513419829736879</c:v>
                </c:pt>
                <c:pt idx="167">
                  <c:v>0.96518695124967191</c:v>
                </c:pt>
                <c:pt idx="168">
                  <c:v>0.96514451065921703</c:v>
                </c:pt>
                <c:pt idx="169">
                  <c:v>0.96463652893601826</c:v>
                </c:pt>
                <c:pt idx="170">
                  <c:v>0.96412957518559872</c:v>
                </c:pt>
                <c:pt idx="171">
                  <c:v>0.96418604026182664</c:v>
                </c:pt>
                <c:pt idx="172">
                  <c:v>0.96434078279915014</c:v>
                </c:pt>
                <c:pt idx="173">
                  <c:v>0.96431493662641643</c:v>
                </c:pt>
                <c:pt idx="174">
                  <c:v>0.96387064842295644</c:v>
                </c:pt>
                <c:pt idx="175">
                  <c:v>0.96341748375613334</c:v>
                </c:pt>
                <c:pt idx="176">
                  <c:v>0.9631827633048865</c:v>
                </c:pt>
                <c:pt idx="177">
                  <c:v>0.96319461762590353</c:v>
                </c:pt>
                <c:pt idx="178">
                  <c:v>0.96313336350188694</c:v>
                </c:pt>
                <c:pt idx="179">
                  <c:v>0.96264501932217617</c:v>
                </c:pt>
                <c:pt idx="180">
                  <c:v>0.96210625552520079</c:v>
                </c:pt>
                <c:pt idx="181">
                  <c:v>0.96192357007701446</c:v>
                </c:pt>
                <c:pt idx="182">
                  <c:v>0.96188577983960843</c:v>
                </c:pt>
                <c:pt idx="183">
                  <c:v>0.96175621447686077</c:v>
                </c:pt>
                <c:pt idx="184">
                  <c:v>0.96134266755460673</c:v>
                </c:pt>
                <c:pt idx="185">
                  <c:v>0.96072101325416703</c:v>
                </c:pt>
                <c:pt idx="186">
                  <c:v>0.96052259819075647</c:v>
                </c:pt>
                <c:pt idx="187">
                  <c:v>0.96057300149099301</c:v>
                </c:pt>
                <c:pt idx="188">
                  <c:v>0.96049973803419086</c:v>
                </c:pt>
                <c:pt idx="189">
                  <c:v>0.96022761079570162</c:v>
                </c:pt>
                <c:pt idx="190">
                  <c:v>0.95971093209645042</c:v>
                </c:pt>
                <c:pt idx="191">
                  <c:v>0.95943610438978721</c:v>
                </c:pt>
                <c:pt idx="192">
                  <c:v>0.95943325706835925</c:v>
                </c:pt>
                <c:pt idx="193">
                  <c:v>0.9593588677366085</c:v>
                </c:pt>
                <c:pt idx="194">
                  <c:v>0.95924963339104907</c:v>
                </c:pt>
                <c:pt idx="195">
                  <c:v>0.95881879857737373</c:v>
                </c:pt>
                <c:pt idx="196">
                  <c:v>0.95850431233357092</c:v>
                </c:pt>
                <c:pt idx="197">
                  <c:v>0.95881862724857736</c:v>
                </c:pt>
                <c:pt idx="198">
                  <c:v>0.95889227415554301</c:v>
                </c:pt>
                <c:pt idx="199">
                  <c:v>0.95873397450606301</c:v>
                </c:pt>
                <c:pt idx="200">
                  <c:v>0.95823912799059818</c:v>
                </c:pt>
                <c:pt idx="201">
                  <c:v>0.95788231537553825</c:v>
                </c:pt>
                <c:pt idx="202">
                  <c:v>0.95846601626828931</c:v>
                </c:pt>
                <c:pt idx="203">
                  <c:v>0.95891279281855613</c:v>
                </c:pt>
                <c:pt idx="204">
                  <c:v>0.95909267989639901</c:v>
                </c:pt>
                <c:pt idx="205">
                  <c:v>0.95878419016047467</c:v>
                </c:pt>
                <c:pt idx="206">
                  <c:v>0.95853263869459737</c:v>
                </c:pt>
                <c:pt idx="207">
                  <c:v>0.95822225618339707</c:v>
                </c:pt>
                <c:pt idx="208">
                  <c:v>0.95805123741040321</c:v>
                </c:pt>
                <c:pt idx="209">
                  <c:v>0.95784756010538485</c:v>
                </c:pt>
                <c:pt idx="210">
                  <c:v>0.9572680608474059</c:v>
                </c:pt>
                <c:pt idx="211">
                  <c:v>0.95676755232314137</c:v>
                </c:pt>
                <c:pt idx="212">
                  <c:v>0.95657040998793363</c:v>
                </c:pt>
                <c:pt idx="213">
                  <c:v>0.95739245371220116</c:v>
                </c:pt>
                <c:pt idx="214">
                  <c:v>0.95588346309898764</c:v>
                </c:pt>
                <c:pt idx="215">
                  <c:v>0.9546663759624916</c:v>
                </c:pt>
                <c:pt idx="216">
                  <c:v>0.95481915229791203</c:v>
                </c:pt>
                <c:pt idx="217">
                  <c:v>0.95753654938859722</c:v>
                </c:pt>
                <c:pt idx="218">
                  <c:v>0.95759487460604487</c:v>
                </c:pt>
                <c:pt idx="219">
                  <c:v>0.95665770608902301</c:v>
                </c:pt>
                <c:pt idx="220">
                  <c:v>0.95619382113464546</c:v>
                </c:pt>
                <c:pt idx="221">
                  <c:v>0.95579787212734946</c:v>
                </c:pt>
                <c:pt idx="222">
                  <c:v>0.95559313421549563</c:v>
                </c:pt>
                <c:pt idx="223">
                  <c:v>0.95544917723383938</c:v>
                </c:pt>
                <c:pt idx="224">
                  <c:v>0.95516523646690366</c:v>
                </c:pt>
                <c:pt idx="225">
                  <c:v>0.95398399784145294</c:v>
                </c:pt>
                <c:pt idx="226">
                  <c:v>0.95395781716964034</c:v>
                </c:pt>
                <c:pt idx="227">
                  <c:v>0.95388465977352177</c:v>
                </c:pt>
                <c:pt idx="228">
                  <c:v>0.95352353946300616</c:v>
                </c:pt>
                <c:pt idx="229">
                  <c:v>0.95318955437045527</c:v>
                </c:pt>
                <c:pt idx="230">
                  <c:v>0.95288464622222979</c:v>
                </c:pt>
                <c:pt idx="231">
                  <c:v>0.9528242732177381</c:v>
                </c:pt>
                <c:pt idx="232">
                  <c:v>0.95266988149652176</c:v>
                </c:pt>
                <c:pt idx="233">
                  <c:v>0.95235601529979208</c:v>
                </c:pt>
                <c:pt idx="234">
                  <c:v>0.95200147891017173</c:v>
                </c:pt>
                <c:pt idx="235">
                  <c:v>0.95179295544776588</c:v>
                </c:pt>
                <c:pt idx="236">
                  <c:v>0.95179103819694755</c:v>
                </c:pt>
                <c:pt idx="237">
                  <c:v>0.95174868735014806</c:v>
                </c:pt>
                <c:pt idx="238">
                  <c:v>0.95138218242031292</c:v>
                </c:pt>
                <c:pt idx="239">
                  <c:v>0.95106314372563072</c:v>
                </c:pt>
                <c:pt idx="240">
                  <c:v>0.9508396412312996</c:v>
                </c:pt>
                <c:pt idx="241">
                  <c:v>0.95066333574115569</c:v>
                </c:pt>
                <c:pt idx="242">
                  <c:v>0.9505426713173134</c:v>
                </c:pt>
                <c:pt idx="243">
                  <c:v>0.95030222358915406</c:v>
                </c:pt>
                <c:pt idx="244">
                  <c:v>0.94996068371252762</c:v>
                </c:pt>
                <c:pt idx="245">
                  <c:v>0.94971211826281843</c:v>
                </c:pt>
                <c:pt idx="246">
                  <c:v>0.949591168290982</c:v>
                </c:pt>
                <c:pt idx="247">
                  <c:v>0.9492641424109759</c:v>
                </c:pt>
                <c:pt idx="248">
                  <c:v>0.9488578402492609</c:v>
                </c:pt>
                <c:pt idx="249">
                  <c:v>0.94838036321035879</c:v>
                </c:pt>
                <c:pt idx="250">
                  <c:v>0.94797538272793125</c:v>
                </c:pt>
                <c:pt idx="251">
                  <c:v>0.94790618221116119</c:v>
                </c:pt>
                <c:pt idx="252">
                  <c:v>0.94795732793618248</c:v>
                </c:pt>
                <c:pt idx="253">
                  <c:v>0.9478014432068822</c:v>
                </c:pt>
                <c:pt idx="254">
                  <c:v>0.94751497330056911</c:v>
                </c:pt>
                <c:pt idx="255">
                  <c:v>0.94741997556215007</c:v>
                </c:pt>
                <c:pt idx="256">
                  <c:v>0.94718418634555346</c:v>
                </c:pt>
                <c:pt idx="257">
                  <c:v>0.94715480753620551</c:v>
                </c:pt>
                <c:pt idx="258">
                  <c:v>0.94704155104318477</c:v>
                </c:pt>
                <c:pt idx="259">
                  <c:v>0.94660480946528613</c:v>
                </c:pt>
                <c:pt idx="260">
                  <c:v>0.94620950498060563</c:v>
                </c:pt>
                <c:pt idx="261">
                  <c:v>0.9462078406437251</c:v>
                </c:pt>
                <c:pt idx="262">
                  <c:v>0.94626420781778364</c:v>
                </c:pt>
                <c:pt idx="263">
                  <c:v>0.94622871828135946</c:v>
                </c:pt>
                <c:pt idx="264">
                  <c:v>0.94601374143428429</c:v>
                </c:pt>
                <c:pt idx="265">
                  <c:v>0.94569411532658543</c:v>
                </c:pt>
                <c:pt idx="266">
                  <c:v>0.94494726046845268</c:v>
                </c:pt>
                <c:pt idx="267">
                  <c:v>0.94467059709611234</c:v>
                </c:pt>
                <c:pt idx="268">
                  <c:v>0.9445044081634778</c:v>
                </c:pt>
                <c:pt idx="269">
                  <c:v>0.94403517938235149</c:v>
                </c:pt>
                <c:pt idx="270">
                  <c:v>0.94360726531673123</c:v>
                </c:pt>
                <c:pt idx="271">
                  <c:v>0.94337096211374505</c:v>
                </c:pt>
                <c:pt idx="272">
                  <c:v>0.94329791077831016</c:v>
                </c:pt>
                <c:pt idx="273">
                  <c:v>0.94321078600601727</c:v>
                </c:pt>
                <c:pt idx="274">
                  <c:v>0.94283733002215153</c:v>
                </c:pt>
                <c:pt idx="275">
                  <c:v>0.94251050810499848</c:v>
                </c:pt>
                <c:pt idx="276">
                  <c:v>0.94229334477613902</c:v>
                </c:pt>
                <c:pt idx="277">
                  <c:v>0.94215717101695362</c:v>
                </c:pt>
                <c:pt idx="278">
                  <c:v>0.94208191688270615</c:v>
                </c:pt>
                <c:pt idx="279">
                  <c:v>0.94189400998548278</c:v>
                </c:pt>
                <c:pt idx="280">
                  <c:v>0.94150092461664303</c:v>
                </c:pt>
                <c:pt idx="281">
                  <c:v>0.94123797570653933</c:v>
                </c:pt>
                <c:pt idx="282">
                  <c:v>0.94119887194835983</c:v>
                </c:pt>
                <c:pt idx="283">
                  <c:v>0.94099827040316497</c:v>
                </c:pt>
                <c:pt idx="284">
                  <c:v>0.94070782730047531</c:v>
                </c:pt>
                <c:pt idx="285">
                  <c:v>0.94032361839499856</c:v>
                </c:pt>
                <c:pt idx="286">
                  <c:v>0.94008040493055234</c:v>
                </c:pt>
                <c:pt idx="287">
                  <c:v>0.94007045154332536</c:v>
                </c:pt>
                <c:pt idx="288">
                  <c:v>0.94021670922596357</c:v>
                </c:pt>
                <c:pt idx="289">
                  <c:v>0.93996049109000923</c:v>
                </c:pt>
                <c:pt idx="290">
                  <c:v>0.93984672876911302</c:v>
                </c:pt>
                <c:pt idx="291">
                  <c:v>0.93970465640421863</c:v>
                </c:pt>
                <c:pt idx="292">
                  <c:v>0.93951428563573092</c:v>
                </c:pt>
                <c:pt idx="293">
                  <c:v>0.93936087293620907</c:v>
                </c:pt>
                <c:pt idx="294">
                  <c:v>0.93904465708741258</c:v>
                </c:pt>
                <c:pt idx="295">
                  <c:v>0.93881579444930441</c:v>
                </c:pt>
                <c:pt idx="296">
                  <c:v>0.93845916132155494</c:v>
                </c:pt>
                <c:pt idx="297">
                  <c:v>0.94037960211889349</c:v>
                </c:pt>
                <c:pt idx="298">
                  <c:v>0.94066561514841573</c:v>
                </c:pt>
                <c:pt idx="299">
                  <c:v>0.94017924532912223</c:v>
                </c:pt>
                <c:pt idx="300">
                  <c:v>0.93846189442378536</c:v>
                </c:pt>
                <c:pt idx="301">
                  <c:v>0.93882463012009687</c:v>
                </c:pt>
                <c:pt idx="302">
                  <c:v>0.93849427556632958</c:v>
                </c:pt>
                <c:pt idx="303">
                  <c:v>0.9381000887980836</c:v>
                </c:pt>
                <c:pt idx="304">
                  <c:v>0.93756984248984998</c:v>
                </c:pt>
                <c:pt idx="305">
                  <c:v>0.93715153915386373</c:v>
                </c:pt>
                <c:pt idx="306">
                  <c:v>0.93693350286399335</c:v>
                </c:pt>
                <c:pt idx="307">
                  <c:v>0.9369306392255371</c:v>
                </c:pt>
                <c:pt idx="308">
                  <c:v>0.93645835916012965</c:v>
                </c:pt>
                <c:pt idx="309">
                  <c:v>0.93587820722102089</c:v>
                </c:pt>
                <c:pt idx="310">
                  <c:v>0.93561658814871884</c:v>
                </c:pt>
                <c:pt idx="311">
                  <c:v>0.93572545536114282</c:v>
                </c:pt>
                <c:pt idx="312">
                  <c:v>0.93575542974202164</c:v>
                </c:pt>
                <c:pt idx="313">
                  <c:v>0.93543018241809373</c:v>
                </c:pt>
                <c:pt idx="314">
                  <c:v>0.93481255026511545</c:v>
                </c:pt>
                <c:pt idx="315">
                  <c:v>0.93446407565148648</c:v>
                </c:pt>
                <c:pt idx="316">
                  <c:v>0.93453107336944408</c:v>
                </c:pt>
                <c:pt idx="317">
                  <c:v>0.93459864218339006</c:v>
                </c:pt>
                <c:pt idx="318">
                  <c:v>0.93434731915590807</c:v>
                </c:pt>
                <c:pt idx="319">
                  <c:v>0.93398013706940097</c:v>
                </c:pt>
                <c:pt idx="320">
                  <c:v>0.9336948501476352</c:v>
                </c:pt>
                <c:pt idx="321">
                  <c:v>0.93359499809331448</c:v>
                </c:pt>
                <c:pt idx="322">
                  <c:v>0.93356794446049096</c:v>
                </c:pt>
                <c:pt idx="323">
                  <c:v>0.93318955257558223</c:v>
                </c:pt>
                <c:pt idx="324">
                  <c:v>0.93272406039392297</c:v>
                </c:pt>
                <c:pt idx="325">
                  <c:v>0.93228562184508734</c:v>
                </c:pt>
                <c:pt idx="326">
                  <c:v>0.93230344819844058</c:v>
                </c:pt>
                <c:pt idx="327">
                  <c:v>0.93231503328849175</c:v>
                </c:pt>
                <c:pt idx="328">
                  <c:v>0.93213558677041131</c:v>
                </c:pt>
                <c:pt idx="329">
                  <c:v>0.9316627111334731</c:v>
                </c:pt>
                <c:pt idx="330">
                  <c:v>0.93131844631313043</c:v>
                </c:pt>
                <c:pt idx="331">
                  <c:v>0.93139190557427132</c:v>
                </c:pt>
                <c:pt idx="332">
                  <c:v>0.93149028909605047</c:v>
                </c:pt>
                <c:pt idx="333">
                  <c:v>0.93134400693786989</c:v>
                </c:pt>
                <c:pt idx="334">
                  <c:v>0.93099081670307937</c:v>
                </c:pt>
                <c:pt idx="335">
                  <c:v>0.93067989572994714</c:v>
                </c:pt>
                <c:pt idx="336">
                  <c:v>0.93063097727928068</c:v>
                </c:pt>
                <c:pt idx="337">
                  <c:v>0.93075511723013815</c:v>
                </c:pt>
                <c:pt idx="338">
                  <c:v>0.93054836416529652</c:v>
                </c:pt>
                <c:pt idx="339">
                  <c:v>0.93009085916896128</c:v>
                </c:pt>
                <c:pt idx="340">
                  <c:v>0.92964537982243955</c:v>
                </c:pt>
                <c:pt idx="341">
                  <c:v>0.92972210248922882</c:v>
                </c:pt>
                <c:pt idx="342">
                  <c:v>0.92986043825465592</c:v>
                </c:pt>
                <c:pt idx="343">
                  <c:v>0.92981541141522495</c:v>
                </c:pt>
                <c:pt idx="344">
                  <c:v>0.92949073518728553</c:v>
                </c:pt>
                <c:pt idx="345">
                  <c:v>0.92904892717211807</c:v>
                </c:pt>
                <c:pt idx="346">
                  <c:v>0.92897121732512034</c:v>
                </c:pt>
                <c:pt idx="347">
                  <c:v>0.92914998668652882</c:v>
                </c:pt>
                <c:pt idx="348">
                  <c:v>0.9290776696173646</c:v>
                </c:pt>
                <c:pt idx="349">
                  <c:v>0.92857314710415295</c:v>
                </c:pt>
                <c:pt idx="350">
                  <c:v>0.92805584019931442</c:v>
                </c:pt>
                <c:pt idx="351">
                  <c:v>0.92768868258834969</c:v>
                </c:pt>
                <c:pt idx="352">
                  <c:v>0.92762264757505841</c:v>
                </c:pt>
                <c:pt idx="353">
                  <c:v>0.92748141553711838</c:v>
                </c:pt>
                <c:pt idx="354">
                  <c:v>0.92714535818198085</c:v>
                </c:pt>
                <c:pt idx="355">
                  <c:v>0.92670796392295263</c:v>
                </c:pt>
                <c:pt idx="356">
                  <c:v>0.92625355916198326</c:v>
                </c:pt>
                <c:pt idx="357">
                  <c:v>0.92619708592724115</c:v>
                </c:pt>
                <c:pt idx="358">
                  <c:v>0.92616691574202348</c:v>
                </c:pt>
                <c:pt idx="359">
                  <c:v>0.92607615227243301</c:v>
                </c:pt>
                <c:pt idx="360">
                  <c:v>0.9258807640177612</c:v>
                </c:pt>
                <c:pt idx="361">
                  <c:v>0.9256642696870595</c:v>
                </c:pt>
                <c:pt idx="362">
                  <c:v>0.92576128257846646</c:v>
                </c:pt>
                <c:pt idx="363">
                  <c:v>0.92582240616625722</c:v>
                </c:pt>
                <c:pt idx="364">
                  <c:v>0.92551393274736105</c:v>
                </c:pt>
                <c:pt idx="365">
                  <c:v>0.92519480430902368</c:v>
                </c:pt>
                <c:pt idx="366">
                  <c:v>0.92469047760015088</c:v>
                </c:pt>
                <c:pt idx="367">
                  <c:v>0.92461324094697217</c:v>
                </c:pt>
                <c:pt idx="368">
                  <c:v>0.92463975611786375</c:v>
                </c:pt>
                <c:pt idx="369">
                  <c:v>0.92427416494161008</c:v>
                </c:pt>
                <c:pt idx="370">
                  <c:v>0.92381657836013364</c:v>
                </c:pt>
                <c:pt idx="371">
                  <c:v>0.92343607342006773</c:v>
                </c:pt>
                <c:pt idx="372">
                  <c:v>0.92332492182368997</c:v>
                </c:pt>
                <c:pt idx="373">
                  <c:v>0.92327623996993291</c:v>
                </c:pt>
                <c:pt idx="374">
                  <c:v>0.92275651814491488</c:v>
                </c:pt>
                <c:pt idx="375">
                  <c:v>0.92157297065996813</c:v>
                </c:pt>
                <c:pt idx="376">
                  <c:v>0.92153451958291821</c:v>
                </c:pt>
                <c:pt idx="377">
                  <c:v>0.92148808132054427</c:v>
                </c:pt>
                <c:pt idx="378">
                  <c:v>0.92141957427747456</c:v>
                </c:pt>
                <c:pt idx="379">
                  <c:v>0.92111918594607178</c:v>
                </c:pt>
                <c:pt idx="380">
                  <c:v>0.92078306332282145</c:v>
                </c:pt>
                <c:pt idx="381">
                  <c:v>0.92078650621578029</c:v>
                </c:pt>
                <c:pt idx="382">
                  <c:v>0.92093942124594075</c:v>
                </c:pt>
                <c:pt idx="383">
                  <c:v>0.92047578104698691</c:v>
                </c:pt>
                <c:pt idx="384">
                  <c:v>0.92004547653672941</c:v>
                </c:pt>
                <c:pt idx="385">
                  <c:v>0.91964718603588069</c:v>
                </c:pt>
                <c:pt idx="386">
                  <c:v>0.91934193523006225</c:v>
                </c:pt>
                <c:pt idx="387">
                  <c:v>0.9190964863327471</c:v>
                </c:pt>
                <c:pt idx="388">
                  <c:v>0.9188540642441706</c:v>
                </c:pt>
                <c:pt idx="389">
                  <c:v>0.91853891716072389</c:v>
                </c:pt>
                <c:pt idx="390">
                  <c:v>0.91846664904264452</c:v>
                </c:pt>
                <c:pt idx="391">
                  <c:v>0.91792090971609608</c:v>
                </c:pt>
                <c:pt idx="392">
                  <c:v>0.91762310763366961</c:v>
                </c:pt>
                <c:pt idx="393">
                  <c:v>0.917262468675487</c:v>
                </c:pt>
                <c:pt idx="394">
                  <c:v>0.91688521898255515</c:v>
                </c:pt>
                <c:pt idx="395">
                  <c:v>0.91679022124413601</c:v>
                </c:pt>
                <c:pt idx="396">
                  <c:v>0.9164786394313601</c:v>
                </c:pt>
                <c:pt idx="397">
                  <c:v>0.91660616516557758</c:v>
                </c:pt>
                <c:pt idx="398">
                  <c:v>0.91649458116795146</c:v>
                </c:pt>
                <c:pt idx="399">
                  <c:v>0.91603826731467786</c:v>
                </c:pt>
                <c:pt idx="400">
                  <c:v>0.9154770186527863</c:v>
                </c:pt>
                <c:pt idx="401">
                  <c:v>0.91542331931284526</c:v>
                </c:pt>
                <c:pt idx="402">
                  <c:v>0.91557488002966181</c:v>
                </c:pt>
                <c:pt idx="403">
                  <c:v>0.9157086225516391</c:v>
                </c:pt>
                <c:pt idx="404">
                  <c:v>0.915394119990808</c:v>
                </c:pt>
                <c:pt idx="405">
                  <c:v>0.91466023717012679</c:v>
                </c:pt>
                <c:pt idx="406">
                  <c:v>0.91447693167486732</c:v>
                </c:pt>
                <c:pt idx="407">
                  <c:v>0.91455813336590863</c:v>
                </c:pt>
                <c:pt idx="408">
                  <c:v>0.91459074294684828</c:v>
                </c:pt>
                <c:pt idx="409">
                  <c:v>0.91419796760154515</c:v>
                </c:pt>
                <c:pt idx="410">
                  <c:v>0.91321432818809301</c:v>
                </c:pt>
                <c:pt idx="411">
                  <c:v>0.91282690482805284</c:v>
                </c:pt>
                <c:pt idx="412">
                  <c:v>0.91337973390337202</c:v>
                </c:pt>
                <c:pt idx="413">
                  <c:v>0.91349077943906609</c:v>
                </c:pt>
                <c:pt idx="414">
                  <c:v>0.91346761741747806</c:v>
                </c:pt>
                <c:pt idx="415">
                  <c:v>0.91342118731361832</c:v>
                </c:pt>
                <c:pt idx="416">
                  <c:v>0.91296661122385236</c:v>
                </c:pt>
                <c:pt idx="417">
                  <c:v>0.91302950520920723</c:v>
                </c:pt>
                <c:pt idx="418">
                  <c:v>0.9158227112131001</c:v>
                </c:pt>
                <c:pt idx="419">
                  <c:v>0.91508035985476188</c:v>
                </c:pt>
                <c:pt idx="420">
                  <c:v>0.91467304603729593</c:v>
                </c:pt>
                <c:pt idx="421">
                  <c:v>0.91405136726131386</c:v>
                </c:pt>
                <c:pt idx="422">
                  <c:v>0.91353563494970069</c:v>
                </c:pt>
                <c:pt idx="423">
                  <c:v>0.91338901829244112</c:v>
                </c:pt>
                <c:pt idx="424">
                  <c:v>0.91352554286773358</c:v>
                </c:pt>
                <c:pt idx="425">
                  <c:v>0.91321162771991915</c:v>
                </c:pt>
                <c:pt idx="426">
                  <c:v>0.91262190584374703</c:v>
                </c:pt>
                <c:pt idx="427">
                  <c:v>0.91214589733738649</c:v>
                </c:pt>
                <c:pt idx="428">
                  <c:v>0.91197367926281692</c:v>
                </c:pt>
                <c:pt idx="429">
                  <c:v>0.91199577251905528</c:v>
                </c:pt>
                <c:pt idx="430">
                  <c:v>0.91178160336487801</c:v>
                </c:pt>
                <c:pt idx="431">
                  <c:v>0.91127814145850206</c:v>
                </c:pt>
                <c:pt idx="432">
                  <c:v>0.9108002891279503</c:v>
                </c:pt>
                <c:pt idx="433">
                  <c:v>0.9105097889156617</c:v>
                </c:pt>
                <c:pt idx="434">
                  <c:v>0.91058983209769795</c:v>
                </c:pt>
                <c:pt idx="435">
                  <c:v>0.91041356740012447</c:v>
                </c:pt>
                <c:pt idx="436">
                  <c:v>0.90993495632775956</c:v>
                </c:pt>
                <c:pt idx="437">
                  <c:v>0.90946376950324426</c:v>
                </c:pt>
                <c:pt idx="438">
                  <c:v>0.90918914575943399</c:v>
                </c:pt>
                <c:pt idx="439">
                  <c:v>0.90923484975553714</c:v>
                </c:pt>
                <c:pt idx="440">
                  <c:v>0.90906361070266195</c:v>
                </c:pt>
                <c:pt idx="441">
                  <c:v>0.90853431078206626</c:v>
                </c:pt>
                <c:pt idx="442">
                  <c:v>0.90804320902458291</c:v>
                </c:pt>
                <c:pt idx="443">
                  <c:v>0.9078597729930975</c:v>
                </c:pt>
                <c:pt idx="444">
                  <c:v>0.90805231392634134</c:v>
                </c:pt>
                <c:pt idx="445">
                  <c:v>0.90795927423131118</c:v>
                </c:pt>
                <c:pt idx="446">
                  <c:v>0.9075587727731359</c:v>
                </c:pt>
                <c:pt idx="447">
                  <c:v>0.90725689143364918</c:v>
                </c:pt>
                <c:pt idx="448">
                  <c:v>0.90655042122041274</c:v>
                </c:pt>
                <c:pt idx="449">
                  <c:v>0.90434479140347812</c:v>
                </c:pt>
                <c:pt idx="450">
                  <c:v>0.90079422237526507</c:v>
                </c:pt>
                <c:pt idx="451">
                  <c:v>0.90189881176055353</c:v>
                </c:pt>
                <c:pt idx="452">
                  <c:v>0.90195936425235601</c:v>
                </c:pt>
                <c:pt idx="453">
                  <c:v>0.90226807426816158</c:v>
                </c:pt>
                <c:pt idx="454">
                  <c:v>0.90351543765055875</c:v>
                </c:pt>
                <c:pt idx="455">
                  <c:v>0.90370841914356503</c:v>
                </c:pt>
                <c:pt idx="456">
                  <c:v>0.90348168587764233</c:v>
                </c:pt>
                <c:pt idx="457">
                  <c:v>0.90345951919477685</c:v>
                </c:pt>
                <c:pt idx="458">
                  <c:v>0.90351663695213447</c:v>
                </c:pt>
                <c:pt idx="459">
                  <c:v>0.9035729306995659</c:v>
                </c:pt>
                <c:pt idx="460">
                  <c:v>0.903382143846858</c:v>
                </c:pt>
                <c:pt idx="461">
                  <c:v>0.90295282651680908</c:v>
                </c:pt>
                <c:pt idx="462">
                  <c:v>0.90282695696095805</c:v>
                </c:pt>
                <c:pt idx="463">
                  <c:v>0.90299512025400985</c:v>
                </c:pt>
                <c:pt idx="464">
                  <c:v>0.9030909175268127</c:v>
                </c:pt>
                <c:pt idx="465">
                  <c:v>0.90277707580562538</c:v>
                </c:pt>
                <c:pt idx="466">
                  <c:v>0.9023409461162859</c:v>
                </c:pt>
                <c:pt idx="467">
                  <c:v>0.90217824902769483</c:v>
                </c:pt>
                <c:pt idx="468">
                  <c:v>0.90243650679217935</c:v>
                </c:pt>
                <c:pt idx="469">
                  <c:v>0.90256105466874281</c:v>
                </c:pt>
                <c:pt idx="470">
                  <c:v>0.90209366155329351</c:v>
                </c:pt>
                <c:pt idx="471">
                  <c:v>0.90164929992320642</c:v>
                </c:pt>
                <c:pt idx="472">
                  <c:v>0.90133202346757435</c:v>
                </c:pt>
                <c:pt idx="473">
                  <c:v>0.9014132659511862</c:v>
                </c:pt>
                <c:pt idx="474">
                  <c:v>0.9001392568616714</c:v>
                </c:pt>
                <c:pt idx="475">
                  <c:v>0.8973488900206924</c:v>
                </c:pt>
                <c:pt idx="476">
                  <c:v>0.89643971336561801</c:v>
                </c:pt>
                <c:pt idx="477">
                  <c:v>0.89627695100891414</c:v>
                </c:pt>
                <c:pt idx="478">
                  <c:v>0.89781889386066027</c:v>
                </c:pt>
                <c:pt idx="479">
                  <c:v>0.89814419013567282</c:v>
                </c:pt>
                <c:pt idx="480">
                  <c:v>0.89800648257583282</c:v>
                </c:pt>
                <c:pt idx="481">
                  <c:v>0.89805748144760011</c:v>
                </c:pt>
                <c:pt idx="482">
                  <c:v>0.89785088339452679</c:v>
                </c:pt>
                <c:pt idx="483">
                  <c:v>0.89748446004983273</c:v>
                </c:pt>
                <c:pt idx="484">
                  <c:v>0.8972306731510864</c:v>
                </c:pt>
                <c:pt idx="485">
                  <c:v>0.8972999960455682</c:v>
                </c:pt>
                <c:pt idx="486">
                  <c:v>0.89733683173682222</c:v>
                </c:pt>
                <c:pt idx="487">
                  <c:v>0.89711054718917616</c:v>
                </c:pt>
                <c:pt idx="488">
                  <c:v>0.89671109817932237</c:v>
                </c:pt>
                <c:pt idx="489">
                  <c:v>0.89650681714425928</c:v>
                </c:pt>
                <c:pt idx="490">
                  <c:v>0.89652718895401806</c:v>
                </c:pt>
                <c:pt idx="491">
                  <c:v>0.89652838009707969</c:v>
                </c:pt>
                <c:pt idx="492">
                  <c:v>0.89556365211935895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0D9-47C5-A94A-FB482CEB8F42}"/>
            </c:ext>
          </c:extLst>
        </c:ser>
        <c:ser>
          <c:idx val="2"/>
          <c:order val="2"/>
          <c:tx>
            <c:v>435-3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大小中检!$AC$3:$AC$497</c:f>
              <c:numCache>
                <c:formatCode>General</c:formatCode>
                <c:ptCount val="49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</c:numCache>
            </c:numRef>
          </c:xVal>
          <c:yVal>
            <c:numRef>
              <c:f>大小中检!$AE$3:$AE$497</c:f>
              <c:numCache>
                <c:formatCode>0.00%</c:formatCode>
                <c:ptCount val="495"/>
                <c:pt idx="0">
                  <c:v>1</c:v>
                </c:pt>
                <c:pt idx="1">
                  <c:v>1.0006854357669646</c:v>
                </c:pt>
                <c:pt idx="2">
                  <c:v>1.0002997129106117</c:v>
                </c:pt>
                <c:pt idx="3">
                  <c:v>1.0003061865118137</c:v>
                </c:pt>
                <c:pt idx="4">
                  <c:v>1.0002236851590904</c:v>
                </c:pt>
                <c:pt idx="5">
                  <c:v>1.0003848333538976</c:v>
                </c:pt>
                <c:pt idx="6">
                  <c:v>1.0001600116083365</c:v>
                </c:pt>
                <c:pt idx="7">
                  <c:v>0.99966604124486169</c:v>
                </c:pt>
                <c:pt idx="8">
                  <c:v>0.99940798669923692</c:v>
                </c:pt>
                <c:pt idx="9">
                  <c:v>0.99905481304383859</c:v>
                </c:pt>
                <c:pt idx="10">
                  <c:v>0.99921317742540616</c:v>
                </c:pt>
                <c:pt idx="11">
                  <c:v>0.99891800262454289</c:v>
                </c:pt>
                <c:pt idx="12">
                  <c:v>0.9986266658620514</c:v>
                </c:pt>
                <c:pt idx="13">
                  <c:v>0.99858078236040204</c:v>
                </c:pt>
                <c:pt idx="14">
                  <c:v>0.99830744978649522</c:v>
                </c:pt>
                <c:pt idx="15">
                  <c:v>0.9983798206945893</c:v>
                </c:pt>
                <c:pt idx="16">
                  <c:v>0.99828233781440234</c:v>
                </c:pt>
                <c:pt idx="17">
                  <c:v>0.99833262764765862</c:v>
                </c:pt>
                <c:pt idx="18">
                  <c:v>0.99849214508796447</c:v>
                </c:pt>
                <c:pt idx="19">
                  <c:v>0.99813654177308198</c:v>
                </c:pt>
                <c:pt idx="20">
                  <c:v>0.99728993310290892</c:v>
                </c:pt>
                <c:pt idx="21">
                  <c:v>0.99654722326118761</c:v>
                </c:pt>
                <c:pt idx="22">
                  <c:v>0.9962050695528738</c:v>
                </c:pt>
                <c:pt idx="23">
                  <c:v>0.99616450659368816</c:v>
                </c:pt>
                <c:pt idx="24">
                  <c:v>0.99618588759714921</c:v>
                </c:pt>
                <c:pt idx="25">
                  <c:v>0.99580882915360114</c:v>
                </c:pt>
                <c:pt idx="26">
                  <c:v>0.99548299122643369</c:v>
                </c:pt>
                <c:pt idx="27">
                  <c:v>0.99562974265928006</c:v>
                </c:pt>
                <c:pt idx="28">
                  <c:v>0.99551543335764836</c:v>
                </c:pt>
                <c:pt idx="29">
                  <c:v>0.99569591999472296</c:v>
                </c:pt>
                <c:pt idx="30">
                  <c:v>0.99522135396258649</c:v>
                </c:pt>
                <c:pt idx="31">
                  <c:v>0.99482435583900009</c:v>
                </c:pt>
                <c:pt idx="32">
                  <c:v>0.99490040829892279</c:v>
                </c:pt>
                <c:pt idx="33">
                  <c:v>0.99503529146289893</c:v>
                </c:pt>
                <c:pt idx="34">
                  <c:v>0.99494349975119878</c:v>
                </c:pt>
                <c:pt idx="35">
                  <c:v>0.99437943165257092</c:v>
                </c:pt>
                <c:pt idx="36">
                  <c:v>0.99388892046531085</c:v>
                </c:pt>
                <c:pt idx="37">
                  <c:v>0.99368115575294247</c:v>
                </c:pt>
                <c:pt idx="38">
                  <c:v>0.993646209837039</c:v>
                </c:pt>
                <c:pt idx="39">
                  <c:v>0.99346245345482798</c:v>
                </c:pt>
                <c:pt idx="40">
                  <c:v>0.9928081749821982</c:v>
                </c:pt>
                <c:pt idx="41">
                  <c:v>0.99219688912823822</c:v>
                </c:pt>
                <c:pt idx="42">
                  <c:v>0.99209555997354582</c:v>
                </c:pt>
                <c:pt idx="43">
                  <c:v>0.99225709526664374</c:v>
                </c:pt>
                <c:pt idx="44">
                  <c:v>0.99242352282324531</c:v>
                </c:pt>
                <c:pt idx="45">
                  <c:v>0.99196131922800967</c:v>
                </c:pt>
                <c:pt idx="46">
                  <c:v>0.99157871786638407</c:v>
                </c:pt>
                <c:pt idx="47">
                  <c:v>0.9916380015577988</c:v>
                </c:pt>
                <c:pt idx="48">
                  <c:v>0.99039028493325076</c:v>
                </c:pt>
                <c:pt idx="49">
                  <c:v>0.98917149361076562</c:v>
                </c:pt>
                <c:pt idx="50">
                  <c:v>0.98795594732501524</c:v>
                </c:pt>
                <c:pt idx="51">
                  <c:v>0.98717835745646154</c:v>
                </c:pt>
                <c:pt idx="52">
                  <c:v>0.98748418157838602</c:v>
                </c:pt>
                <c:pt idx="53">
                  <c:v>0.9890155671248162</c:v>
                </c:pt>
                <c:pt idx="54">
                  <c:v>0.99059802493721771</c:v>
                </c:pt>
                <c:pt idx="55">
                  <c:v>0.990211560828819</c:v>
                </c:pt>
                <c:pt idx="56">
                  <c:v>0.98957889397139787</c:v>
                </c:pt>
                <c:pt idx="57">
                  <c:v>0.98998053727447266</c:v>
                </c:pt>
                <c:pt idx="58">
                  <c:v>0.98999565881621177</c:v>
                </c:pt>
                <c:pt idx="59">
                  <c:v>0.989756860351516</c:v>
                </c:pt>
                <c:pt idx="60">
                  <c:v>0.98904193098925341</c:v>
                </c:pt>
                <c:pt idx="61">
                  <c:v>0.9884230596560224</c:v>
                </c:pt>
                <c:pt idx="62">
                  <c:v>0.98837713497370383</c:v>
                </c:pt>
                <c:pt idx="63">
                  <c:v>0.98834173607043885</c:v>
                </c:pt>
                <c:pt idx="64">
                  <c:v>0.98815525352792533</c:v>
                </c:pt>
                <c:pt idx="65">
                  <c:v>0.9875708174702994</c:v>
                </c:pt>
                <c:pt idx="66">
                  <c:v>0.98723064043410824</c:v>
                </c:pt>
                <c:pt idx="67">
                  <c:v>0.98734233064517729</c:v>
                </c:pt>
                <c:pt idx="68">
                  <c:v>0.98739914349643854</c:v>
                </c:pt>
                <c:pt idx="69">
                  <c:v>0.98777863159947099</c:v>
                </c:pt>
                <c:pt idx="70">
                  <c:v>0.98697094689784826</c:v>
                </c:pt>
                <c:pt idx="71">
                  <c:v>0.98619570432744019</c:v>
                </c:pt>
                <c:pt idx="72">
                  <c:v>0.98612288043198459</c:v>
                </c:pt>
                <c:pt idx="73">
                  <c:v>0.98593750976754002</c:v>
                </c:pt>
                <c:pt idx="74">
                  <c:v>0.98599919017390358</c:v>
                </c:pt>
                <c:pt idx="75">
                  <c:v>0.98516862549246009</c:v>
                </c:pt>
                <c:pt idx="76">
                  <c:v>0.9851413885978354</c:v>
                </c:pt>
                <c:pt idx="77">
                  <c:v>0.98490412205403488</c:v>
                </c:pt>
                <c:pt idx="78">
                  <c:v>0.98467272787366555</c:v>
                </c:pt>
                <c:pt idx="79">
                  <c:v>0.98370475153515569</c:v>
                </c:pt>
                <c:pt idx="80">
                  <c:v>0.98286612367867809</c:v>
                </c:pt>
                <c:pt idx="81">
                  <c:v>0.98422086062640535</c:v>
                </c:pt>
                <c:pt idx="82">
                  <c:v>0.98398467301613834</c:v>
                </c:pt>
                <c:pt idx="83">
                  <c:v>0.98348340543807711</c:v>
                </c:pt>
                <c:pt idx="84">
                  <c:v>0.98266560676409298</c:v>
                </c:pt>
                <c:pt idx="85">
                  <c:v>0.98196209268333912</c:v>
                </c:pt>
                <c:pt idx="86">
                  <c:v>0.98429216083709958</c:v>
                </c:pt>
                <c:pt idx="87">
                  <c:v>0.98355183947419333</c:v>
                </c:pt>
                <c:pt idx="88">
                  <c:v>0.98309723783049663</c:v>
                </c:pt>
                <c:pt idx="89">
                  <c:v>0.9827750320383547</c:v>
                </c:pt>
                <c:pt idx="90">
                  <c:v>0.98245278506554368</c:v>
                </c:pt>
                <c:pt idx="91">
                  <c:v>0.98250310784333539</c:v>
                </c:pt>
                <c:pt idx="92">
                  <c:v>0.98256266332716691</c:v>
                </c:pt>
                <c:pt idx="93">
                  <c:v>0.98251769403637446</c:v>
                </c:pt>
                <c:pt idx="94">
                  <c:v>0.98217033509147056</c:v>
                </c:pt>
                <c:pt idx="95">
                  <c:v>0.9817275522998411</c:v>
                </c:pt>
                <c:pt idx="96">
                  <c:v>0.9817810212807615</c:v>
                </c:pt>
                <c:pt idx="97">
                  <c:v>0.98179268364628569</c:v>
                </c:pt>
                <c:pt idx="98">
                  <c:v>0.98183583275149855</c:v>
                </c:pt>
                <c:pt idx="99">
                  <c:v>0.98146276059673132</c:v>
                </c:pt>
                <c:pt idx="100">
                  <c:v>0.98100735181191767</c:v>
                </c:pt>
                <c:pt idx="101">
                  <c:v>0.98091423408266865</c:v>
                </c:pt>
                <c:pt idx="102">
                  <c:v>0.98102495242994403</c:v>
                </c:pt>
                <c:pt idx="103">
                  <c:v>0.98095424522088659</c:v>
                </c:pt>
                <c:pt idx="104">
                  <c:v>0.98038620730574555</c:v>
                </c:pt>
                <c:pt idx="105">
                  <c:v>0.97980815425184931</c:v>
                </c:pt>
                <c:pt idx="106">
                  <c:v>0.97955497549746073</c:v>
                </c:pt>
                <c:pt idx="107">
                  <c:v>0.97946967385923023</c:v>
                </c:pt>
                <c:pt idx="108">
                  <c:v>0.97931207543811027</c:v>
                </c:pt>
                <c:pt idx="109">
                  <c:v>0.97879291074120423</c:v>
                </c:pt>
                <c:pt idx="110">
                  <c:v>0.97832334404231147</c:v>
                </c:pt>
                <c:pt idx="111">
                  <c:v>0.97821802036270433</c:v>
                </c:pt>
                <c:pt idx="112">
                  <c:v>0.97835947596148853</c:v>
                </c:pt>
                <c:pt idx="113">
                  <c:v>0.97880530612264061</c:v>
                </c:pt>
                <c:pt idx="114">
                  <c:v>0.97867937563615381</c:v>
                </c:pt>
                <c:pt idx="115">
                  <c:v>0.9781437551438259</c:v>
                </c:pt>
                <c:pt idx="116">
                  <c:v>0.97800652468170413</c:v>
                </c:pt>
                <c:pt idx="117">
                  <c:v>0.97824840346045772</c:v>
                </c:pt>
                <c:pt idx="118">
                  <c:v>0.97826498279788732</c:v>
                </c:pt>
                <c:pt idx="119">
                  <c:v>0.97793524917941133</c:v>
                </c:pt>
                <c:pt idx="120">
                  <c:v>0.97739473642357966</c:v>
                </c:pt>
                <c:pt idx="121">
                  <c:v>0.97717490577512855</c:v>
                </c:pt>
                <c:pt idx="122">
                  <c:v>0.97737096694130365</c:v>
                </c:pt>
                <c:pt idx="123">
                  <c:v>0.97744790066754772</c:v>
                </c:pt>
                <c:pt idx="124">
                  <c:v>0.97716309515919508</c:v>
                </c:pt>
                <c:pt idx="125">
                  <c:v>0.97664108075997869</c:v>
                </c:pt>
                <c:pt idx="126">
                  <c:v>0.97627669772641779</c:v>
                </c:pt>
                <c:pt idx="127">
                  <c:v>0.97641517184475013</c:v>
                </c:pt>
                <c:pt idx="128">
                  <c:v>0.97642988981593082</c:v>
                </c:pt>
                <c:pt idx="129">
                  <c:v>0.97623246145153741</c:v>
                </c:pt>
                <c:pt idx="130">
                  <c:v>0.97571713479300304</c:v>
                </c:pt>
                <c:pt idx="131">
                  <c:v>0.97542761821609114</c:v>
                </c:pt>
                <c:pt idx="132">
                  <c:v>0.97559281858874991</c:v>
                </c:pt>
                <c:pt idx="133">
                  <c:v>0.97574789675291329</c:v>
                </c:pt>
                <c:pt idx="134">
                  <c:v>0.97567784019842962</c:v>
                </c:pt>
                <c:pt idx="135">
                  <c:v>0.9752109420069025</c:v>
                </c:pt>
                <c:pt idx="136">
                  <c:v>0.97485563519283858</c:v>
                </c:pt>
                <c:pt idx="137">
                  <c:v>0.97481769956034947</c:v>
                </c:pt>
                <c:pt idx="138">
                  <c:v>0.97555851509128633</c:v>
                </c:pt>
                <c:pt idx="139">
                  <c:v>0.9767606282427358</c:v>
                </c:pt>
                <c:pt idx="140">
                  <c:v>0.97648932175775471</c:v>
                </c:pt>
                <c:pt idx="141">
                  <c:v>0.97617261770302122</c:v>
                </c:pt>
                <c:pt idx="142">
                  <c:v>0.97167256712904126</c:v>
                </c:pt>
                <c:pt idx="143">
                  <c:v>0.97466361796838119</c:v>
                </c:pt>
                <c:pt idx="144">
                  <c:v>0.9750034573230848</c:v>
                </c:pt>
                <c:pt idx="145">
                  <c:v>0.97493475973068544</c:v>
                </c:pt>
                <c:pt idx="146">
                  <c:v>0.97471598330736631</c:v>
                </c:pt>
                <c:pt idx="147">
                  <c:v>0.972263336773594</c:v>
                </c:pt>
                <c:pt idx="148">
                  <c:v>0.97107206237428412</c:v>
                </c:pt>
                <c:pt idx="149">
                  <c:v>0.97078158216971244</c:v>
                </c:pt>
                <c:pt idx="150">
                  <c:v>0.97147827673164289</c:v>
                </c:pt>
                <c:pt idx="151">
                  <c:v>0.97158719960174023</c:v>
                </c:pt>
                <c:pt idx="152">
                  <c:v>0.97240716437892538</c:v>
                </c:pt>
                <c:pt idx="153">
                  <c:v>0.97243005259488002</c:v>
                </c:pt>
                <c:pt idx="154">
                  <c:v>0.97205111631281538</c:v>
                </c:pt>
                <c:pt idx="155">
                  <c:v>0.97163435146800159</c:v>
                </c:pt>
                <c:pt idx="156">
                  <c:v>0.97142826692693729</c:v>
                </c:pt>
                <c:pt idx="157">
                  <c:v>0.97106016939701234</c:v>
                </c:pt>
                <c:pt idx="158">
                  <c:v>0.96943757690438503</c:v>
                </c:pt>
                <c:pt idx="159">
                  <c:v>0.9686126786830267</c:v>
                </c:pt>
                <c:pt idx="160">
                  <c:v>0.9680429358881798</c:v>
                </c:pt>
                <c:pt idx="161">
                  <c:v>0.96827657853308868</c:v>
                </c:pt>
                <c:pt idx="162">
                  <c:v>0.96911212607550834</c:v>
                </c:pt>
                <c:pt idx="163">
                  <c:v>0.96915616468317645</c:v>
                </c:pt>
                <c:pt idx="164">
                  <c:v>0.96869117727470144</c:v>
                </c:pt>
                <c:pt idx="165">
                  <c:v>0.96818030636457697</c:v>
                </c:pt>
                <c:pt idx="166">
                  <c:v>0.96797945176850431</c:v>
                </c:pt>
                <c:pt idx="167">
                  <c:v>0.96811912012624424</c:v>
                </c:pt>
                <c:pt idx="168">
                  <c:v>0.96810763895566454</c:v>
                </c:pt>
                <c:pt idx="169">
                  <c:v>0.96772718722497231</c:v>
                </c:pt>
                <c:pt idx="170">
                  <c:v>0.96720794016672784</c:v>
                </c:pt>
                <c:pt idx="171">
                  <c:v>0.96702246243254331</c:v>
                </c:pt>
                <c:pt idx="172">
                  <c:v>0.96722495601925118</c:v>
                </c:pt>
                <c:pt idx="173">
                  <c:v>0.96728914021030366</c:v>
                </c:pt>
                <c:pt idx="174">
                  <c:v>0.96695336950571942</c:v>
                </c:pt>
                <c:pt idx="175">
                  <c:v>0.96639659038554415</c:v>
                </c:pt>
                <c:pt idx="176">
                  <c:v>0.96614881453495782</c:v>
                </c:pt>
                <c:pt idx="177">
                  <c:v>0.96613719335010273</c:v>
                </c:pt>
                <c:pt idx="178">
                  <c:v>0.96615107947176493</c:v>
                </c:pt>
                <c:pt idx="179">
                  <c:v>0.96580969996003252</c:v>
                </c:pt>
                <c:pt idx="180">
                  <c:v>0.96523709099060773</c:v>
                </c:pt>
                <c:pt idx="181">
                  <c:v>0.96485640864816791</c:v>
                </c:pt>
                <c:pt idx="182">
                  <c:v>0.96487180198232381</c:v>
                </c:pt>
                <c:pt idx="183">
                  <c:v>0.96483044011815533</c:v>
                </c:pt>
                <c:pt idx="184">
                  <c:v>0.96453768674064233</c:v>
                </c:pt>
                <c:pt idx="185">
                  <c:v>0.96388377065790187</c:v>
                </c:pt>
                <c:pt idx="186">
                  <c:v>0.9634575260230327</c:v>
                </c:pt>
                <c:pt idx="187">
                  <c:v>0.96354950716581123</c:v>
                </c:pt>
                <c:pt idx="188">
                  <c:v>0.96351167860306208</c:v>
                </c:pt>
                <c:pt idx="189">
                  <c:v>0.96338169593872369</c:v>
                </c:pt>
                <c:pt idx="190">
                  <c:v>0.9628544927751852</c:v>
                </c:pt>
                <c:pt idx="191">
                  <c:v>0.96242781986135606</c:v>
                </c:pt>
                <c:pt idx="192">
                  <c:v>0.96239978406174842</c:v>
                </c:pt>
                <c:pt idx="193">
                  <c:v>0.96235525128604971</c:v>
                </c:pt>
                <c:pt idx="194">
                  <c:v>0.96232643305372678</c:v>
                </c:pt>
                <c:pt idx="195">
                  <c:v>0.96202522940288915</c:v>
                </c:pt>
                <c:pt idx="196">
                  <c:v>0.96155735934756847</c:v>
                </c:pt>
                <c:pt idx="197">
                  <c:v>0.96176075067286537</c:v>
                </c:pt>
                <c:pt idx="198">
                  <c:v>0.96196143231012743</c:v>
                </c:pt>
                <c:pt idx="199">
                  <c:v>0.96187734138357217</c:v>
                </c:pt>
                <c:pt idx="200">
                  <c:v>0.96153244504268798</c:v>
                </c:pt>
                <c:pt idx="201">
                  <c:v>0.96104278217721395</c:v>
                </c:pt>
                <c:pt idx="202">
                  <c:v>0.96114187110350047</c:v>
                </c:pt>
                <c:pt idx="203">
                  <c:v>0.96181403845884117</c:v>
                </c:pt>
                <c:pt idx="204">
                  <c:v>0.96212885643892421</c:v>
                </c:pt>
                <c:pt idx="205">
                  <c:v>0.9619956534462526</c:v>
                </c:pt>
                <c:pt idx="206">
                  <c:v>0.96169450744835172</c:v>
                </c:pt>
                <c:pt idx="207">
                  <c:v>0.96151154997112376</c:v>
                </c:pt>
                <c:pt idx="208">
                  <c:v>0.96111031023860738</c:v>
                </c:pt>
                <c:pt idx="209">
                  <c:v>0.9609149656160767</c:v>
                </c:pt>
                <c:pt idx="210">
                  <c:v>0.96055451121835966</c:v>
                </c:pt>
                <c:pt idx="211">
                  <c:v>0.95990486145295062</c:v>
                </c:pt>
                <c:pt idx="212">
                  <c:v>0.9596232845090652</c:v>
                </c:pt>
                <c:pt idx="213">
                  <c:v>0.96026492051624313</c:v>
                </c:pt>
                <c:pt idx="214">
                  <c:v>0.95894284807534447</c:v>
                </c:pt>
                <c:pt idx="215">
                  <c:v>0.9577730205685665</c:v>
                </c:pt>
                <c:pt idx="216">
                  <c:v>0.95834746619583866</c:v>
                </c:pt>
                <c:pt idx="217">
                  <c:v>0.96143212069632455</c:v>
                </c:pt>
                <c:pt idx="218">
                  <c:v>0.96128936378839291</c:v>
                </c:pt>
                <c:pt idx="219">
                  <c:v>0.96021841930455554</c:v>
                </c:pt>
                <c:pt idx="220">
                  <c:v>0.9597007947646784</c:v>
                </c:pt>
                <c:pt idx="221">
                  <c:v>0.95938672627277533</c:v>
                </c:pt>
                <c:pt idx="222">
                  <c:v>0.95913518650902174</c:v>
                </c:pt>
                <c:pt idx="223">
                  <c:v>0.9589319022534647</c:v>
                </c:pt>
                <c:pt idx="224">
                  <c:v>0.95859469022545762</c:v>
                </c:pt>
                <c:pt idx="225">
                  <c:v>0.95739634098717519</c:v>
                </c:pt>
                <c:pt idx="226">
                  <c:v>0.95731472090077352</c:v>
                </c:pt>
                <c:pt idx="227">
                  <c:v>0.95723823192575697</c:v>
                </c:pt>
                <c:pt idx="228">
                  <c:v>0.95686428674080215</c:v>
                </c:pt>
                <c:pt idx="229">
                  <c:v>0.95653692512887356</c:v>
                </c:pt>
                <c:pt idx="230">
                  <c:v>0.9562154605887776</c:v>
                </c:pt>
                <c:pt idx="231">
                  <c:v>0.95608338594644271</c:v>
                </c:pt>
                <c:pt idx="232">
                  <c:v>0.95589120399930849</c:v>
                </c:pt>
                <c:pt idx="233">
                  <c:v>0.95558994269553388</c:v>
                </c:pt>
                <c:pt idx="234">
                  <c:v>0.95521389729644868</c:v>
                </c:pt>
                <c:pt idx="235">
                  <c:v>0.95496668150296371</c:v>
                </c:pt>
                <c:pt idx="236">
                  <c:v>0.95500162741886707</c:v>
                </c:pt>
                <c:pt idx="237">
                  <c:v>0.95495981256733709</c:v>
                </c:pt>
                <c:pt idx="238">
                  <c:v>0.95461658816162343</c:v>
                </c:pt>
                <c:pt idx="239">
                  <c:v>0.95425660322353545</c:v>
                </c:pt>
                <c:pt idx="240">
                  <c:v>0.95398827821900622</c:v>
                </c:pt>
                <c:pt idx="241">
                  <c:v>0.95388792092810748</c:v>
                </c:pt>
                <c:pt idx="242">
                  <c:v>0.95375106932814258</c:v>
                </c:pt>
                <c:pt idx="243">
                  <c:v>0.95350634084707864</c:v>
                </c:pt>
                <c:pt idx="244">
                  <c:v>0.95323028211286909</c:v>
                </c:pt>
                <c:pt idx="245">
                  <c:v>0.95290444418570164</c:v>
                </c:pt>
                <c:pt idx="246">
                  <c:v>0.95274626099907878</c:v>
                </c:pt>
                <c:pt idx="247">
                  <c:v>0.95264094555560552</c:v>
                </c:pt>
                <c:pt idx="248">
                  <c:v>0.95228849667998572</c:v>
                </c:pt>
                <c:pt idx="249">
                  <c:v>0.95171989870774321</c:v>
                </c:pt>
                <c:pt idx="250">
                  <c:v>0.95127980089574715</c:v>
                </c:pt>
                <c:pt idx="251">
                  <c:v>0.95117295353137876</c:v>
                </c:pt>
                <c:pt idx="252">
                  <c:v>0.95124727640319406</c:v>
                </c:pt>
                <c:pt idx="253">
                  <c:v>0.95115263498918368</c:v>
                </c:pt>
                <c:pt idx="254">
                  <c:v>0.95079367133169246</c:v>
                </c:pt>
                <c:pt idx="255">
                  <c:v>0.95070053713017566</c:v>
                </c:pt>
                <c:pt idx="256">
                  <c:v>0.95044510991124731</c:v>
                </c:pt>
                <c:pt idx="257">
                  <c:v>0.95044689715229169</c:v>
                </c:pt>
                <c:pt idx="258">
                  <c:v>0.9503717918477611</c:v>
                </c:pt>
                <c:pt idx="259">
                  <c:v>0.94985127642490452</c:v>
                </c:pt>
                <c:pt idx="260">
                  <c:v>0.94948784878286951</c:v>
                </c:pt>
                <c:pt idx="261">
                  <c:v>0.9493569683799421</c:v>
                </c:pt>
                <c:pt idx="262">
                  <c:v>0.9494474587824947</c:v>
                </c:pt>
                <c:pt idx="263">
                  <c:v>0.94948256118494112</c:v>
                </c:pt>
                <c:pt idx="264">
                  <c:v>0.94929934838756391</c:v>
                </c:pt>
                <c:pt idx="265">
                  <c:v>0.9489854281460699</c:v>
                </c:pt>
                <c:pt idx="266">
                  <c:v>0.94835902898650482</c:v>
                </c:pt>
                <c:pt idx="267">
                  <c:v>0.94776634032276641</c:v>
                </c:pt>
                <c:pt idx="268">
                  <c:v>0.94762688610450652</c:v>
                </c:pt>
                <c:pt idx="269">
                  <c:v>0.94731136805304661</c:v>
                </c:pt>
                <c:pt idx="270">
                  <c:v>0.94682350066475074</c:v>
                </c:pt>
                <c:pt idx="271">
                  <c:v>0.94646372163000902</c:v>
                </c:pt>
                <c:pt idx="272">
                  <c:v>0.94638025664962588</c:v>
                </c:pt>
                <c:pt idx="273">
                  <c:v>0.94640750178038446</c:v>
                </c:pt>
                <c:pt idx="274">
                  <c:v>0.94606132883875438</c:v>
                </c:pt>
                <c:pt idx="275">
                  <c:v>0.94563932581281518</c:v>
                </c:pt>
                <c:pt idx="276">
                  <c:v>0.94537203856115037</c:v>
                </c:pt>
                <c:pt idx="277">
                  <c:v>0.94525067089281367</c:v>
                </c:pt>
                <c:pt idx="278">
                  <c:v>0.94517696573103671</c:v>
                </c:pt>
                <c:pt idx="279">
                  <c:v>0.9451184891807386</c:v>
                </c:pt>
                <c:pt idx="280">
                  <c:v>0.94468151286346969</c:v>
                </c:pt>
                <c:pt idx="281">
                  <c:v>0.94438588507524501</c:v>
                </c:pt>
                <c:pt idx="282">
                  <c:v>0.94433629531336549</c:v>
                </c:pt>
                <c:pt idx="283">
                  <c:v>0.94430640638364294</c:v>
                </c:pt>
                <c:pt idx="284">
                  <c:v>0.94371314942666906</c:v>
                </c:pt>
                <c:pt idx="285">
                  <c:v>0.94349785688796639</c:v>
                </c:pt>
                <c:pt idx="286">
                  <c:v>0.94311262819964425</c:v>
                </c:pt>
                <c:pt idx="287">
                  <c:v>0.94308832336866832</c:v>
                </c:pt>
                <c:pt idx="288">
                  <c:v>0.94321331493589677</c:v>
                </c:pt>
                <c:pt idx="289">
                  <c:v>0.94313872850779845</c:v>
                </c:pt>
                <c:pt idx="290">
                  <c:v>0.94290795203746758</c:v>
                </c:pt>
                <c:pt idx="291">
                  <c:v>0.94285722568911756</c:v>
                </c:pt>
                <c:pt idx="292">
                  <c:v>0.94262818704302787</c:v>
                </c:pt>
                <c:pt idx="293">
                  <c:v>0.9424296056198963</c:v>
                </c:pt>
                <c:pt idx="294">
                  <c:v>0.94223889794072035</c:v>
                </c:pt>
                <c:pt idx="295">
                  <c:v>0.94183782293088081</c:v>
                </c:pt>
                <c:pt idx="296">
                  <c:v>0.94168852653267643</c:v>
                </c:pt>
                <c:pt idx="297">
                  <c:v>0.94121868804136677</c:v>
                </c:pt>
                <c:pt idx="298">
                  <c:v>0.94420027556291897</c:v>
                </c:pt>
                <c:pt idx="299">
                  <c:v>0.94416618620493542</c:v>
                </c:pt>
                <c:pt idx="300">
                  <c:v>0.94217707752008129</c:v>
                </c:pt>
                <c:pt idx="301">
                  <c:v>0.94242216015490055</c:v>
                </c:pt>
                <c:pt idx="302">
                  <c:v>0.94209899073509895</c:v>
                </c:pt>
                <c:pt idx="303">
                  <c:v>0.94165800342064754</c:v>
                </c:pt>
                <c:pt idx="304">
                  <c:v>0.94127246999537317</c:v>
                </c:pt>
                <c:pt idx="305">
                  <c:v>0.94065437285872366</c:v>
                </c:pt>
                <c:pt idx="306">
                  <c:v>0.940298621293432</c:v>
                </c:pt>
                <c:pt idx="307">
                  <c:v>0.94004748510023672</c:v>
                </c:pt>
                <c:pt idx="308">
                  <c:v>0.94001398874389008</c:v>
                </c:pt>
                <c:pt idx="309">
                  <c:v>0.93953817905554293</c:v>
                </c:pt>
                <c:pt idx="310">
                  <c:v>0.93891583207382945</c:v>
                </c:pt>
                <c:pt idx="311">
                  <c:v>0.93865592439808965</c:v>
                </c:pt>
                <c:pt idx="312">
                  <c:v>0.938795666881034</c:v>
                </c:pt>
                <c:pt idx="313">
                  <c:v>0.938854777613638</c:v>
                </c:pt>
                <c:pt idx="314">
                  <c:v>0.93850162866664133</c:v>
                </c:pt>
                <c:pt idx="315">
                  <c:v>0.93774040399603709</c:v>
                </c:pt>
                <c:pt idx="316">
                  <c:v>0.93743821200913813</c:v>
                </c:pt>
                <c:pt idx="317">
                  <c:v>0.93754499348443565</c:v>
                </c:pt>
                <c:pt idx="318">
                  <c:v>0.9375762166678413</c:v>
                </c:pt>
                <c:pt idx="319">
                  <c:v>0.93737734698002506</c:v>
                </c:pt>
                <c:pt idx="320">
                  <c:v>0.93699177237408149</c:v>
                </c:pt>
                <c:pt idx="321">
                  <c:v>0.93668206903311602</c:v>
                </c:pt>
                <c:pt idx="322">
                  <c:v>0.93656535478040159</c:v>
                </c:pt>
                <c:pt idx="323">
                  <c:v>0.93653931212518449</c:v>
                </c:pt>
                <c:pt idx="324">
                  <c:v>0.93621994779921891</c:v>
                </c:pt>
                <c:pt idx="325">
                  <c:v>0.93570334453993875</c:v>
                </c:pt>
                <c:pt idx="326">
                  <c:v>0.93521856570183459</c:v>
                </c:pt>
                <c:pt idx="327">
                  <c:v>0.93525601540242687</c:v>
                </c:pt>
                <c:pt idx="328">
                  <c:v>0.9352838700070899</c:v>
                </c:pt>
                <c:pt idx="329">
                  <c:v>0.93508540388983219</c:v>
                </c:pt>
                <c:pt idx="330">
                  <c:v>0.93469220262394825</c:v>
                </c:pt>
                <c:pt idx="331">
                  <c:v>0.93428742135387854</c:v>
                </c:pt>
                <c:pt idx="332">
                  <c:v>0.93430960126232265</c:v>
                </c:pt>
                <c:pt idx="333">
                  <c:v>0.93442102791710868</c:v>
                </c:pt>
                <c:pt idx="334">
                  <c:v>0.93435271742300008</c:v>
                </c:pt>
                <c:pt idx="335">
                  <c:v>0.93399744355347136</c:v>
                </c:pt>
                <c:pt idx="336">
                  <c:v>0.9336082203402345</c:v>
                </c:pt>
                <c:pt idx="337">
                  <c:v>0.93351972308207232</c:v>
                </c:pt>
                <c:pt idx="338">
                  <c:v>0.93363058967975698</c:v>
                </c:pt>
                <c:pt idx="339">
                  <c:v>0.93351404014971939</c:v>
                </c:pt>
                <c:pt idx="340">
                  <c:v>0.93297287673931395</c:v>
                </c:pt>
                <c:pt idx="341">
                  <c:v>0.93257472555698928</c:v>
                </c:pt>
                <c:pt idx="342">
                  <c:v>0.93249847542985431</c:v>
                </c:pt>
                <c:pt idx="343">
                  <c:v>0.93273767746510838</c:v>
                </c:pt>
                <c:pt idx="344">
                  <c:v>0.93276325066069654</c:v>
                </c:pt>
                <c:pt idx="345">
                  <c:v>0.93245149652240367</c:v>
                </c:pt>
                <c:pt idx="346">
                  <c:v>0.93194107859964082</c:v>
                </c:pt>
                <c:pt idx="347">
                  <c:v>0.93172688970287332</c:v>
                </c:pt>
                <c:pt idx="348">
                  <c:v>0.93191328164791465</c:v>
                </c:pt>
                <c:pt idx="349">
                  <c:v>0.93203091834761975</c:v>
                </c:pt>
                <c:pt idx="350">
                  <c:v>0.93153385943395306</c:v>
                </c:pt>
                <c:pt idx="351">
                  <c:v>0.93097069731004822</c:v>
                </c:pt>
                <c:pt idx="352">
                  <c:v>0.930553586547613</c:v>
                </c:pt>
                <c:pt idx="353">
                  <c:v>0.93037160093417859</c:v>
                </c:pt>
                <c:pt idx="354">
                  <c:v>0.930255372613361</c:v>
                </c:pt>
                <c:pt idx="355">
                  <c:v>0.93002120285588608</c:v>
                </c:pt>
                <c:pt idx="356">
                  <c:v>0.92955600954406492</c:v>
                </c:pt>
                <c:pt idx="357">
                  <c:v>0.92909423422778936</c:v>
                </c:pt>
                <c:pt idx="358">
                  <c:v>0.92885448037156759</c:v>
                </c:pt>
                <c:pt idx="359">
                  <c:v>0.92895566951198472</c:v>
                </c:pt>
                <c:pt idx="360">
                  <c:v>0.92883387356468794</c:v>
                </c:pt>
                <c:pt idx="361">
                  <c:v>0.92864987833459545</c:v>
                </c:pt>
                <c:pt idx="362">
                  <c:v>0.92841386368313927</c:v>
                </c:pt>
                <c:pt idx="363">
                  <c:v>0.92841129400937972</c:v>
                </c:pt>
                <c:pt idx="364">
                  <c:v>0.92853168981392276</c:v>
                </c:pt>
                <c:pt idx="365">
                  <c:v>0.92840136946809682</c:v>
                </c:pt>
                <c:pt idx="366">
                  <c:v>0.92789824875992044</c:v>
                </c:pt>
                <c:pt idx="367">
                  <c:v>0.92753840383610775</c:v>
                </c:pt>
                <c:pt idx="368">
                  <c:v>0.9272540183705813</c:v>
                </c:pt>
                <c:pt idx="369">
                  <c:v>0.9273668698765225</c:v>
                </c:pt>
                <c:pt idx="370">
                  <c:v>0.92719699961597379</c:v>
                </c:pt>
                <c:pt idx="371">
                  <c:v>0.9265782600608844</c:v>
                </c:pt>
                <c:pt idx="372">
                  <c:v>0.92618401280600204</c:v>
                </c:pt>
                <c:pt idx="373">
                  <c:v>0.92596780605644269</c:v>
                </c:pt>
                <c:pt idx="374">
                  <c:v>0.92595471883976332</c:v>
                </c:pt>
                <c:pt idx="375">
                  <c:v>0.9246380493026668</c:v>
                </c:pt>
                <c:pt idx="376">
                  <c:v>0.92429867117145847</c:v>
                </c:pt>
                <c:pt idx="377">
                  <c:v>0.92412694778079474</c:v>
                </c:pt>
                <c:pt idx="378">
                  <c:v>0.92411054963830974</c:v>
                </c:pt>
                <c:pt idx="379">
                  <c:v>0.92407237515793927</c:v>
                </c:pt>
                <c:pt idx="380">
                  <c:v>0.9238915096587077</c:v>
                </c:pt>
                <c:pt idx="381">
                  <c:v>0.9235865091501676</c:v>
                </c:pt>
                <c:pt idx="382">
                  <c:v>0.92335031330376693</c:v>
                </c:pt>
                <c:pt idx="383">
                  <c:v>0.92364580107771621</c:v>
                </c:pt>
                <c:pt idx="384">
                  <c:v>0.92340401289643492</c:v>
                </c:pt>
                <c:pt idx="385">
                  <c:v>0.92288990518570957</c:v>
                </c:pt>
                <c:pt idx="386">
                  <c:v>0.92246977176215317</c:v>
                </c:pt>
                <c:pt idx="387">
                  <c:v>0.9220308681895647</c:v>
                </c:pt>
                <c:pt idx="388">
                  <c:v>0.92178027558120312</c:v>
                </c:pt>
                <c:pt idx="389">
                  <c:v>0.92159354595467424</c:v>
                </c:pt>
                <c:pt idx="390">
                  <c:v>0.92120831726635211</c:v>
                </c:pt>
                <c:pt idx="391">
                  <c:v>0.92117736587536347</c:v>
                </c:pt>
                <c:pt idx="392">
                  <c:v>0.92068547101761744</c:v>
                </c:pt>
                <c:pt idx="393">
                  <c:v>0.92035818353089338</c:v>
                </c:pt>
                <c:pt idx="394">
                  <c:v>0.91996475988939563</c:v>
                </c:pt>
                <c:pt idx="395">
                  <c:v>0.91954017071742933</c:v>
                </c:pt>
                <c:pt idx="396">
                  <c:v>0.91949564617786439</c:v>
                </c:pt>
                <c:pt idx="397">
                  <c:v>0.91901043906080038</c:v>
                </c:pt>
                <c:pt idx="398">
                  <c:v>0.91902298269264604</c:v>
                </c:pt>
                <c:pt idx="399">
                  <c:v>0.91909725614765825</c:v>
                </c:pt>
                <c:pt idx="400">
                  <c:v>0.91893868586274463</c:v>
                </c:pt>
                <c:pt idx="401">
                  <c:v>0.9182125224139176</c:v>
                </c:pt>
                <c:pt idx="402">
                  <c:v>0.91774640665510576</c:v>
                </c:pt>
                <c:pt idx="403">
                  <c:v>0.91801506110498898</c:v>
                </c:pt>
                <c:pt idx="404">
                  <c:v>0.91818003086589994</c:v>
                </c:pt>
                <c:pt idx="405">
                  <c:v>0.91819619016050347</c:v>
                </c:pt>
                <c:pt idx="406">
                  <c:v>0.91756165370069964</c:v>
                </c:pt>
                <c:pt idx="407">
                  <c:v>0.91687859817641626</c:v>
                </c:pt>
                <c:pt idx="408">
                  <c:v>0.91688639779516723</c:v>
                </c:pt>
                <c:pt idx="409">
                  <c:v>0.91701773942159004</c:v>
                </c:pt>
                <c:pt idx="410">
                  <c:v>0.91697992733110856</c:v>
                </c:pt>
                <c:pt idx="411">
                  <c:v>0.91632513821818051</c:v>
                </c:pt>
                <c:pt idx="412">
                  <c:v>0.91535247551951282</c:v>
                </c:pt>
                <c:pt idx="413">
                  <c:v>0.91550868203401314</c:v>
                </c:pt>
                <c:pt idx="414">
                  <c:v>0.91612009966611463</c:v>
                </c:pt>
                <c:pt idx="415">
                  <c:v>0.91605444120710389</c:v>
                </c:pt>
                <c:pt idx="416">
                  <c:v>0.91594992466861358</c:v>
                </c:pt>
                <c:pt idx="417">
                  <c:v>0.91583008068503813</c:v>
                </c:pt>
                <c:pt idx="418">
                  <c:v>0.91535900677365178</c:v>
                </c:pt>
                <c:pt idx="419">
                  <c:v>0.9155683610598524</c:v>
                </c:pt>
                <c:pt idx="420">
                  <c:v>0.91905786271947865</c:v>
                </c:pt>
                <c:pt idx="421">
                  <c:v>0.91811237102636511</c:v>
                </c:pt>
                <c:pt idx="422">
                  <c:v>0.91762396828936921</c:v>
                </c:pt>
                <c:pt idx="423">
                  <c:v>0.91699828567344854</c:v>
                </c:pt>
                <c:pt idx="424">
                  <c:v>0.91647384161474799</c:v>
                </c:pt>
                <c:pt idx="425">
                  <c:v>0.91636096540040535</c:v>
                </c:pt>
                <c:pt idx="426">
                  <c:v>0.9164142202418456</c:v>
                </c:pt>
                <c:pt idx="427">
                  <c:v>0.91605405410881324</c:v>
                </c:pt>
                <c:pt idx="428">
                  <c:v>0.91537094093159299</c:v>
                </c:pt>
                <c:pt idx="429">
                  <c:v>0.9148502854944609</c:v>
                </c:pt>
                <c:pt idx="430">
                  <c:v>0.91469284355988401</c:v>
                </c:pt>
                <c:pt idx="431">
                  <c:v>0.91491026102111872</c:v>
                </c:pt>
                <c:pt idx="432">
                  <c:v>0.91459968464996577</c:v>
                </c:pt>
                <c:pt idx="433">
                  <c:v>0.91405072162080925</c:v>
                </c:pt>
                <c:pt idx="434">
                  <c:v>0.91356095168559526</c:v>
                </c:pt>
                <c:pt idx="435">
                  <c:v>0.91332030009078446</c:v>
                </c:pt>
                <c:pt idx="436">
                  <c:v>0.91344685652344348</c:v>
                </c:pt>
                <c:pt idx="437">
                  <c:v>0.91321063596864116</c:v>
                </c:pt>
                <c:pt idx="438">
                  <c:v>0.91273024698987626</c:v>
                </c:pt>
                <c:pt idx="439">
                  <c:v>0.91216586591816251</c:v>
                </c:pt>
                <c:pt idx="440">
                  <c:v>0.91195702227226028</c:v>
                </c:pt>
                <c:pt idx="441">
                  <c:v>0.91201263264798016</c:v>
                </c:pt>
                <c:pt idx="442">
                  <c:v>0.91177290350016005</c:v>
                </c:pt>
                <c:pt idx="443">
                  <c:v>0.911201365228135</c:v>
                </c:pt>
                <c:pt idx="444">
                  <c:v>0.91072246698959614</c:v>
                </c:pt>
                <c:pt idx="445">
                  <c:v>0.91047455936086807</c:v>
                </c:pt>
                <c:pt idx="446">
                  <c:v>0.91063893612014235</c:v>
                </c:pt>
                <c:pt idx="447">
                  <c:v>0.91061642676634458</c:v>
                </c:pt>
                <c:pt idx="448">
                  <c:v>0.9102092158367906</c:v>
                </c:pt>
                <c:pt idx="449">
                  <c:v>0.90982453896943605</c:v>
                </c:pt>
                <c:pt idx="450">
                  <c:v>0.90344616394694843</c:v>
                </c:pt>
                <c:pt idx="451">
                  <c:v>0.90446385358934545</c:v>
                </c:pt>
                <c:pt idx="452">
                  <c:v>0.90436333981190364</c:v>
                </c:pt>
                <c:pt idx="453">
                  <c:v>0.90408579033746828</c:v>
                </c:pt>
                <c:pt idx="454">
                  <c:v>0.90403209074480029</c:v>
                </c:pt>
                <c:pt idx="455">
                  <c:v>0.90450687915255068</c:v>
                </c:pt>
                <c:pt idx="456">
                  <c:v>0.90571885919234618</c:v>
                </c:pt>
                <c:pt idx="457">
                  <c:v>0.90613692534630741</c:v>
                </c:pt>
                <c:pt idx="458">
                  <c:v>0.90589278163074638</c:v>
                </c:pt>
                <c:pt idx="459">
                  <c:v>0.90579203724155699</c:v>
                </c:pt>
                <c:pt idx="460">
                  <c:v>0.90588301357600653</c:v>
                </c:pt>
                <c:pt idx="461">
                  <c:v>0.90597844565886598</c:v>
                </c:pt>
                <c:pt idx="462">
                  <c:v>0.90585590845952335</c:v>
                </c:pt>
                <c:pt idx="463">
                  <c:v>0.90537423464387878</c:v>
                </c:pt>
                <c:pt idx="464">
                  <c:v>0.90505780238156219</c:v>
                </c:pt>
                <c:pt idx="465">
                  <c:v>0.90542011814552803</c:v>
                </c:pt>
                <c:pt idx="466">
                  <c:v>0.90551601968801676</c:v>
                </c:pt>
                <c:pt idx="467">
                  <c:v>0.90515491463572606</c:v>
                </c:pt>
                <c:pt idx="468">
                  <c:v>0.90479345542967993</c:v>
                </c:pt>
                <c:pt idx="469">
                  <c:v>0.90441375318716766</c:v>
                </c:pt>
                <c:pt idx="470">
                  <c:v>0.90465723801202103</c:v>
                </c:pt>
                <c:pt idx="471">
                  <c:v>0.90486361905390367</c:v>
                </c:pt>
                <c:pt idx="472">
                  <c:v>0.90455225201390144</c:v>
                </c:pt>
                <c:pt idx="473">
                  <c:v>0.9039964694659216</c:v>
                </c:pt>
                <c:pt idx="474">
                  <c:v>0.90360437184197284</c:v>
                </c:pt>
                <c:pt idx="475">
                  <c:v>0.90364133561066828</c:v>
                </c:pt>
                <c:pt idx="476">
                  <c:v>0.9033682089401075</c:v>
                </c:pt>
                <c:pt idx="477">
                  <c:v>0.89964505639943859</c:v>
                </c:pt>
                <c:pt idx="478">
                  <c:v>0.8983301411588509</c:v>
                </c:pt>
                <c:pt idx="479">
                  <c:v>0.89765691134224435</c:v>
                </c:pt>
                <c:pt idx="480">
                  <c:v>0.89968500164858578</c:v>
                </c:pt>
                <c:pt idx="481">
                  <c:v>0.90019978472228634</c:v>
                </c:pt>
                <c:pt idx="482">
                  <c:v>0.9001950654175932</c:v>
                </c:pt>
                <c:pt idx="483">
                  <c:v>0.90002213131525433</c:v>
                </c:pt>
                <c:pt idx="484">
                  <c:v>0.90015115858806671</c:v>
                </c:pt>
                <c:pt idx="485">
                  <c:v>0.89965582102637365</c:v>
                </c:pt>
                <c:pt idx="486">
                  <c:v>0.89933301399646115</c:v>
                </c:pt>
                <c:pt idx="487">
                  <c:v>0.89924116463182402</c:v>
                </c:pt>
                <c:pt idx="488">
                  <c:v>0.89942861080199754</c:v>
                </c:pt>
                <c:pt idx="489">
                  <c:v>0.89945140842047999</c:v>
                </c:pt>
                <c:pt idx="490">
                  <c:v>0.89887104924910721</c:v>
                </c:pt>
                <c:pt idx="491">
                  <c:v>0.89867680003237782</c:v>
                </c:pt>
                <c:pt idx="492">
                  <c:v>0.89840751140018882</c:v>
                </c:pt>
                <c:pt idx="493">
                  <c:v>0.89870309800774439</c:v>
                </c:pt>
                <c:pt idx="494">
                  <c:v>0.89840643246665508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0D9-47C5-A94A-FB482CEB8F42}"/>
            </c:ext>
          </c:extLst>
        </c:ser>
        <c:ser>
          <c:idx val="3"/>
          <c:order val="3"/>
          <c:tx>
            <c:v>450-1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大小中检!$AJ$3:$AJ$506</c:f>
              <c:numCache>
                <c:formatCode>General</c:formatCode>
                <c:ptCount val="50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</c:numCache>
            </c:numRef>
          </c:xVal>
          <c:yVal>
            <c:numRef>
              <c:f>大小中检!$AL$3:$AL$506</c:f>
              <c:numCache>
                <c:formatCode>0.00%</c:formatCode>
                <c:ptCount val="504"/>
                <c:pt idx="0">
                  <c:v>1</c:v>
                </c:pt>
                <c:pt idx="1">
                  <c:v>1.0005845832339595</c:v>
                </c:pt>
                <c:pt idx="2">
                  <c:v>0.99993599607847805</c:v>
                </c:pt>
                <c:pt idx="3">
                  <c:v>1.0000834561734102</c:v>
                </c:pt>
                <c:pt idx="4">
                  <c:v>0.9996811585780726</c:v>
                </c:pt>
                <c:pt idx="5">
                  <c:v>0.99983110505106565</c:v>
                </c:pt>
                <c:pt idx="6">
                  <c:v>0.99969021029428129</c:v>
                </c:pt>
                <c:pt idx="7">
                  <c:v>0.99925059265177452</c:v>
                </c:pt>
                <c:pt idx="8">
                  <c:v>0.99904142812875585</c:v>
                </c:pt>
                <c:pt idx="9">
                  <c:v>0.99854247868036439</c:v>
                </c:pt>
                <c:pt idx="10">
                  <c:v>0.99844894698801467</c:v>
                </c:pt>
                <c:pt idx="11">
                  <c:v>0.9981552049838327</c:v>
                </c:pt>
                <c:pt idx="12">
                  <c:v>0.99786773580273258</c:v>
                </c:pt>
                <c:pt idx="13">
                  <c:v>0.99771248343145913</c:v>
                </c:pt>
                <c:pt idx="14">
                  <c:v>0.9973091945350645</c:v>
                </c:pt>
                <c:pt idx="15">
                  <c:v>0.997373759110463</c:v>
                </c:pt>
                <c:pt idx="16">
                  <c:v>0.99716935608268509</c:v>
                </c:pt>
                <c:pt idx="17">
                  <c:v>0.99717368693074537</c:v>
                </c:pt>
                <c:pt idx="18">
                  <c:v>0.99729469878846111</c:v>
                </c:pt>
                <c:pt idx="19">
                  <c:v>0.99686454725850659</c:v>
                </c:pt>
                <c:pt idx="20">
                  <c:v>0.99605632000576194</c:v>
                </c:pt>
                <c:pt idx="21">
                  <c:v>0.99511281266041607</c:v>
                </c:pt>
                <c:pt idx="22">
                  <c:v>0.99478747902910736</c:v>
                </c:pt>
                <c:pt idx="23">
                  <c:v>0.99481166027456247</c:v>
                </c:pt>
                <c:pt idx="24">
                  <c:v>0.994952278767118</c:v>
                </c:pt>
                <c:pt idx="25">
                  <c:v>0.99459063264053416</c:v>
                </c:pt>
                <c:pt idx="26">
                  <c:v>0.99373219030146143</c:v>
                </c:pt>
                <c:pt idx="27">
                  <c:v>0.9935489946159678</c:v>
                </c:pt>
                <c:pt idx="28">
                  <c:v>0.99327272226156016</c:v>
                </c:pt>
                <c:pt idx="29">
                  <c:v>0.99335794977620318</c:v>
                </c:pt>
                <c:pt idx="30">
                  <c:v>0.99297955716209174</c:v>
                </c:pt>
                <c:pt idx="31">
                  <c:v>0.99239039119209838</c:v>
                </c:pt>
                <c:pt idx="32">
                  <c:v>0.99217087488591105</c:v>
                </c:pt>
                <c:pt idx="33">
                  <c:v>0.99228969288063185</c:v>
                </c:pt>
                <c:pt idx="34">
                  <c:v>0.9922127370420214</c:v>
                </c:pt>
                <c:pt idx="35">
                  <c:v>0.99194535389545246</c:v>
                </c:pt>
                <c:pt idx="36">
                  <c:v>0.99117846877203419</c:v>
                </c:pt>
                <c:pt idx="37">
                  <c:v>0.9907225352891802</c:v>
                </c:pt>
                <c:pt idx="38">
                  <c:v>0.99071115157786205</c:v>
                </c:pt>
                <c:pt idx="39">
                  <c:v>0.99033297022463151</c:v>
                </c:pt>
                <c:pt idx="40">
                  <c:v>0.98959140390525813</c:v>
                </c:pt>
                <c:pt idx="41">
                  <c:v>0.98885580976848209</c:v>
                </c:pt>
                <c:pt idx="42">
                  <c:v>0.98855854945808985</c:v>
                </c:pt>
                <c:pt idx="43">
                  <c:v>0.98833562047613266</c:v>
                </c:pt>
                <c:pt idx="44">
                  <c:v>0.9883287463720819</c:v>
                </c:pt>
                <c:pt idx="45">
                  <c:v>0.98809353175735326</c:v>
                </c:pt>
                <c:pt idx="46">
                  <c:v>0.9875673134044769</c:v>
                </c:pt>
                <c:pt idx="47">
                  <c:v>0.9872567030314896</c:v>
                </c:pt>
                <c:pt idx="48">
                  <c:v>0.98669821864175122</c:v>
                </c:pt>
                <c:pt idx="49">
                  <c:v>0.98582677563307908</c:v>
                </c:pt>
                <c:pt idx="50">
                  <c:v>0.98398731089144742</c:v>
                </c:pt>
                <c:pt idx="51">
                  <c:v>0.98301689216003074</c:v>
                </c:pt>
                <c:pt idx="52">
                  <c:v>0.98276220091715827</c:v>
                </c:pt>
                <c:pt idx="53">
                  <c:v>0.98354849766537233</c:v>
                </c:pt>
                <c:pt idx="54">
                  <c:v>0.98479322239991973</c:v>
                </c:pt>
                <c:pt idx="55">
                  <c:v>0.98549454352146404</c:v>
                </c:pt>
                <c:pt idx="56">
                  <c:v>0.98476407652376141</c:v>
                </c:pt>
                <c:pt idx="57">
                  <c:v>0.98438770713885615</c:v>
                </c:pt>
                <c:pt idx="58">
                  <c:v>0.98480706811304319</c:v>
                </c:pt>
                <c:pt idx="59">
                  <c:v>0.98463670246336032</c:v>
                </c:pt>
                <c:pt idx="60">
                  <c:v>0.9841817521561449</c:v>
                </c:pt>
                <c:pt idx="61">
                  <c:v>0.98342495067708458</c:v>
                </c:pt>
                <c:pt idx="62">
                  <c:v>0.98288615417637082</c:v>
                </c:pt>
                <c:pt idx="63">
                  <c:v>0.98287057774910702</c:v>
                </c:pt>
                <c:pt idx="64">
                  <c:v>0.98262918781631858</c:v>
                </c:pt>
                <c:pt idx="65">
                  <c:v>0.98207418923111645</c:v>
                </c:pt>
                <c:pt idx="66">
                  <c:v>0.98181522401811305</c:v>
                </c:pt>
                <c:pt idx="67">
                  <c:v>0.98151047207186415</c:v>
                </c:pt>
                <c:pt idx="68">
                  <c:v>0.9814485238812225</c:v>
                </c:pt>
                <c:pt idx="69">
                  <c:v>0.98146033011430256</c:v>
                </c:pt>
                <c:pt idx="70">
                  <c:v>0.98142933164272628</c:v>
                </c:pt>
                <c:pt idx="71">
                  <c:v>0.98059645999567213</c:v>
                </c:pt>
                <c:pt idx="72">
                  <c:v>0.97993566846160407</c:v>
                </c:pt>
                <c:pt idx="73">
                  <c:v>0.97978866339010795</c:v>
                </c:pt>
                <c:pt idx="74">
                  <c:v>0.97948661720821939</c:v>
                </c:pt>
                <c:pt idx="75">
                  <c:v>0.97877282356927797</c:v>
                </c:pt>
                <c:pt idx="76">
                  <c:v>0.97856166831872682</c:v>
                </c:pt>
                <c:pt idx="77">
                  <c:v>0.97838156841768142</c:v>
                </c:pt>
                <c:pt idx="78">
                  <c:v>0.97800845732559449</c:v>
                </c:pt>
                <c:pt idx="79">
                  <c:v>0.97754309835728093</c:v>
                </c:pt>
                <c:pt idx="80">
                  <c:v>0.97689144791902516</c:v>
                </c:pt>
                <c:pt idx="81">
                  <c:v>0.97603958716893724</c:v>
                </c:pt>
                <c:pt idx="82">
                  <c:v>0.97719243779650877</c:v>
                </c:pt>
                <c:pt idx="83">
                  <c:v>0.97668124334243844</c:v>
                </c:pt>
                <c:pt idx="84">
                  <c:v>0.97624596467341052</c:v>
                </c:pt>
                <c:pt idx="85">
                  <c:v>0.97531540924515314</c:v>
                </c:pt>
                <c:pt idx="86">
                  <c:v>0.97456403554565074</c:v>
                </c:pt>
                <c:pt idx="87">
                  <c:v>0.97631821589470968</c:v>
                </c:pt>
                <c:pt idx="88">
                  <c:v>0.97567904609926936</c:v>
                </c:pt>
                <c:pt idx="89">
                  <c:v>0.97532652481766069</c:v>
                </c:pt>
                <c:pt idx="90">
                  <c:v>0.97489946907215463</c:v>
                </c:pt>
                <c:pt idx="91">
                  <c:v>0.97452225464372544</c:v>
                </c:pt>
                <c:pt idx="92">
                  <c:v>0.97444030979815621</c:v>
                </c:pt>
                <c:pt idx="93">
                  <c:v>0.97447087762255202</c:v>
                </c:pt>
                <c:pt idx="94">
                  <c:v>0.97432125616629883</c:v>
                </c:pt>
                <c:pt idx="95">
                  <c:v>0.97391137755550106</c:v>
                </c:pt>
                <c:pt idx="96">
                  <c:v>0.97328330708173127</c:v>
                </c:pt>
                <c:pt idx="97">
                  <c:v>0.97341905844860543</c:v>
                </c:pt>
                <c:pt idx="98">
                  <c:v>0.97327804993596201</c:v>
                </c:pt>
                <c:pt idx="99">
                  <c:v>0.9733581909386243</c:v>
                </c:pt>
                <c:pt idx="100">
                  <c:v>0.97288297583767058</c:v>
                </c:pt>
                <c:pt idx="101">
                  <c:v>0.9724562938614153</c:v>
                </c:pt>
                <c:pt idx="102">
                  <c:v>0.97215877353763114</c:v>
                </c:pt>
                <c:pt idx="103">
                  <c:v>0.97196854123971654</c:v>
                </c:pt>
                <c:pt idx="104">
                  <c:v>0.97182221870337437</c:v>
                </c:pt>
                <c:pt idx="105">
                  <c:v>0.97146660976273591</c:v>
                </c:pt>
                <c:pt idx="106">
                  <c:v>0.97082215844527076</c:v>
                </c:pt>
                <c:pt idx="107">
                  <c:v>0.97032510221938983</c:v>
                </c:pt>
                <c:pt idx="108">
                  <c:v>0.97026933747222655</c:v>
                </c:pt>
                <c:pt idx="109">
                  <c:v>0.97004308519410298</c:v>
                </c:pt>
                <c:pt idx="110">
                  <c:v>0.969658752899068</c:v>
                </c:pt>
                <c:pt idx="111">
                  <c:v>0.96892554763533101</c:v>
                </c:pt>
                <c:pt idx="112">
                  <c:v>0.9685481950747874</c:v>
                </c:pt>
                <c:pt idx="113">
                  <c:v>0.9686270035088157</c:v>
                </c:pt>
                <c:pt idx="114">
                  <c:v>0.96900880067327866</c:v>
                </c:pt>
                <c:pt idx="115">
                  <c:v>0.96900402292720089</c:v>
                </c:pt>
                <c:pt idx="116">
                  <c:v>0.96858028235244253</c:v>
                </c:pt>
                <c:pt idx="117">
                  <c:v>0.96812557580778202</c:v>
                </c:pt>
                <c:pt idx="118">
                  <c:v>0.96828316829958327</c:v>
                </c:pt>
                <c:pt idx="119">
                  <c:v>0.96810505100065181</c:v>
                </c:pt>
                <c:pt idx="120">
                  <c:v>0.96786655371684926</c:v>
                </c:pt>
                <c:pt idx="121">
                  <c:v>0.96733896216824655</c:v>
                </c:pt>
                <c:pt idx="122">
                  <c:v>0.96683054660730305</c:v>
                </c:pt>
                <c:pt idx="123">
                  <c:v>0.96683663254575924</c:v>
                </c:pt>
                <c:pt idx="124">
                  <c:v>0.966844270439149</c:v>
                </c:pt>
                <c:pt idx="125">
                  <c:v>0.96675580088252455</c:v>
                </c:pt>
                <c:pt idx="126">
                  <c:v>0.96620036352472338</c:v>
                </c:pt>
                <c:pt idx="127">
                  <c:v>0.96584556712593483</c:v>
                </c:pt>
                <c:pt idx="128">
                  <c:v>0.965651459003396</c:v>
                </c:pt>
                <c:pt idx="129">
                  <c:v>0.96582131275171335</c:v>
                </c:pt>
                <c:pt idx="130">
                  <c:v>0.96567385265678118</c:v>
                </c:pt>
                <c:pt idx="131">
                  <c:v>0.96526308837536678</c:v>
                </c:pt>
                <c:pt idx="132">
                  <c:v>0.96476442331662293</c:v>
                </c:pt>
                <c:pt idx="133">
                  <c:v>0.96443524636236388</c:v>
                </c:pt>
                <c:pt idx="134">
                  <c:v>0.96453612343303741</c:v>
                </c:pt>
                <c:pt idx="135">
                  <c:v>0.96459201818689677</c:v>
                </c:pt>
                <c:pt idx="136">
                  <c:v>0.96435872929635236</c:v>
                </c:pt>
                <c:pt idx="137">
                  <c:v>0.96392655453719145</c:v>
                </c:pt>
                <c:pt idx="138">
                  <c:v>0.96363723276067337</c:v>
                </c:pt>
                <c:pt idx="139">
                  <c:v>0.9635753089462874</c:v>
                </c:pt>
                <c:pt idx="140">
                  <c:v>0.96401968808403482</c:v>
                </c:pt>
                <c:pt idx="141">
                  <c:v>0.96404767202534769</c:v>
                </c:pt>
                <c:pt idx="142">
                  <c:v>0.96359623189892396</c:v>
                </c:pt>
                <c:pt idx="143">
                  <c:v>0.96308663815229811</c:v>
                </c:pt>
                <c:pt idx="144">
                  <c:v>0.96116100334747745</c:v>
                </c:pt>
                <c:pt idx="145">
                  <c:v>0.96281520042189783</c:v>
                </c:pt>
                <c:pt idx="146">
                  <c:v>0.96303408294544213</c:v>
                </c:pt>
                <c:pt idx="147">
                  <c:v>0.96287736799883883</c:v>
                </c:pt>
                <c:pt idx="148">
                  <c:v>0.96261308876213669</c:v>
                </c:pt>
                <c:pt idx="149">
                  <c:v>0.96016454264976925</c:v>
                </c:pt>
                <c:pt idx="150">
                  <c:v>0.95987746348875691</c:v>
                </c:pt>
                <c:pt idx="151">
                  <c:v>0.95993785159904665</c:v>
                </c:pt>
                <c:pt idx="152">
                  <c:v>0.95954733586053353</c:v>
                </c:pt>
                <c:pt idx="153">
                  <c:v>0.95936228757962183</c:v>
                </c:pt>
                <c:pt idx="154">
                  <c:v>0.95950574184323367</c:v>
                </c:pt>
                <c:pt idx="155">
                  <c:v>0.95939523615163791</c:v>
                </c:pt>
                <c:pt idx="156">
                  <c:v>0.95899171161810692</c:v>
                </c:pt>
                <c:pt idx="157">
                  <c:v>0.95855145206753878</c:v>
                </c:pt>
                <c:pt idx="158">
                  <c:v>0.95833286205906032</c:v>
                </c:pt>
                <c:pt idx="159">
                  <c:v>0.95803497609144361</c:v>
                </c:pt>
                <c:pt idx="160">
                  <c:v>0.95622505537147695</c:v>
                </c:pt>
                <c:pt idx="161">
                  <c:v>0.95528286434392806</c:v>
                </c:pt>
                <c:pt idx="162">
                  <c:v>0.95464707472258359</c:v>
                </c:pt>
                <c:pt idx="163">
                  <c:v>0.9545778624078034</c:v>
                </c:pt>
                <c:pt idx="164">
                  <c:v>0.95527203316106801</c:v>
                </c:pt>
                <c:pt idx="165">
                  <c:v>0.95555965672511967</c:v>
                </c:pt>
                <c:pt idx="166">
                  <c:v>0.95499847469643928</c:v>
                </c:pt>
                <c:pt idx="167">
                  <c:v>0.95446053949008647</c:v>
                </c:pt>
                <c:pt idx="168">
                  <c:v>0.95424741788825829</c:v>
                </c:pt>
                <c:pt idx="169">
                  <c:v>0.95436776346165719</c:v>
                </c:pt>
                <c:pt idx="170">
                  <c:v>0.95429780360837491</c:v>
                </c:pt>
                <c:pt idx="171">
                  <c:v>0.95402782032788602</c:v>
                </c:pt>
                <c:pt idx="172">
                  <c:v>0.95340755025587587</c:v>
                </c:pt>
                <c:pt idx="173">
                  <c:v>0.95303520295312816</c:v>
                </c:pt>
                <c:pt idx="174">
                  <c:v>0.95304443342854384</c:v>
                </c:pt>
                <c:pt idx="175">
                  <c:v>0.95304485595030575</c:v>
                </c:pt>
                <c:pt idx="176">
                  <c:v>0.95296784323376571</c:v>
                </c:pt>
                <c:pt idx="177">
                  <c:v>0.95246791873515446</c:v>
                </c:pt>
                <c:pt idx="178">
                  <c:v>0.95195769120588558</c:v>
                </c:pt>
                <c:pt idx="179">
                  <c:v>0.95189337851846068</c:v>
                </c:pt>
                <c:pt idx="180">
                  <c:v>0.95188781260678834</c:v>
                </c:pt>
                <c:pt idx="181">
                  <c:v>0.95168254015923093</c:v>
                </c:pt>
                <c:pt idx="182">
                  <c:v>0.95093241777417747</c:v>
                </c:pt>
                <c:pt idx="183">
                  <c:v>0.95044054556529933</c:v>
                </c:pt>
                <c:pt idx="184">
                  <c:v>0.95034931336638495</c:v>
                </c:pt>
                <c:pt idx="185">
                  <c:v>0.95029381675803215</c:v>
                </c:pt>
                <c:pt idx="186">
                  <c:v>0.95015533525054208</c:v>
                </c:pt>
                <c:pt idx="187">
                  <c:v>0.94959910972714656</c:v>
                </c:pt>
                <c:pt idx="188">
                  <c:v>0.94897775084905756</c:v>
                </c:pt>
                <c:pt idx="189">
                  <c:v>0.94880306247673285</c:v>
                </c:pt>
                <c:pt idx="190">
                  <c:v>0.9486475825937416</c:v>
                </c:pt>
                <c:pt idx="191">
                  <c:v>0.94849258211044163</c:v>
                </c:pt>
                <c:pt idx="192">
                  <c:v>0.94813716817984706</c:v>
                </c:pt>
                <c:pt idx="193">
                  <c:v>0.94768879133619788</c:v>
                </c:pt>
                <c:pt idx="194">
                  <c:v>0.94737415075563469</c:v>
                </c:pt>
                <c:pt idx="195">
                  <c:v>0.94734164908163598</c:v>
                </c:pt>
                <c:pt idx="196">
                  <c:v>0.94729021518253309</c:v>
                </c:pt>
                <c:pt idx="197">
                  <c:v>0.94711165098558403</c:v>
                </c:pt>
                <c:pt idx="198">
                  <c:v>0.94655991881861878</c:v>
                </c:pt>
                <c:pt idx="199">
                  <c:v>0.94602454311909334</c:v>
                </c:pt>
                <c:pt idx="200">
                  <c:v>0.94632067399631414</c:v>
                </c:pt>
                <c:pt idx="201">
                  <c:v>0.94657156254332886</c:v>
                </c:pt>
                <c:pt idx="202">
                  <c:v>0.94640454456606793</c:v>
                </c:pt>
                <c:pt idx="203">
                  <c:v>0.9459561027190706</c:v>
                </c:pt>
                <c:pt idx="204">
                  <c:v>0.94546431176437751</c:v>
                </c:pt>
                <c:pt idx="205">
                  <c:v>0.94580610749356642</c:v>
                </c:pt>
                <c:pt idx="206">
                  <c:v>0.94624230433488477</c:v>
                </c:pt>
                <c:pt idx="207">
                  <c:v>0.94633708734168354</c:v>
                </c:pt>
                <c:pt idx="208">
                  <c:v>0.94602015539310347</c:v>
                </c:pt>
                <c:pt idx="209">
                  <c:v>0.94566864978880738</c:v>
                </c:pt>
                <c:pt idx="210">
                  <c:v>0.94545341557816942</c:v>
                </c:pt>
                <c:pt idx="211">
                  <c:v>0.94507494983529128</c:v>
                </c:pt>
                <c:pt idx="212">
                  <c:v>0.94484485423421738</c:v>
                </c:pt>
                <c:pt idx="213">
                  <c:v>0.94435139756873188</c:v>
                </c:pt>
                <c:pt idx="214">
                  <c:v>0.94366005446110501</c:v>
                </c:pt>
                <c:pt idx="215">
                  <c:v>0.94343124267615397</c:v>
                </c:pt>
                <c:pt idx="216">
                  <c:v>0.94495258103268609</c:v>
                </c:pt>
                <c:pt idx="217">
                  <c:v>0.94342570114073721</c:v>
                </c:pt>
                <c:pt idx="218">
                  <c:v>0.94230122447456655</c:v>
                </c:pt>
                <c:pt idx="219">
                  <c:v>0.94201558351262893</c:v>
                </c:pt>
                <c:pt idx="220">
                  <c:v>0.94506473618423714</c:v>
                </c:pt>
                <c:pt idx="221">
                  <c:v>0.94513314408258597</c:v>
                </c:pt>
                <c:pt idx="222">
                  <c:v>0.94395444649876692</c:v>
                </c:pt>
                <c:pt idx="223">
                  <c:v>0.943408068982593</c:v>
                </c:pt>
                <c:pt idx="224">
                  <c:v>0.94308872378471853</c:v>
                </c:pt>
                <c:pt idx="225">
                  <c:v>0.94211186972185001</c:v>
                </c:pt>
                <c:pt idx="226">
                  <c:v>0.94182925954101271</c:v>
                </c:pt>
                <c:pt idx="227">
                  <c:v>0.9412711326696882</c:v>
                </c:pt>
                <c:pt idx="228">
                  <c:v>0.94089684339191892</c:v>
                </c:pt>
                <c:pt idx="229">
                  <c:v>0.94072381260496829</c:v>
                </c:pt>
                <c:pt idx="230">
                  <c:v>0.94069847755008629</c:v>
                </c:pt>
                <c:pt idx="231">
                  <c:v>0.94027667895034939</c:v>
                </c:pt>
                <c:pt idx="232">
                  <c:v>0.93981206752053759</c:v>
                </c:pt>
                <c:pt idx="233">
                  <c:v>0.93953668896216502</c:v>
                </c:pt>
                <c:pt idx="234">
                  <c:v>0.93937998214098029</c:v>
                </c:pt>
                <c:pt idx="235">
                  <c:v>0.93937832455560621</c:v>
                </c:pt>
                <c:pt idx="236">
                  <c:v>0.93897316681295673</c:v>
                </c:pt>
                <c:pt idx="237">
                  <c:v>0.93857708516277127</c:v>
                </c:pt>
                <c:pt idx="238">
                  <c:v>0.93822276816367434</c:v>
                </c:pt>
                <c:pt idx="239">
                  <c:v>0.93799188439700598</c:v>
                </c:pt>
                <c:pt idx="240">
                  <c:v>0.93788231312853776</c:v>
                </c:pt>
                <c:pt idx="241">
                  <c:v>0.93766065983728486</c:v>
                </c:pt>
                <c:pt idx="242">
                  <c:v>0.93733450553870779</c:v>
                </c:pt>
                <c:pt idx="243">
                  <c:v>0.93706073581319815</c:v>
                </c:pt>
                <c:pt idx="244">
                  <c:v>0.93679920296794883</c:v>
                </c:pt>
                <c:pt idx="245">
                  <c:v>0.93671361793489172</c:v>
                </c:pt>
                <c:pt idx="246">
                  <c:v>0.93644220458074701</c:v>
                </c:pt>
                <c:pt idx="247">
                  <c:v>0.93610758359609314</c:v>
                </c:pt>
                <c:pt idx="248">
                  <c:v>0.93563874694866167</c:v>
                </c:pt>
                <c:pt idx="249">
                  <c:v>0.93524946627376049</c:v>
                </c:pt>
                <c:pt idx="250">
                  <c:v>0.93507340470570932</c:v>
                </c:pt>
                <c:pt idx="251">
                  <c:v>0.9348218661252149</c:v>
                </c:pt>
                <c:pt idx="252">
                  <c:v>0.9343710760322711</c:v>
                </c:pt>
                <c:pt idx="253">
                  <c:v>0.93385221118313699</c:v>
                </c:pt>
                <c:pt idx="254">
                  <c:v>0.93340766141160103</c:v>
                </c:pt>
                <c:pt idx="255">
                  <c:v>0.93331670547691559</c:v>
                </c:pt>
                <c:pt idx="256">
                  <c:v>0.93353837501900538</c:v>
                </c:pt>
                <c:pt idx="257">
                  <c:v>0.9333465988915759</c:v>
                </c:pt>
                <c:pt idx="258">
                  <c:v>0.933000789205648</c:v>
                </c:pt>
                <c:pt idx="259">
                  <c:v>0.93285023332626749</c:v>
                </c:pt>
                <c:pt idx="260">
                  <c:v>0.93265272877879579</c:v>
                </c:pt>
                <c:pt idx="261">
                  <c:v>0.93264266951069319</c:v>
                </c:pt>
                <c:pt idx="262">
                  <c:v>0.93233508179338775</c:v>
                </c:pt>
                <c:pt idx="263">
                  <c:v>0.93168584460442638</c:v>
                </c:pt>
                <c:pt idx="264">
                  <c:v>0.93135956842457179</c:v>
                </c:pt>
                <c:pt idx="265">
                  <c:v>0.93135011043743809</c:v>
                </c:pt>
                <c:pt idx="266">
                  <c:v>0.9313938089381294</c:v>
                </c:pt>
                <c:pt idx="267">
                  <c:v>0.93134941977686569</c:v>
                </c:pt>
                <c:pt idx="268">
                  <c:v>0.93116918174370578</c:v>
                </c:pt>
                <c:pt idx="269">
                  <c:v>0.93074718813392487</c:v>
                </c:pt>
                <c:pt idx="270">
                  <c:v>0.930009383883317</c:v>
                </c:pt>
                <c:pt idx="271">
                  <c:v>0.92939841741548901</c:v>
                </c:pt>
                <c:pt idx="272">
                  <c:v>0.92929190942979523</c:v>
                </c:pt>
                <c:pt idx="273">
                  <c:v>0.92905497222634448</c:v>
                </c:pt>
                <c:pt idx="274">
                  <c:v>0.92852917639523036</c:v>
                </c:pt>
                <c:pt idx="275">
                  <c:v>0.92811755894487347</c:v>
                </c:pt>
                <c:pt idx="276">
                  <c:v>0.92796772622773938</c:v>
                </c:pt>
                <c:pt idx="277">
                  <c:v>0.92798049938562088</c:v>
                </c:pt>
                <c:pt idx="278">
                  <c:v>0.92744335234486253</c:v>
                </c:pt>
                <c:pt idx="279">
                  <c:v>0.9269596055544842</c:v>
                </c:pt>
                <c:pt idx="280">
                  <c:v>0.92668263441408549</c:v>
                </c:pt>
                <c:pt idx="281">
                  <c:v>0.92657403819583728</c:v>
                </c:pt>
                <c:pt idx="282">
                  <c:v>0.92652643136884771</c:v>
                </c:pt>
                <c:pt idx="283">
                  <c:v>0.9264506049634087</c:v>
                </c:pt>
                <c:pt idx="284">
                  <c:v>0.92599884794566345</c:v>
                </c:pt>
                <c:pt idx="285">
                  <c:v>0.92566141556620873</c:v>
                </c:pt>
                <c:pt idx="286">
                  <c:v>0.92542574592804405</c:v>
                </c:pt>
                <c:pt idx="287">
                  <c:v>0.92525658284029921</c:v>
                </c:pt>
                <c:pt idx="288">
                  <c:v>0.92467811804646993</c:v>
                </c:pt>
                <c:pt idx="289">
                  <c:v>0.92456323275430297</c:v>
                </c:pt>
                <c:pt idx="290">
                  <c:v>0.92421173527542544</c:v>
                </c:pt>
                <c:pt idx="291">
                  <c:v>0.92408639256964931</c:v>
                </c:pt>
                <c:pt idx="292">
                  <c:v>0.92414396928513809</c:v>
                </c:pt>
                <c:pt idx="293">
                  <c:v>0.92415127403636932</c:v>
                </c:pt>
                <c:pt idx="294">
                  <c:v>0.92372334887108365</c:v>
                </c:pt>
                <c:pt idx="295">
                  <c:v>0.92356023109470253</c:v>
                </c:pt>
                <c:pt idx="296">
                  <c:v>0.92325337466506219</c:v>
                </c:pt>
                <c:pt idx="297">
                  <c:v>0.92294327619344041</c:v>
                </c:pt>
                <c:pt idx="298">
                  <c:v>0.92273344538610469</c:v>
                </c:pt>
                <c:pt idx="299">
                  <c:v>0.92231942281187196</c:v>
                </c:pt>
                <c:pt idx="300">
                  <c:v>0.92349443145569221</c:v>
                </c:pt>
                <c:pt idx="301">
                  <c:v>0.92369296793131339</c:v>
                </c:pt>
                <c:pt idx="302">
                  <c:v>0.92349016561097974</c:v>
                </c:pt>
                <c:pt idx="303">
                  <c:v>0.92344983915896595</c:v>
                </c:pt>
                <c:pt idx="304">
                  <c:v>0.92302159710235876</c:v>
                </c:pt>
                <c:pt idx="305">
                  <c:v>0.92261582995332181</c:v>
                </c:pt>
                <c:pt idx="306">
                  <c:v>0.92224142691969357</c:v>
                </c:pt>
                <c:pt idx="307">
                  <c:v>0.92227833257051905</c:v>
                </c:pt>
                <c:pt idx="308">
                  <c:v>0.92162695839649222</c:v>
                </c:pt>
                <c:pt idx="309">
                  <c:v>0.92137391661357515</c:v>
                </c:pt>
                <c:pt idx="310">
                  <c:v>0.92086175523470337</c:v>
                </c:pt>
                <c:pt idx="311">
                  <c:v>0.92031901790601733</c:v>
                </c:pt>
                <c:pt idx="312">
                  <c:v>0.91987334682672839</c:v>
                </c:pt>
                <c:pt idx="313">
                  <c:v>0.91972234404933029</c:v>
                </c:pt>
                <c:pt idx="314">
                  <c:v>0.91960595555474078</c:v>
                </c:pt>
                <c:pt idx="315">
                  <c:v>0.91907219681349694</c:v>
                </c:pt>
                <c:pt idx="316">
                  <c:v>0.91850899155561005</c:v>
                </c:pt>
                <c:pt idx="317">
                  <c:v>0.91836556166825378</c:v>
                </c:pt>
                <c:pt idx="318">
                  <c:v>0.91846627623055732</c:v>
                </c:pt>
                <c:pt idx="319">
                  <c:v>0.9184227564890729</c:v>
                </c:pt>
                <c:pt idx="320">
                  <c:v>0.91794332429591796</c:v>
                </c:pt>
                <c:pt idx="321">
                  <c:v>0.91715752319823241</c:v>
                </c:pt>
                <c:pt idx="322">
                  <c:v>0.91684345139696422</c:v>
                </c:pt>
                <c:pt idx="323">
                  <c:v>0.9170667541481724</c:v>
                </c:pt>
                <c:pt idx="324">
                  <c:v>0.91704690375077769</c:v>
                </c:pt>
                <c:pt idx="325">
                  <c:v>0.91674942405408599</c:v>
                </c:pt>
                <c:pt idx="326">
                  <c:v>0.91629435186559283</c:v>
                </c:pt>
                <c:pt idx="327">
                  <c:v>0.9160265949497729</c:v>
                </c:pt>
                <c:pt idx="328">
                  <c:v>0.91593078001482475</c:v>
                </c:pt>
                <c:pt idx="329">
                  <c:v>0.91573438052426892</c:v>
                </c:pt>
                <c:pt idx="330">
                  <c:v>0.91534312537267237</c:v>
                </c:pt>
                <c:pt idx="331">
                  <c:v>0.91487628757819173</c:v>
                </c:pt>
                <c:pt idx="332">
                  <c:v>0.91445230324087845</c:v>
                </c:pt>
                <c:pt idx="333">
                  <c:v>0.91443736059625758</c:v>
                </c:pt>
                <c:pt idx="334">
                  <c:v>0.91441222055141946</c:v>
                </c:pt>
                <c:pt idx="335">
                  <c:v>0.91425176791230633</c:v>
                </c:pt>
                <c:pt idx="336">
                  <c:v>0.91381029767438171</c:v>
                </c:pt>
                <c:pt idx="337">
                  <c:v>0.91322857458773421</c:v>
                </c:pt>
                <c:pt idx="338">
                  <c:v>0.91319158768272368</c:v>
                </c:pt>
                <c:pt idx="339">
                  <c:v>0.91322904586200715</c:v>
                </c:pt>
                <c:pt idx="340">
                  <c:v>0.91310061549720123</c:v>
                </c:pt>
                <c:pt idx="341">
                  <c:v>0.91272412423101856</c:v>
                </c:pt>
                <c:pt idx="342">
                  <c:v>0.91235524648197008</c:v>
                </c:pt>
                <c:pt idx="343">
                  <c:v>0.91215332983225306</c:v>
                </c:pt>
                <c:pt idx="344">
                  <c:v>0.91219175493633797</c:v>
                </c:pt>
                <c:pt idx="345">
                  <c:v>0.91228154081075952</c:v>
                </c:pt>
                <c:pt idx="346">
                  <c:v>0.91190822658321025</c:v>
                </c:pt>
                <c:pt idx="347">
                  <c:v>0.9113374565607002</c:v>
                </c:pt>
                <c:pt idx="348">
                  <c:v>0.91109414090372731</c:v>
                </c:pt>
                <c:pt idx="349">
                  <c:v>0.91134514320660087</c:v>
                </c:pt>
                <c:pt idx="350">
                  <c:v>0.91137512600086479</c:v>
                </c:pt>
                <c:pt idx="351">
                  <c:v>0.91101663253665888</c:v>
                </c:pt>
                <c:pt idx="352">
                  <c:v>0.91049867773439674</c:v>
                </c:pt>
                <c:pt idx="353">
                  <c:v>0.91017607424370395</c:v>
                </c:pt>
                <c:pt idx="354">
                  <c:v>0.91027917767904631</c:v>
                </c:pt>
                <c:pt idx="355">
                  <c:v>0.91045055088062321</c:v>
                </c:pt>
                <c:pt idx="356">
                  <c:v>0.91009104173910482</c:v>
                </c:pt>
                <c:pt idx="357">
                  <c:v>0.90950755543664286</c:v>
                </c:pt>
                <c:pt idx="358">
                  <c:v>0.90894041747620213</c:v>
                </c:pt>
                <c:pt idx="359">
                  <c:v>0.90863125342770779</c:v>
                </c:pt>
                <c:pt idx="360">
                  <c:v>0.90844921155164104</c:v>
                </c:pt>
                <c:pt idx="361">
                  <c:v>0.90825857298280144</c:v>
                </c:pt>
                <c:pt idx="362">
                  <c:v>0.90787792962776559</c:v>
                </c:pt>
                <c:pt idx="363">
                  <c:v>0.90747184558740701</c:v>
                </c:pt>
                <c:pt idx="364">
                  <c:v>0.90696418569038395</c:v>
                </c:pt>
                <c:pt idx="365">
                  <c:v>0.90697478123610753</c:v>
                </c:pt>
                <c:pt idx="366">
                  <c:v>0.90688666107247851</c:v>
                </c:pt>
                <c:pt idx="367">
                  <c:v>0.90674173610811837</c:v>
                </c:pt>
                <c:pt idx="368">
                  <c:v>0.90643534282733229</c:v>
                </c:pt>
                <c:pt idx="369">
                  <c:v>0.90619498482269334</c:v>
                </c:pt>
                <c:pt idx="370">
                  <c:v>0.906317215493184</c:v>
                </c:pt>
                <c:pt idx="371">
                  <c:v>0.90638075626585157</c:v>
                </c:pt>
                <c:pt idx="372">
                  <c:v>0.90607476113057206</c:v>
                </c:pt>
                <c:pt idx="373">
                  <c:v>0.90564643781977994</c:v>
                </c:pt>
                <c:pt idx="374">
                  <c:v>0.90517325407345106</c:v>
                </c:pt>
                <c:pt idx="375">
                  <c:v>0.90452661701840953</c:v>
                </c:pt>
                <c:pt idx="376">
                  <c:v>0.90376355084168614</c:v>
                </c:pt>
                <c:pt idx="377">
                  <c:v>0.90298477010558431</c:v>
                </c:pt>
                <c:pt idx="378">
                  <c:v>0.90232319853134035</c:v>
                </c:pt>
                <c:pt idx="379">
                  <c:v>0.90235266129882019</c:v>
                </c:pt>
                <c:pt idx="380">
                  <c:v>0.90240993737382447</c:v>
                </c:pt>
                <c:pt idx="381">
                  <c:v>0.90226258290933281</c:v>
                </c:pt>
                <c:pt idx="382">
                  <c:v>0.90176018828349758</c:v>
                </c:pt>
                <c:pt idx="383">
                  <c:v>0.90134438624261337</c:v>
                </c:pt>
                <c:pt idx="384">
                  <c:v>0.9011603455135957</c:v>
                </c:pt>
                <c:pt idx="385">
                  <c:v>0.90128008980602548</c:v>
                </c:pt>
                <c:pt idx="386">
                  <c:v>0.90126552093065559</c:v>
                </c:pt>
                <c:pt idx="387">
                  <c:v>0.90117419935213761</c:v>
                </c:pt>
                <c:pt idx="388">
                  <c:v>0.90087345323720902</c:v>
                </c:pt>
                <c:pt idx="389">
                  <c:v>0.90068953438946875</c:v>
                </c:pt>
                <c:pt idx="390">
                  <c:v>0.9008951724808586</c:v>
                </c:pt>
                <c:pt idx="391">
                  <c:v>0.90066884707396855</c:v>
                </c:pt>
                <c:pt idx="392">
                  <c:v>0.90002261628985214</c:v>
                </c:pt>
                <c:pt idx="393">
                  <c:v>0.89952127796842185</c:v>
                </c:pt>
                <c:pt idx="394">
                  <c:v>0.8991431859947947</c:v>
                </c:pt>
                <c:pt idx="395">
                  <c:v>0.89895934027582092</c:v>
                </c:pt>
                <c:pt idx="396">
                  <c:v>0.89877473076750813</c:v>
                </c:pt>
                <c:pt idx="397">
                  <c:v>0.89834557053861064</c:v>
                </c:pt>
                <c:pt idx="398">
                  <c:v>0.8982381850077189</c:v>
                </c:pt>
                <c:pt idx="399">
                  <c:v>0.89792608768314608</c:v>
                </c:pt>
                <c:pt idx="400">
                  <c:v>0.89736212676133886</c:v>
                </c:pt>
                <c:pt idx="401">
                  <c:v>0.89683485210405756</c:v>
                </c:pt>
                <c:pt idx="402">
                  <c:v>0.8965116392069773</c:v>
                </c:pt>
                <c:pt idx="403">
                  <c:v>0.89631900991060542</c:v>
                </c:pt>
                <c:pt idx="404">
                  <c:v>0.89605278869888194</c:v>
                </c:pt>
                <c:pt idx="405">
                  <c:v>0.89585081517123544</c:v>
                </c:pt>
                <c:pt idx="406">
                  <c:v>0.89597986306784738</c:v>
                </c:pt>
                <c:pt idx="407">
                  <c:v>0.89584276288150222</c:v>
                </c:pt>
                <c:pt idx="408">
                  <c:v>0.89510896446221455</c:v>
                </c:pt>
                <c:pt idx="409">
                  <c:v>0.89447891138633095</c:v>
                </c:pt>
                <c:pt idx="410">
                  <c:v>0.89451098241314919</c:v>
                </c:pt>
                <c:pt idx="411">
                  <c:v>0.89476703872632957</c:v>
                </c:pt>
                <c:pt idx="412">
                  <c:v>0.89479903662438143</c:v>
                </c:pt>
                <c:pt idx="413">
                  <c:v>0.8944901000876051</c:v>
                </c:pt>
                <c:pt idx="414">
                  <c:v>0.89373385113700277</c:v>
                </c:pt>
                <c:pt idx="415">
                  <c:v>0.8934302448747623</c:v>
                </c:pt>
                <c:pt idx="416">
                  <c:v>0.89340477981318434</c:v>
                </c:pt>
                <c:pt idx="417">
                  <c:v>0.89350426743729439</c:v>
                </c:pt>
                <c:pt idx="418">
                  <c:v>0.89320746215033808</c:v>
                </c:pt>
                <c:pt idx="419">
                  <c:v>0.89221086332051536</c:v>
                </c:pt>
                <c:pt idx="420">
                  <c:v>0.89161904033867267</c:v>
                </c:pt>
                <c:pt idx="421">
                  <c:v>0.89226423106922126</c:v>
                </c:pt>
                <c:pt idx="422">
                  <c:v>0.8924693735100826</c:v>
                </c:pt>
                <c:pt idx="423">
                  <c:v>0.89234141441954962</c:v>
                </c:pt>
                <c:pt idx="424">
                  <c:v>0.89215048333564428</c:v>
                </c:pt>
                <c:pt idx="425">
                  <c:v>0.89173685078149956</c:v>
                </c:pt>
                <c:pt idx="426">
                  <c:v>0.89154106882274975</c:v>
                </c:pt>
                <c:pt idx="427">
                  <c:v>0.89543472061528528</c:v>
                </c:pt>
                <c:pt idx="428">
                  <c:v>0.89439249756058692</c:v>
                </c:pt>
                <c:pt idx="429">
                  <c:v>0.89376389893461461</c:v>
                </c:pt>
                <c:pt idx="430">
                  <c:v>0.89308343576235893</c:v>
                </c:pt>
                <c:pt idx="431">
                  <c:v>0.89265485243817488</c:v>
                </c:pt>
                <c:pt idx="432">
                  <c:v>0.89255151336569594</c:v>
                </c:pt>
                <c:pt idx="433">
                  <c:v>0.89265452742143492</c:v>
                </c:pt>
                <c:pt idx="434">
                  <c:v>0.89234811788981194</c:v>
                </c:pt>
                <c:pt idx="435">
                  <c:v>0.89171559468670436</c:v>
                </c:pt>
                <c:pt idx="436">
                  <c:v>0.89118164093541641</c:v>
                </c:pt>
                <c:pt idx="437">
                  <c:v>0.89073948816233783</c:v>
                </c:pt>
                <c:pt idx="438">
                  <c:v>0.89069436771340904</c:v>
                </c:pt>
                <c:pt idx="439">
                  <c:v>0.89055164473746229</c:v>
                </c:pt>
                <c:pt idx="440">
                  <c:v>0.89010928882892126</c:v>
                </c:pt>
                <c:pt idx="441">
                  <c:v>0.88959920755718525</c:v>
                </c:pt>
                <c:pt idx="442">
                  <c:v>0.8892401534391029</c:v>
                </c:pt>
                <c:pt idx="443">
                  <c:v>0.88911750837226877</c:v>
                </c:pt>
                <c:pt idx="444">
                  <c:v>0.88925059460187494</c:v>
                </c:pt>
                <c:pt idx="445">
                  <c:v>0.88871474762807667</c:v>
                </c:pt>
                <c:pt idx="446">
                  <c:v>0.88821060603726387</c:v>
                </c:pt>
                <c:pt idx="447">
                  <c:v>0.88770071977557208</c:v>
                </c:pt>
                <c:pt idx="448">
                  <c:v>0.88773669912868858</c:v>
                </c:pt>
                <c:pt idx="449">
                  <c:v>0.88775628951269137</c:v>
                </c:pt>
                <c:pt idx="450">
                  <c:v>0.88520116228586354</c:v>
                </c:pt>
                <c:pt idx="451">
                  <c:v>0.88639516003271746</c:v>
                </c:pt>
                <c:pt idx="452">
                  <c:v>0.88464035402643415</c:v>
                </c:pt>
                <c:pt idx="453">
                  <c:v>0.88285428953518252</c:v>
                </c:pt>
                <c:pt idx="454">
                  <c:v>0.88206393007771866</c:v>
                </c:pt>
                <c:pt idx="455">
                  <c:v>0.8808289395945339</c:v>
                </c:pt>
                <c:pt idx="456">
                  <c:v>0.88028242394624534</c:v>
                </c:pt>
                <c:pt idx="457">
                  <c:v>0.87928599575021116</c:v>
                </c:pt>
                <c:pt idx="458">
                  <c:v>0.88023808353749267</c:v>
                </c:pt>
                <c:pt idx="459">
                  <c:v>0.88017998679521992</c:v>
                </c:pt>
                <c:pt idx="460">
                  <c:v>0.87988113390280176</c:v>
                </c:pt>
                <c:pt idx="461">
                  <c:v>0.87959449351438845</c:v>
                </c:pt>
                <c:pt idx="462">
                  <c:v>0.87960439839953963</c:v>
                </c:pt>
                <c:pt idx="463">
                  <c:v>0.8799596335709271</c:v>
                </c:pt>
                <c:pt idx="464">
                  <c:v>0.88114916233760621</c:v>
                </c:pt>
                <c:pt idx="465">
                  <c:v>0.88122936021819809</c:v>
                </c:pt>
                <c:pt idx="466">
                  <c:v>0.88097279200365219</c:v>
                </c:pt>
                <c:pt idx="467">
                  <c:v>0.88083554555977406</c:v>
                </c:pt>
                <c:pt idx="468">
                  <c:v>0.88087256496645872</c:v>
                </c:pt>
                <c:pt idx="469">
                  <c:v>0.88096881054858733</c:v>
                </c:pt>
                <c:pt idx="470">
                  <c:v>0.88077001405957411</c:v>
                </c:pt>
                <c:pt idx="471">
                  <c:v>0.88035111623424167</c:v>
                </c:pt>
                <c:pt idx="472">
                  <c:v>0.88022927558383901</c:v>
                </c:pt>
                <c:pt idx="473">
                  <c:v>0.88059646324583951</c:v>
                </c:pt>
                <c:pt idx="474">
                  <c:v>0.88061349412301482</c:v>
                </c:pt>
                <c:pt idx="475">
                  <c:v>0.88029237758390755</c:v>
                </c:pt>
                <c:pt idx="476">
                  <c:v>0.8799125630215584</c:v>
                </c:pt>
                <c:pt idx="477">
                  <c:v>0.87939438070757836</c:v>
                </c:pt>
                <c:pt idx="478">
                  <c:v>0.87940194547220152</c:v>
                </c:pt>
                <c:pt idx="479">
                  <c:v>0.87955539400056804</c:v>
                </c:pt>
                <c:pt idx="480">
                  <c:v>0.87952687378163419</c:v>
                </c:pt>
                <c:pt idx="481">
                  <c:v>0.87892404898314291</c:v>
                </c:pt>
                <c:pt idx="482">
                  <c:v>0.87852600098168054</c:v>
                </c:pt>
                <c:pt idx="483">
                  <c:v>0.87846494658707397</c:v>
                </c:pt>
                <c:pt idx="484">
                  <c:v>0.87846483283121501</c:v>
                </c:pt>
                <c:pt idx="485">
                  <c:v>0.87568248640146207</c:v>
                </c:pt>
                <c:pt idx="486">
                  <c:v>0.87346624600400047</c:v>
                </c:pt>
                <c:pt idx="487">
                  <c:v>0.87259982450396101</c:v>
                </c:pt>
                <c:pt idx="488">
                  <c:v>0.87362019018289538</c:v>
                </c:pt>
                <c:pt idx="489">
                  <c:v>0.87470858999092749</c:v>
                </c:pt>
                <c:pt idx="490">
                  <c:v>0.87505516346619439</c:v>
                </c:pt>
                <c:pt idx="491">
                  <c:v>0.87467111556080701</c:v>
                </c:pt>
                <c:pt idx="492">
                  <c:v>0.87489436143408572</c:v>
                </c:pt>
                <c:pt idx="493">
                  <c:v>0.87441253224247317</c:v>
                </c:pt>
                <c:pt idx="494">
                  <c:v>0.87396695054278772</c:v>
                </c:pt>
                <c:pt idx="495">
                  <c:v>0.87360667761193034</c:v>
                </c:pt>
                <c:pt idx="496">
                  <c:v>0.87383004536648656</c:v>
                </c:pt>
                <c:pt idx="497">
                  <c:v>0.87383210109736698</c:v>
                </c:pt>
                <c:pt idx="498">
                  <c:v>0.8737158182332182</c:v>
                </c:pt>
                <c:pt idx="499">
                  <c:v>0.87320811770910267</c:v>
                </c:pt>
                <c:pt idx="500">
                  <c:v>0.87304223729043173</c:v>
                </c:pt>
                <c:pt idx="501">
                  <c:v>0.87306610976998378</c:v>
                </c:pt>
                <c:pt idx="502">
                  <c:v>0.87294374909279704</c:v>
                </c:pt>
                <c:pt idx="503">
                  <c:v>0.87190863577928579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0D9-47C5-A94A-FB482CEB8F42}"/>
            </c:ext>
          </c:extLst>
        </c:ser>
        <c:ser>
          <c:idx val="4"/>
          <c:order val="4"/>
          <c:tx>
            <c:v>450-2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大小中检!$AQ$3:$AQ$505</c:f>
              <c:numCache>
                <c:formatCode>General</c:formatCode>
                <c:ptCount val="5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</c:numCache>
            </c:numRef>
          </c:xVal>
          <c:yVal>
            <c:numRef>
              <c:f>大小中检!$AS$3:$AS$505</c:f>
              <c:numCache>
                <c:formatCode>0.00%</c:formatCode>
                <c:ptCount val="503"/>
                <c:pt idx="0">
                  <c:v>1</c:v>
                </c:pt>
                <c:pt idx="1">
                  <c:v>1.0009041462938759</c:v>
                </c:pt>
                <c:pt idx="2">
                  <c:v>1.0005343574278474</c:v>
                </c:pt>
                <c:pt idx="3">
                  <c:v>1.0006925405554685</c:v>
                </c:pt>
                <c:pt idx="4">
                  <c:v>1.0006291458334351</c:v>
                </c:pt>
                <c:pt idx="5">
                  <c:v>1.0007108596931662</c:v>
                </c:pt>
                <c:pt idx="6">
                  <c:v>1.0006886748234542</c:v>
                </c:pt>
                <c:pt idx="7">
                  <c:v>1.0000703382661604</c:v>
                </c:pt>
                <c:pt idx="8">
                  <c:v>0.99994665946420325</c:v>
                </c:pt>
                <c:pt idx="9">
                  <c:v>0.99957075601144307</c:v>
                </c:pt>
                <c:pt idx="10">
                  <c:v>0.99952469552723144</c:v>
                </c:pt>
                <c:pt idx="11">
                  <c:v>0.99950671289699133</c:v>
                </c:pt>
                <c:pt idx="12">
                  <c:v>0.99891035602193545</c:v>
                </c:pt>
                <c:pt idx="13">
                  <c:v>0.99878793296732038</c:v>
                </c:pt>
                <c:pt idx="14">
                  <c:v>0.99845271408694736</c:v>
                </c:pt>
                <c:pt idx="15">
                  <c:v>0.9984059231353275</c:v>
                </c:pt>
                <c:pt idx="16">
                  <c:v>0.99842350359811827</c:v>
                </c:pt>
                <c:pt idx="17">
                  <c:v>0.99830952605994183</c:v>
                </c:pt>
                <c:pt idx="18">
                  <c:v>0.99833487902425566</c:v>
                </c:pt>
                <c:pt idx="19">
                  <c:v>0.9979440215083748</c:v>
                </c:pt>
                <c:pt idx="20">
                  <c:v>0.99728669112348145</c:v>
                </c:pt>
                <c:pt idx="21">
                  <c:v>0.99647627446782649</c:v>
                </c:pt>
                <c:pt idx="22">
                  <c:v>0.99598628677940326</c:v>
                </c:pt>
                <c:pt idx="23">
                  <c:v>0.9958271269594049</c:v>
                </c:pt>
                <c:pt idx="24">
                  <c:v>0.99580192993757144</c:v>
                </c:pt>
                <c:pt idx="25">
                  <c:v>0.99538974113187118</c:v>
                </c:pt>
                <c:pt idx="26">
                  <c:v>0.99483696607633842</c:v>
                </c:pt>
                <c:pt idx="27">
                  <c:v>0.9945592078962443</c:v>
                </c:pt>
                <c:pt idx="28">
                  <c:v>0.99447277472460627</c:v>
                </c:pt>
                <c:pt idx="29">
                  <c:v>0.99454596099290893</c:v>
                </c:pt>
                <c:pt idx="30">
                  <c:v>0.99423169585740279</c:v>
                </c:pt>
                <c:pt idx="31">
                  <c:v>0.99357642555475045</c:v>
                </c:pt>
                <c:pt idx="32">
                  <c:v>0.99341381858518529</c:v>
                </c:pt>
                <c:pt idx="33">
                  <c:v>0.99350419956382718</c:v>
                </c:pt>
                <c:pt idx="34">
                  <c:v>0.99335926333954139</c:v>
                </c:pt>
                <c:pt idx="35">
                  <c:v>0.99292993727599477</c:v>
                </c:pt>
                <c:pt idx="36">
                  <c:v>0.9923708670687531</c:v>
                </c:pt>
                <c:pt idx="37">
                  <c:v>0.99201696792072758</c:v>
                </c:pt>
                <c:pt idx="38">
                  <c:v>0.99168714957467585</c:v>
                </c:pt>
                <c:pt idx="39">
                  <c:v>0.99119307455176631</c:v>
                </c:pt>
                <c:pt idx="40">
                  <c:v>0.99084061992355932</c:v>
                </c:pt>
                <c:pt idx="41">
                  <c:v>0.99001281978508893</c:v>
                </c:pt>
                <c:pt idx="42">
                  <c:v>0.98946469838147133</c:v>
                </c:pt>
                <c:pt idx="43">
                  <c:v>0.98913804813002149</c:v>
                </c:pt>
                <c:pt idx="44">
                  <c:v>0.98921303184059828</c:v>
                </c:pt>
                <c:pt idx="45">
                  <c:v>0.98910822207876969</c:v>
                </c:pt>
                <c:pt idx="46">
                  <c:v>0.98851556678574859</c:v>
                </c:pt>
                <c:pt idx="47">
                  <c:v>0.98795510130368236</c:v>
                </c:pt>
                <c:pt idx="48">
                  <c:v>0.98801061682670577</c:v>
                </c:pt>
                <c:pt idx="49">
                  <c:v>0.98670923579025027</c:v>
                </c:pt>
                <c:pt idx="50">
                  <c:v>0.98507233219595991</c:v>
                </c:pt>
                <c:pt idx="51">
                  <c:v>0.98402091054059204</c:v>
                </c:pt>
                <c:pt idx="52">
                  <c:v>0.9834199820886107</c:v>
                </c:pt>
                <c:pt idx="53">
                  <c:v>0.98382030285080246</c:v>
                </c:pt>
                <c:pt idx="54">
                  <c:v>0.98487205280612911</c:v>
                </c:pt>
                <c:pt idx="55">
                  <c:v>0.98598543287121065</c:v>
                </c:pt>
                <c:pt idx="56">
                  <c:v>0.98536739999137879</c:v>
                </c:pt>
                <c:pt idx="57">
                  <c:v>0.98488142576995119</c:v>
                </c:pt>
                <c:pt idx="58">
                  <c:v>0.98507070711116418</c:v>
                </c:pt>
                <c:pt idx="59">
                  <c:v>0.98488709715173839</c:v>
                </c:pt>
                <c:pt idx="60">
                  <c:v>0.98440602280719514</c:v>
                </c:pt>
                <c:pt idx="61">
                  <c:v>0.98361965412351804</c:v>
                </c:pt>
                <c:pt idx="62">
                  <c:v>0.98313619960427368</c:v>
                </c:pt>
                <c:pt idx="63">
                  <c:v>0.98295110408753472</c:v>
                </c:pt>
                <c:pt idx="64">
                  <c:v>0.98287001399772522</c:v>
                </c:pt>
                <c:pt idx="65">
                  <c:v>0.98249201763272809</c:v>
                </c:pt>
                <c:pt idx="66">
                  <c:v>0.9819362878775667</c:v>
                </c:pt>
                <c:pt idx="67">
                  <c:v>0.98149873790005349</c:v>
                </c:pt>
                <c:pt idx="68">
                  <c:v>0.98134563521429397</c:v>
                </c:pt>
                <c:pt idx="69">
                  <c:v>0.98125459763573464</c:v>
                </c:pt>
                <c:pt idx="70">
                  <c:v>0.98125175784109153</c:v>
                </c:pt>
                <c:pt idx="71">
                  <c:v>0.98044356541765709</c:v>
                </c:pt>
                <c:pt idx="72">
                  <c:v>0.97984298168063244</c:v>
                </c:pt>
                <c:pt idx="73">
                  <c:v>0.97951980320124632</c:v>
                </c:pt>
                <c:pt idx="74">
                  <c:v>0.97921739790174955</c:v>
                </c:pt>
                <c:pt idx="75">
                  <c:v>0.97851426146511267</c:v>
                </c:pt>
                <c:pt idx="76">
                  <c:v>0.97824874887347968</c:v>
                </c:pt>
                <c:pt idx="77">
                  <c:v>0.97794520273162633</c:v>
                </c:pt>
                <c:pt idx="78">
                  <c:v>0.97760318804210733</c:v>
                </c:pt>
                <c:pt idx="79">
                  <c:v>0.97716768993933634</c:v>
                </c:pt>
                <c:pt idx="80">
                  <c:v>0.97638956158462376</c:v>
                </c:pt>
                <c:pt idx="81">
                  <c:v>0.97561385444210691</c:v>
                </c:pt>
                <c:pt idx="82">
                  <c:v>0.9765884539071289</c:v>
                </c:pt>
                <c:pt idx="83">
                  <c:v>0.97622569886771637</c:v>
                </c:pt>
                <c:pt idx="84">
                  <c:v>0.97578052412366156</c:v>
                </c:pt>
                <c:pt idx="85">
                  <c:v>0.97489889099945626</c:v>
                </c:pt>
                <c:pt idx="86">
                  <c:v>0.97404341517446391</c:v>
                </c:pt>
                <c:pt idx="87">
                  <c:v>0.97582022379617239</c:v>
                </c:pt>
                <c:pt idx="88">
                  <c:v>0.97526629148328503</c:v>
                </c:pt>
                <c:pt idx="89">
                  <c:v>0.97486961485063539</c:v>
                </c:pt>
                <c:pt idx="90">
                  <c:v>0.97452925807590807</c:v>
                </c:pt>
                <c:pt idx="91">
                  <c:v>0.97407421791809301</c:v>
                </c:pt>
                <c:pt idx="92">
                  <c:v>0.97394549150427001</c:v>
                </c:pt>
                <c:pt idx="93">
                  <c:v>0.97402477594430636</c:v>
                </c:pt>
                <c:pt idx="94">
                  <c:v>0.97372738542667936</c:v>
                </c:pt>
                <c:pt idx="95">
                  <c:v>0.97333234208632458</c:v>
                </c:pt>
                <c:pt idx="96">
                  <c:v>0.97271316015663711</c:v>
                </c:pt>
                <c:pt idx="97">
                  <c:v>0.9727913283768137</c:v>
                </c:pt>
                <c:pt idx="98">
                  <c:v>0.97273460635144193</c:v>
                </c:pt>
                <c:pt idx="99">
                  <c:v>0.97271437486648449</c:v>
                </c:pt>
                <c:pt idx="100">
                  <c:v>0.97223802804134696</c:v>
                </c:pt>
                <c:pt idx="101">
                  <c:v>0.97181463599955464</c:v>
                </c:pt>
                <c:pt idx="102">
                  <c:v>0.97148495718098538</c:v>
                </c:pt>
                <c:pt idx="103">
                  <c:v>0.97223061666977828</c:v>
                </c:pt>
                <c:pt idx="104">
                  <c:v>0.97154827803552779</c:v>
                </c:pt>
                <c:pt idx="105">
                  <c:v>0.9713536782349832</c:v>
                </c:pt>
                <c:pt idx="106">
                  <c:v>0.97059804663494342</c:v>
                </c:pt>
                <c:pt idx="107">
                  <c:v>0.96999158632865734</c:v>
                </c:pt>
                <c:pt idx="108">
                  <c:v>0.96976368870479723</c:v>
                </c:pt>
                <c:pt idx="109">
                  <c:v>0.96961715201821252</c:v>
                </c:pt>
                <c:pt idx="110">
                  <c:v>0.96906305555534578</c:v>
                </c:pt>
                <c:pt idx="111">
                  <c:v>0.96842282139080405</c:v>
                </c:pt>
                <c:pt idx="112">
                  <c:v>0.9681809956411942</c:v>
                </c:pt>
                <c:pt idx="113">
                  <c:v>0.96831393250198805</c:v>
                </c:pt>
                <c:pt idx="114">
                  <c:v>0.96861760175632594</c:v>
                </c:pt>
                <c:pt idx="115">
                  <c:v>0.96855609475905557</c:v>
                </c:pt>
                <c:pt idx="116">
                  <c:v>0.96795693091935242</c:v>
                </c:pt>
                <c:pt idx="117">
                  <c:v>0.96770797285313903</c:v>
                </c:pt>
                <c:pt idx="118">
                  <c:v>0.96774622800583154</c:v>
                </c:pt>
                <c:pt idx="119">
                  <c:v>0.96758634592592385</c:v>
                </c:pt>
                <c:pt idx="120">
                  <c:v>0.967333078922752</c:v>
                </c:pt>
                <c:pt idx="121">
                  <c:v>0.96675110158588906</c:v>
                </c:pt>
                <c:pt idx="122">
                  <c:v>0.9663784975477141</c:v>
                </c:pt>
                <c:pt idx="123">
                  <c:v>0.96651401977068307</c:v>
                </c:pt>
                <c:pt idx="124">
                  <c:v>0.96655616527788668</c:v>
                </c:pt>
                <c:pt idx="125">
                  <c:v>0.96620606620188365</c:v>
                </c:pt>
                <c:pt idx="126">
                  <c:v>0.96556514260742854</c:v>
                </c:pt>
                <c:pt idx="127">
                  <c:v>0.96530690185988166</c:v>
                </c:pt>
                <c:pt idx="128">
                  <c:v>0.96545174780167875</c:v>
                </c:pt>
                <c:pt idx="129">
                  <c:v>0.96543128650675014</c:v>
                </c:pt>
                <c:pt idx="130">
                  <c:v>0.96533631753618498</c:v>
                </c:pt>
                <c:pt idx="131">
                  <c:v>0.96469650195409062</c:v>
                </c:pt>
                <c:pt idx="132">
                  <c:v>0.96424478583335771</c:v>
                </c:pt>
                <c:pt idx="133">
                  <c:v>0.96404088693648171</c:v>
                </c:pt>
                <c:pt idx="134">
                  <c:v>0.96405966569412171</c:v>
                </c:pt>
                <c:pt idx="135">
                  <c:v>0.96408573271084597</c:v>
                </c:pt>
                <c:pt idx="136">
                  <c:v>0.9637088689807064</c:v>
                </c:pt>
                <c:pt idx="137">
                  <c:v>0.96320584778392104</c:v>
                </c:pt>
                <c:pt idx="138">
                  <c:v>0.96311012372345073</c:v>
                </c:pt>
                <c:pt idx="139">
                  <c:v>0.96301638587773075</c:v>
                </c:pt>
                <c:pt idx="140">
                  <c:v>0.96340925423085888</c:v>
                </c:pt>
                <c:pt idx="141">
                  <c:v>0.96290330295694182</c:v>
                </c:pt>
                <c:pt idx="142">
                  <c:v>0.96245725821799633</c:v>
                </c:pt>
                <c:pt idx="143">
                  <c:v>0.95941220223316848</c:v>
                </c:pt>
                <c:pt idx="144">
                  <c:v>0.96192845726695075</c:v>
                </c:pt>
                <c:pt idx="145">
                  <c:v>0.96239911629530295</c:v>
                </c:pt>
                <c:pt idx="146">
                  <c:v>0.96238307063481943</c:v>
                </c:pt>
                <c:pt idx="147">
                  <c:v>0.96214899276423604</c:v>
                </c:pt>
                <c:pt idx="148">
                  <c:v>0.96089099656732846</c:v>
                </c:pt>
                <c:pt idx="149">
                  <c:v>0.95901955548251239</c:v>
                </c:pt>
                <c:pt idx="150">
                  <c:v>0.95933370571303322</c:v>
                </c:pt>
                <c:pt idx="151">
                  <c:v>0.95904470325935209</c:v>
                </c:pt>
                <c:pt idx="152">
                  <c:v>0.95876880818152388</c:v>
                </c:pt>
                <c:pt idx="153">
                  <c:v>0.95891060914120363</c:v>
                </c:pt>
                <c:pt idx="154">
                  <c:v>0.95879971762263949</c:v>
                </c:pt>
                <c:pt idx="155">
                  <c:v>0.95857910825786341</c:v>
                </c:pt>
                <c:pt idx="156">
                  <c:v>0.95805407454884439</c:v>
                </c:pt>
                <c:pt idx="157">
                  <c:v>0.957714005036581</c:v>
                </c:pt>
                <c:pt idx="158">
                  <c:v>0.95764397044788219</c:v>
                </c:pt>
                <c:pt idx="159">
                  <c:v>0.95604450125638751</c:v>
                </c:pt>
                <c:pt idx="160">
                  <c:v>0.95529596914295556</c:v>
                </c:pt>
                <c:pt idx="161">
                  <c:v>0.95454546722977107</c:v>
                </c:pt>
                <c:pt idx="162">
                  <c:v>0.95418597877494793</c:v>
                </c:pt>
                <c:pt idx="163">
                  <c:v>0.95470890315673207</c:v>
                </c:pt>
                <c:pt idx="164">
                  <c:v>0.95528142545478323</c:v>
                </c:pt>
                <c:pt idx="165">
                  <c:v>0.95477498173092801</c:v>
                </c:pt>
                <c:pt idx="166">
                  <c:v>0.95421304710654631</c:v>
                </c:pt>
                <c:pt idx="167">
                  <c:v>0.95384169881571368</c:v>
                </c:pt>
                <c:pt idx="168">
                  <c:v>0.95394402170535475</c:v>
                </c:pt>
                <c:pt idx="169">
                  <c:v>0.95397439765903735</c:v>
                </c:pt>
                <c:pt idx="170">
                  <c:v>0.95375264745190469</c:v>
                </c:pt>
                <c:pt idx="171">
                  <c:v>0.95315843273407963</c:v>
                </c:pt>
                <c:pt idx="172">
                  <c:v>0.9526981069469288</c:v>
                </c:pt>
                <c:pt idx="173">
                  <c:v>0.95265660983214384</c:v>
                </c:pt>
                <c:pt idx="174">
                  <c:v>0.9527052803010273</c:v>
                </c:pt>
                <c:pt idx="175">
                  <c:v>0.95259554603981766</c:v>
                </c:pt>
                <c:pt idx="176">
                  <c:v>0.95217853943222286</c:v>
                </c:pt>
                <c:pt idx="177">
                  <c:v>0.95170238137956165</c:v>
                </c:pt>
                <c:pt idx="178">
                  <c:v>0.95153875668012444</c:v>
                </c:pt>
                <c:pt idx="179">
                  <c:v>0.95146113836237867</c:v>
                </c:pt>
                <c:pt idx="180">
                  <c:v>0.95129540433570647</c:v>
                </c:pt>
                <c:pt idx="181">
                  <c:v>0.95067846305323755</c:v>
                </c:pt>
                <c:pt idx="182">
                  <c:v>0.95017947994594465</c:v>
                </c:pt>
                <c:pt idx="183">
                  <c:v>0.94996427932298899</c:v>
                </c:pt>
                <c:pt idx="184">
                  <c:v>0.95004577978774674</c:v>
                </c:pt>
                <c:pt idx="185">
                  <c:v>0.9498387456262648</c:v>
                </c:pt>
                <c:pt idx="186">
                  <c:v>0.94943798165912874</c:v>
                </c:pt>
                <c:pt idx="187">
                  <c:v>0.94883093041291688</c:v>
                </c:pt>
                <c:pt idx="188">
                  <c:v>0.94863406534265693</c:v>
                </c:pt>
                <c:pt idx="189">
                  <c:v>0.94852791775849654</c:v>
                </c:pt>
                <c:pt idx="190">
                  <c:v>0.94839497269020379</c:v>
                </c:pt>
                <c:pt idx="191">
                  <c:v>0.94815615088521643</c:v>
                </c:pt>
                <c:pt idx="192">
                  <c:v>0.94773151951107981</c:v>
                </c:pt>
                <c:pt idx="193">
                  <c:v>0.94741610532571796</c:v>
                </c:pt>
                <c:pt idx="194">
                  <c:v>0.94763959552263199</c:v>
                </c:pt>
                <c:pt idx="195">
                  <c:v>0.94735948999783282</c:v>
                </c:pt>
                <c:pt idx="196">
                  <c:v>0.94720720806197012</c:v>
                </c:pt>
                <c:pt idx="197">
                  <c:v>0.94673115670679553</c:v>
                </c:pt>
                <c:pt idx="198">
                  <c:v>0.94603930558124039</c:v>
                </c:pt>
                <c:pt idx="199">
                  <c:v>0.94626897602487769</c:v>
                </c:pt>
                <c:pt idx="200">
                  <c:v>0.94645006628212003</c:v>
                </c:pt>
                <c:pt idx="201">
                  <c:v>0.9462494093473367</c:v>
                </c:pt>
                <c:pt idx="202">
                  <c:v>0.94580501431568376</c:v>
                </c:pt>
                <c:pt idx="203">
                  <c:v>0.94533929620171053</c:v>
                </c:pt>
                <c:pt idx="204">
                  <c:v>0.94558248439614911</c:v>
                </c:pt>
                <c:pt idx="205">
                  <c:v>0.94594139011854539</c:v>
                </c:pt>
                <c:pt idx="206">
                  <c:v>0.94605532661922709</c:v>
                </c:pt>
                <c:pt idx="207">
                  <c:v>0.9457341343545913</c:v>
                </c:pt>
                <c:pt idx="208">
                  <c:v>0.94537438325980128</c:v>
                </c:pt>
                <c:pt idx="209">
                  <c:v>0.94515919905184342</c:v>
                </c:pt>
                <c:pt idx="210">
                  <c:v>0.94484025564192509</c:v>
                </c:pt>
                <c:pt idx="211">
                  <c:v>0.94458611043636342</c:v>
                </c:pt>
                <c:pt idx="212">
                  <c:v>0.94410295138708211</c:v>
                </c:pt>
                <c:pt idx="213">
                  <c:v>0.94354157487263024</c:v>
                </c:pt>
                <c:pt idx="214">
                  <c:v>0.94331471960113911</c:v>
                </c:pt>
                <c:pt idx="215">
                  <c:v>0.94485424942766649</c:v>
                </c:pt>
                <c:pt idx="216">
                  <c:v>0.94331480988362781</c:v>
                </c:pt>
                <c:pt idx="217">
                  <c:v>0.94213856858394596</c:v>
                </c:pt>
                <c:pt idx="218">
                  <c:v>0.94202549387065615</c:v>
                </c:pt>
                <c:pt idx="219">
                  <c:v>0.94459212653310731</c:v>
                </c:pt>
                <c:pt idx="220">
                  <c:v>0.94459816725234824</c:v>
                </c:pt>
                <c:pt idx="221">
                  <c:v>0.94353978563785512</c:v>
                </c:pt>
                <c:pt idx="222">
                  <c:v>0.94297121114680782</c:v>
                </c:pt>
                <c:pt idx="223">
                  <c:v>0.9426556492264645</c:v>
                </c:pt>
                <c:pt idx="224">
                  <c:v>0.94240076534599571</c:v>
                </c:pt>
                <c:pt idx="225">
                  <c:v>0.94132399893381302</c:v>
                </c:pt>
                <c:pt idx="226">
                  <c:v>0.9408387962172885</c:v>
                </c:pt>
                <c:pt idx="227">
                  <c:v>0.94039562410298194</c:v>
                </c:pt>
                <c:pt idx="228">
                  <c:v>0.94028653002669171</c:v>
                </c:pt>
                <c:pt idx="229">
                  <c:v>0.94016906430145364</c:v>
                </c:pt>
                <c:pt idx="230">
                  <c:v>0.93981721702817023</c:v>
                </c:pt>
                <c:pt idx="231">
                  <c:v>0.9393756535836616</c:v>
                </c:pt>
                <c:pt idx="232">
                  <c:v>0.93911454841897468</c:v>
                </c:pt>
                <c:pt idx="233">
                  <c:v>0.93896488467528283</c:v>
                </c:pt>
                <c:pt idx="234">
                  <c:v>0.93882817236496352</c:v>
                </c:pt>
                <c:pt idx="235">
                  <c:v>0.93850459171812783</c:v>
                </c:pt>
                <c:pt idx="236">
                  <c:v>0.93811611437694786</c:v>
                </c:pt>
                <c:pt idx="237">
                  <c:v>0.93780484497856509</c:v>
                </c:pt>
                <c:pt idx="238">
                  <c:v>0.93757496934745355</c:v>
                </c:pt>
                <c:pt idx="239">
                  <c:v>0.93750531230370726</c:v>
                </c:pt>
                <c:pt idx="240">
                  <c:v>0.93724094055443097</c:v>
                </c:pt>
                <c:pt idx="241">
                  <c:v>0.93693323321060051</c:v>
                </c:pt>
                <c:pt idx="242">
                  <c:v>0.93662079013986532</c:v>
                </c:pt>
                <c:pt idx="243">
                  <c:v>0.93643912535769502</c:v>
                </c:pt>
                <c:pt idx="244">
                  <c:v>0.93630362775722309</c:v>
                </c:pt>
                <c:pt idx="245">
                  <c:v>0.93604994217160375</c:v>
                </c:pt>
                <c:pt idx="246">
                  <c:v>0.93570379911010348</c:v>
                </c:pt>
                <c:pt idx="247">
                  <c:v>0.9353409948256971</c:v>
                </c:pt>
                <c:pt idx="248">
                  <c:v>0.93504393260802898</c:v>
                </c:pt>
                <c:pt idx="249">
                  <c:v>0.93489648488905863</c:v>
                </c:pt>
                <c:pt idx="250">
                  <c:v>0.93457721317918152</c:v>
                </c:pt>
                <c:pt idx="251">
                  <c:v>0.93410902460801892</c:v>
                </c:pt>
                <c:pt idx="252">
                  <c:v>0.93364296998658791</c:v>
                </c:pt>
                <c:pt idx="253">
                  <c:v>0.93323661671265434</c:v>
                </c:pt>
                <c:pt idx="254">
                  <c:v>0.93334435655161463</c:v>
                </c:pt>
                <c:pt idx="255">
                  <c:v>0.9334194059221832</c:v>
                </c:pt>
                <c:pt idx="256">
                  <c:v>0.93317501122539626</c:v>
                </c:pt>
                <c:pt idx="257">
                  <c:v>0.93290404885444811</c:v>
                </c:pt>
                <c:pt idx="258">
                  <c:v>0.93268813417908214</c:v>
                </c:pt>
                <c:pt idx="259">
                  <c:v>0.93249166306877262</c:v>
                </c:pt>
                <c:pt idx="260">
                  <c:v>0.93240317802239259</c:v>
                </c:pt>
                <c:pt idx="261">
                  <c:v>0.93210417062746875</c:v>
                </c:pt>
                <c:pt idx="262">
                  <c:v>0.93160042717077429</c:v>
                </c:pt>
                <c:pt idx="263">
                  <c:v>0.93131303338689109</c:v>
                </c:pt>
                <c:pt idx="264">
                  <c:v>0.93138539890529681</c:v>
                </c:pt>
                <c:pt idx="265">
                  <c:v>0.93132123267836053</c:v>
                </c:pt>
                <c:pt idx="266">
                  <c:v>0.93120969276737786</c:v>
                </c:pt>
                <c:pt idx="267">
                  <c:v>0.93093338731460118</c:v>
                </c:pt>
                <c:pt idx="268">
                  <c:v>0.93055965064156865</c:v>
                </c:pt>
                <c:pt idx="269">
                  <c:v>0.92976701142867968</c:v>
                </c:pt>
                <c:pt idx="270">
                  <c:v>0.92943999183977621</c:v>
                </c:pt>
                <c:pt idx="271">
                  <c:v>0.92933017550357677</c:v>
                </c:pt>
                <c:pt idx="272">
                  <c:v>0.92898289980721893</c:v>
                </c:pt>
                <c:pt idx="273">
                  <c:v>0.92852132648022478</c:v>
                </c:pt>
                <c:pt idx="274">
                  <c:v>0.92820900652197413</c:v>
                </c:pt>
                <c:pt idx="275">
                  <c:v>0.92811242888161105</c:v>
                </c:pt>
                <c:pt idx="276">
                  <c:v>0.9280109267418668</c:v>
                </c:pt>
                <c:pt idx="277">
                  <c:v>0.92750966194986073</c:v>
                </c:pt>
                <c:pt idx="278">
                  <c:v>0.92707427054457636</c:v>
                </c:pt>
                <c:pt idx="279">
                  <c:v>0.92691207394995956</c:v>
                </c:pt>
                <c:pt idx="280">
                  <c:v>0.9268102106802607</c:v>
                </c:pt>
                <c:pt idx="281">
                  <c:v>0.92670306178122619</c:v>
                </c:pt>
                <c:pt idx="282">
                  <c:v>0.92651124432283194</c:v>
                </c:pt>
                <c:pt idx="283">
                  <c:v>0.9260820003342749</c:v>
                </c:pt>
                <c:pt idx="284">
                  <c:v>0.92583744969500759</c:v>
                </c:pt>
                <c:pt idx="285">
                  <c:v>0.92566794842630884</c:v>
                </c:pt>
                <c:pt idx="286">
                  <c:v>0.92550812379889402</c:v>
                </c:pt>
                <c:pt idx="287">
                  <c:v>0.92501851365542331</c:v>
                </c:pt>
                <c:pt idx="288">
                  <c:v>0.92477814884062992</c:v>
                </c:pt>
                <c:pt idx="289">
                  <c:v>0.92444393127513114</c:v>
                </c:pt>
                <c:pt idx="290">
                  <c:v>0.92437070396933363</c:v>
                </c:pt>
                <c:pt idx="291">
                  <c:v>0.92446261154278353</c:v>
                </c:pt>
                <c:pt idx="292">
                  <c:v>0.92426441685769067</c:v>
                </c:pt>
                <c:pt idx="293">
                  <c:v>0.92393999904596025</c:v>
                </c:pt>
                <c:pt idx="294">
                  <c:v>0.92377451945175604</c:v>
                </c:pt>
                <c:pt idx="295">
                  <c:v>0.92348923499510782</c:v>
                </c:pt>
                <c:pt idx="296">
                  <c:v>0.92328877504029949</c:v>
                </c:pt>
                <c:pt idx="297">
                  <c:v>0.92306577729332362</c:v>
                </c:pt>
                <c:pt idx="298">
                  <c:v>0.92262332743892639</c:v>
                </c:pt>
                <c:pt idx="299">
                  <c:v>0.92244990298572072</c:v>
                </c:pt>
                <c:pt idx="300">
                  <c:v>0.92339757364662689</c:v>
                </c:pt>
                <c:pt idx="301">
                  <c:v>0.923748181587566</c:v>
                </c:pt>
                <c:pt idx="302">
                  <c:v>0.92347483904191696</c:v>
                </c:pt>
                <c:pt idx="303">
                  <c:v>0.92303338229489473</c:v>
                </c:pt>
                <c:pt idx="304">
                  <c:v>0.92261026930806733</c:v>
                </c:pt>
                <c:pt idx="305">
                  <c:v>0.92242450077641291</c:v>
                </c:pt>
                <c:pt idx="306">
                  <c:v>0.92212212830691209</c:v>
                </c:pt>
                <c:pt idx="307">
                  <c:v>0.92173214899342082</c:v>
                </c:pt>
                <c:pt idx="308">
                  <c:v>0.92139306438103352</c:v>
                </c:pt>
                <c:pt idx="309">
                  <c:v>0.92078721142967102</c:v>
                </c:pt>
                <c:pt idx="310">
                  <c:v>0.92036734040493628</c:v>
                </c:pt>
                <c:pt idx="311">
                  <c:v>0.92002275676824008</c:v>
                </c:pt>
                <c:pt idx="312">
                  <c:v>0.92001287493948203</c:v>
                </c:pt>
                <c:pt idx="313">
                  <c:v>0.91965219639730844</c:v>
                </c:pt>
                <c:pt idx="314">
                  <c:v>0.9190612728865698</c:v>
                </c:pt>
                <c:pt idx="315">
                  <c:v>0.9186941104202111</c:v>
                </c:pt>
                <c:pt idx="316">
                  <c:v>0.9187668042385756</c:v>
                </c:pt>
                <c:pt idx="317">
                  <c:v>0.91880649570358763</c:v>
                </c:pt>
                <c:pt idx="318">
                  <c:v>0.91846133754196368</c:v>
                </c:pt>
                <c:pt idx="319">
                  <c:v>0.91772353262968354</c:v>
                </c:pt>
                <c:pt idx="320">
                  <c:v>0.9173446416472989</c:v>
                </c:pt>
                <c:pt idx="321">
                  <c:v>0.91742725833191641</c:v>
                </c:pt>
                <c:pt idx="322">
                  <c:v>0.91743036897402541</c:v>
                </c:pt>
                <c:pt idx="323">
                  <c:v>0.91728591699217876</c:v>
                </c:pt>
                <c:pt idx="324">
                  <c:v>0.91693157463920894</c:v>
                </c:pt>
                <c:pt idx="325">
                  <c:v>0.91653106510454097</c:v>
                </c:pt>
                <c:pt idx="326">
                  <c:v>0.91630356964813031</c:v>
                </c:pt>
                <c:pt idx="327">
                  <c:v>0.91620389778065603</c:v>
                </c:pt>
                <c:pt idx="328">
                  <c:v>0.91598271389095232</c:v>
                </c:pt>
                <c:pt idx="329">
                  <c:v>0.91552256866877879</c:v>
                </c:pt>
                <c:pt idx="330">
                  <c:v>0.91510298490650777</c:v>
                </c:pt>
                <c:pt idx="331">
                  <c:v>0.91495292720286558</c:v>
                </c:pt>
                <c:pt idx="332">
                  <c:v>0.91493543702256364</c:v>
                </c:pt>
                <c:pt idx="333">
                  <c:v>0.91483320441541116</c:v>
                </c:pt>
                <c:pt idx="334">
                  <c:v>0.91441449064803093</c:v>
                </c:pt>
                <c:pt idx="335">
                  <c:v>0.91390970483896738</c:v>
                </c:pt>
                <c:pt idx="336">
                  <c:v>0.91368879179672946</c:v>
                </c:pt>
                <c:pt idx="337">
                  <c:v>0.91373163494134535</c:v>
                </c:pt>
                <c:pt idx="338">
                  <c:v>0.91370252294250387</c:v>
                </c:pt>
                <c:pt idx="339">
                  <c:v>0.91344728613957948</c:v>
                </c:pt>
                <c:pt idx="340">
                  <c:v>0.91310522220506674</c:v>
                </c:pt>
                <c:pt idx="341">
                  <c:v>0.91279454374660973</c:v>
                </c:pt>
                <c:pt idx="342">
                  <c:v>0.91281841115361018</c:v>
                </c:pt>
                <c:pt idx="343">
                  <c:v>0.9129264464625334</c:v>
                </c:pt>
                <c:pt idx="344">
                  <c:v>0.91266410196550229</c:v>
                </c:pt>
                <c:pt idx="345">
                  <c:v>0.9121610479387211</c:v>
                </c:pt>
                <c:pt idx="346">
                  <c:v>0.9117821159188414</c:v>
                </c:pt>
                <c:pt idx="347">
                  <c:v>0.91191836040171959</c:v>
                </c:pt>
                <c:pt idx="348">
                  <c:v>0.9119615728837891</c:v>
                </c:pt>
                <c:pt idx="349">
                  <c:v>0.91176380498864262</c:v>
                </c:pt>
                <c:pt idx="350">
                  <c:v>0.91125228903042477</c:v>
                </c:pt>
                <c:pt idx="351">
                  <c:v>0.91085667116514202</c:v>
                </c:pt>
                <c:pt idx="352">
                  <c:v>0.91085836190992964</c:v>
                </c:pt>
                <c:pt idx="353">
                  <c:v>0.9110174314474393</c:v>
                </c:pt>
                <c:pt idx="354">
                  <c:v>0.91088195026196528</c:v>
                </c:pt>
                <c:pt idx="355">
                  <c:v>0.91034831509402714</c:v>
                </c:pt>
                <c:pt idx="356">
                  <c:v>0.90974985709923539</c:v>
                </c:pt>
                <c:pt idx="357">
                  <c:v>0.90940432139265892</c:v>
                </c:pt>
                <c:pt idx="358">
                  <c:v>0.90918020742582328</c:v>
                </c:pt>
                <c:pt idx="359">
                  <c:v>0.90905455061661455</c:v>
                </c:pt>
                <c:pt idx="360">
                  <c:v>0.90870977820744214</c:v>
                </c:pt>
                <c:pt idx="361">
                  <c:v>0.90843686245173949</c:v>
                </c:pt>
                <c:pt idx="362">
                  <c:v>0.90790152833151494</c:v>
                </c:pt>
                <c:pt idx="363">
                  <c:v>0.90776392961130692</c:v>
                </c:pt>
                <c:pt idx="364">
                  <c:v>0.90775270175271794</c:v>
                </c:pt>
                <c:pt idx="365">
                  <c:v>0.90760113386926544</c:v>
                </c:pt>
                <c:pt idx="366">
                  <c:v>0.90733132875567191</c:v>
                </c:pt>
                <c:pt idx="367">
                  <c:v>0.90709533033032974</c:v>
                </c:pt>
                <c:pt idx="368">
                  <c:v>0.90710270887190247</c:v>
                </c:pt>
                <c:pt idx="369">
                  <c:v>0.90717156158074974</c:v>
                </c:pt>
                <c:pt idx="370">
                  <c:v>0.90698718832391989</c:v>
                </c:pt>
                <c:pt idx="371">
                  <c:v>0.90647794584291652</c:v>
                </c:pt>
                <c:pt idx="372">
                  <c:v>0.90605614605592411</c:v>
                </c:pt>
                <c:pt idx="373">
                  <c:v>0.90581298248398245</c:v>
                </c:pt>
                <c:pt idx="374">
                  <c:v>0.90579302184649091</c:v>
                </c:pt>
                <c:pt idx="375">
                  <c:v>0.90416886449809875</c:v>
                </c:pt>
                <c:pt idx="376">
                  <c:v>0.90351376655292492</c:v>
                </c:pt>
                <c:pt idx="377">
                  <c:v>0.90332558501657367</c:v>
                </c:pt>
                <c:pt idx="378">
                  <c:v>0.90335299806312874</c:v>
                </c:pt>
                <c:pt idx="379">
                  <c:v>0.90329915686989481</c:v>
                </c:pt>
                <c:pt idx="380">
                  <c:v>0.90283096829873222</c:v>
                </c:pt>
                <c:pt idx="381">
                  <c:v>0.90244473981226947</c:v>
                </c:pt>
                <c:pt idx="382">
                  <c:v>0.90223992167550904</c:v>
                </c:pt>
                <c:pt idx="383">
                  <c:v>0.90227935870805287</c:v>
                </c:pt>
                <c:pt idx="384">
                  <c:v>0.90227609212346338</c:v>
                </c:pt>
                <c:pt idx="385">
                  <c:v>0.90222654345219022</c:v>
                </c:pt>
                <c:pt idx="386">
                  <c:v>0.90185018858698673</c:v>
                </c:pt>
                <c:pt idx="387">
                  <c:v>0.9015870233400588</c:v>
                </c:pt>
                <c:pt idx="388">
                  <c:v>0.90163318231425793</c:v>
                </c:pt>
                <c:pt idx="389">
                  <c:v>0.90164277688055217</c:v>
                </c:pt>
                <c:pt idx="390">
                  <c:v>0.90105706513165862</c:v>
                </c:pt>
                <c:pt idx="391">
                  <c:v>0.90067901131416861</c:v>
                </c:pt>
                <c:pt idx="392">
                  <c:v>0.90022800103834699</c:v>
                </c:pt>
                <c:pt idx="393">
                  <c:v>0.90002777910100895</c:v>
                </c:pt>
                <c:pt idx="394">
                  <c:v>0.89980442022407847</c:v>
                </c:pt>
                <c:pt idx="395">
                  <c:v>0.89940387785941467</c:v>
                </c:pt>
                <c:pt idx="396">
                  <c:v>0.8992201940324982</c:v>
                </c:pt>
                <c:pt idx="397">
                  <c:v>0.89910608517433821</c:v>
                </c:pt>
                <c:pt idx="398">
                  <c:v>0.8984256835098442</c:v>
                </c:pt>
                <c:pt idx="399">
                  <c:v>0.8981669831423551</c:v>
                </c:pt>
                <c:pt idx="400">
                  <c:v>0.8979087998473011</c:v>
                </c:pt>
                <c:pt idx="401">
                  <c:v>0.89742365458326923</c:v>
                </c:pt>
                <c:pt idx="402">
                  <c:v>0.89739025826996621</c:v>
                </c:pt>
                <c:pt idx="403">
                  <c:v>0.89700563845330128</c:v>
                </c:pt>
                <c:pt idx="404">
                  <c:v>0.89706713724307285</c:v>
                </c:pt>
                <c:pt idx="405">
                  <c:v>0.89694490296093399</c:v>
                </c:pt>
                <c:pt idx="406">
                  <c:v>0.89641702124977296</c:v>
                </c:pt>
                <c:pt idx="407">
                  <c:v>0.89583270477570387</c:v>
                </c:pt>
                <c:pt idx="408">
                  <c:v>0.89559390759321356</c:v>
                </c:pt>
                <c:pt idx="409">
                  <c:v>0.89587909355987427</c:v>
                </c:pt>
                <c:pt idx="410">
                  <c:v>0.89591982737725517</c:v>
                </c:pt>
                <c:pt idx="411">
                  <c:v>0.89579396538057232</c:v>
                </c:pt>
                <c:pt idx="412">
                  <c:v>0.89510268877994503</c:v>
                </c:pt>
                <c:pt idx="413">
                  <c:v>0.89452563594246326</c:v>
                </c:pt>
                <c:pt idx="414">
                  <c:v>0.89459506317623838</c:v>
                </c:pt>
                <c:pt idx="415">
                  <c:v>0.89475370592380177</c:v>
                </c:pt>
                <c:pt idx="416">
                  <c:v>0.89459043414682016</c:v>
                </c:pt>
                <c:pt idx="417">
                  <c:v>0.89380751261270985</c:v>
                </c:pt>
                <c:pt idx="418">
                  <c:v>0.89296210738895188</c:v>
                </c:pt>
                <c:pt idx="419">
                  <c:v>0.89336846887038446</c:v>
                </c:pt>
                <c:pt idx="420">
                  <c:v>0.8936632411958404</c:v>
                </c:pt>
                <c:pt idx="421">
                  <c:v>0.89356509592317435</c:v>
                </c:pt>
                <c:pt idx="422">
                  <c:v>0.89337909758154876</c:v>
                </c:pt>
                <c:pt idx="423">
                  <c:v>0.89315616549456467</c:v>
                </c:pt>
                <c:pt idx="424">
                  <c:v>0.89278906048069873</c:v>
                </c:pt>
                <c:pt idx="425">
                  <c:v>0.89285008323552995</c:v>
                </c:pt>
                <c:pt idx="426">
                  <c:v>0.89654090523920449</c:v>
                </c:pt>
                <c:pt idx="427">
                  <c:v>0.89589861919992042</c:v>
                </c:pt>
                <c:pt idx="428">
                  <c:v>0.89535115439622048</c:v>
                </c:pt>
                <c:pt idx="429">
                  <c:v>0.89480061998790594</c:v>
                </c:pt>
                <c:pt idx="430">
                  <c:v>0.89422174508565333</c:v>
                </c:pt>
                <c:pt idx="431">
                  <c:v>0.89396874072244825</c:v>
                </c:pt>
                <c:pt idx="432">
                  <c:v>0.89404233736569938</c:v>
                </c:pt>
                <c:pt idx="433">
                  <c:v>0.89371471862937124</c:v>
                </c:pt>
                <c:pt idx="434">
                  <c:v>0.89312880990050236</c:v>
                </c:pt>
                <c:pt idx="435">
                  <c:v>0.89258645836865969</c:v>
                </c:pt>
                <c:pt idx="436">
                  <c:v>0.89214083221216156</c:v>
                </c:pt>
                <c:pt idx="437">
                  <c:v>0.892108100706275</c:v>
                </c:pt>
                <c:pt idx="438">
                  <c:v>0.8919830922894848</c:v>
                </c:pt>
                <c:pt idx="439">
                  <c:v>0.89156958207645065</c:v>
                </c:pt>
                <c:pt idx="440">
                  <c:v>0.89105919054559146</c:v>
                </c:pt>
                <c:pt idx="441">
                  <c:v>0.89067439837144835</c:v>
                </c:pt>
                <c:pt idx="442">
                  <c:v>0.89065725290610298</c:v>
                </c:pt>
                <c:pt idx="443">
                  <c:v>0.89058760406985571</c:v>
                </c:pt>
                <c:pt idx="444">
                  <c:v>0.89009338951946371</c:v>
                </c:pt>
                <c:pt idx="445">
                  <c:v>0.88962726923804103</c:v>
                </c:pt>
                <c:pt idx="446">
                  <c:v>0.88908508185617774</c:v>
                </c:pt>
                <c:pt idx="447">
                  <c:v>0.88912030844175072</c:v>
                </c:pt>
                <c:pt idx="448">
                  <c:v>0.88912423162625775</c:v>
                </c:pt>
                <c:pt idx="449">
                  <c:v>0.88872154710436313</c:v>
                </c:pt>
                <c:pt idx="450">
                  <c:v>0.88662157641826644</c:v>
                </c:pt>
                <c:pt idx="451">
                  <c:v>0.8865390253936406</c:v>
                </c:pt>
                <c:pt idx="452">
                  <c:v>0.88456399746434244</c:v>
                </c:pt>
                <c:pt idx="453">
                  <c:v>0.88388742870186676</c:v>
                </c:pt>
                <c:pt idx="454">
                  <c:v>0.8827216109258752</c:v>
                </c:pt>
                <c:pt idx="455">
                  <c:v>0.88214212866869868</c:v>
                </c:pt>
                <c:pt idx="456">
                  <c:v>0.88204860421795184</c:v>
                </c:pt>
                <c:pt idx="457">
                  <c:v>0.88211130951007177</c:v>
                </c:pt>
                <c:pt idx="458">
                  <c:v>0.88200655720073595</c:v>
                </c:pt>
                <c:pt idx="459">
                  <c:v>0.88177865957687585</c:v>
                </c:pt>
                <c:pt idx="460">
                  <c:v>0.88144040392188439</c:v>
                </c:pt>
                <c:pt idx="461">
                  <c:v>0.88136334371406855</c:v>
                </c:pt>
                <c:pt idx="462">
                  <c:v>0.88166601986103132</c:v>
                </c:pt>
                <c:pt idx="463">
                  <c:v>0.88254668450035811</c:v>
                </c:pt>
                <c:pt idx="464">
                  <c:v>0.88283178018453012</c:v>
                </c:pt>
                <c:pt idx="465">
                  <c:v>0.88260035333611353</c:v>
                </c:pt>
                <c:pt idx="466">
                  <c:v>0.88235493270195553</c:v>
                </c:pt>
                <c:pt idx="467">
                  <c:v>0.88245370174454318</c:v>
                </c:pt>
                <c:pt idx="468">
                  <c:v>0.88255991498869535</c:v>
                </c:pt>
                <c:pt idx="469">
                  <c:v>0.88233275603974248</c:v>
                </c:pt>
                <c:pt idx="470">
                  <c:v>0.88193481545225172</c:v>
                </c:pt>
                <c:pt idx="471">
                  <c:v>0.88179189827271209</c:v>
                </c:pt>
                <c:pt idx="472">
                  <c:v>0.88200897841293158</c:v>
                </c:pt>
                <c:pt idx="473">
                  <c:v>0.8820873436130835</c:v>
                </c:pt>
                <c:pt idx="474">
                  <c:v>0.88181688189957241</c:v>
                </c:pt>
                <c:pt idx="475">
                  <c:v>0.88150580127366585</c:v>
                </c:pt>
                <c:pt idx="476">
                  <c:v>0.88102070525462794</c:v>
                </c:pt>
                <c:pt idx="477">
                  <c:v>0.88098167038953346</c:v>
                </c:pt>
                <c:pt idx="478">
                  <c:v>0.88112562171394304</c:v>
                </c:pt>
                <c:pt idx="479">
                  <c:v>0.88111953995720738</c:v>
                </c:pt>
                <c:pt idx="480">
                  <c:v>0.88058780892902999</c:v>
                </c:pt>
                <c:pt idx="481">
                  <c:v>0.88019795272802326</c:v>
                </c:pt>
                <c:pt idx="482">
                  <c:v>0.88003406538861895</c:v>
                </c:pt>
                <c:pt idx="483">
                  <c:v>0.88004178864514837</c:v>
                </c:pt>
                <c:pt idx="484">
                  <c:v>0.87807825942190509</c:v>
                </c:pt>
                <c:pt idx="485">
                  <c:v>0.87571592782377938</c:v>
                </c:pt>
                <c:pt idx="486">
                  <c:v>0.8749487811026867</c:v>
                </c:pt>
                <c:pt idx="487">
                  <c:v>0.87520507667297798</c:v>
                </c:pt>
                <c:pt idx="488">
                  <c:v>0.87645459452345098</c:v>
                </c:pt>
                <c:pt idx="489">
                  <c:v>0.8767968800604361</c:v>
                </c:pt>
                <c:pt idx="490">
                  <c:v>0.87654059269764373</c:v>
                </c:pt>
                <c:pt idx="491">
                  <c:v>0.87655745090052517</c:v>
                </c:pt>
                <c:pt idx="492">
                  <c:v>0.87631947446793157</c:v>
                </c:pt>
                <c:pt idx="493">
                  <c:v>0.8758659198674299</c:v>
                </c:pt>
                <c:pt idx="494">
                  <c:v>0.87555045643707408</c:v>
                </c:pt>
                <c:pt idx="495">
                  <c:v>0.87559949624341127</c:v>
                </c:pt>
                <c:pt idx="496">
                  <c:v>0.875611569474394</c:v>
                </c:pt>
                <c:pt idx="497">
                  <c:v>0.87557211602685214</c:v>
                </c:pt>
                <c:pt idx="498">
                  <c:v>0.87504483346311579</c:v>
                </c:pt>
                <c:pt idx="499">
                  <c:v>0.87489219039729837</c:v>
                </c:pt>
                <c:pt idx="500">
                  <c:v>0.87468115097631971</c:v>
                </c:pt>
                <c:pt idx="501">
                  <c:v>0.8747058391332172</c:v>
                </c:pt>
                <c:pt idx="502">
                  <c:v>0.87424836134820838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0D9-47C5-A94A-FB482CEB8F42}"/>
            </c:ext>
          </c:extLst>
        </c:ser>
        <c:ser>
          <c:idx val="5"/>
          <c:order val="5"/>
          <c:tx>
            <c:v>450-3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大小中检!$AX$3:$AX$494</c:f>
              <c:numCache>
                <c:formatCode>General</c:formatCode>
                <c:ptCount val="49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</c:numCache>
            </c:numRef>
          </c:xVal>
          <c:yVal>
            <c:numRef>
              <c:f>大小中检!$AZ$3:$AZ$494</c:f>
              <c:numCache>
                <c:formatCode>0.00%</c:formatCode>
                <c:ptCount val="492"/>
                <c:pt idx="0">
                  <c:v>1</c:v>
                </c:pt>
                <c:pt idx="1">
                  <c:v>1.0007624092559595</c:v>
                </c:pt>
                <c:pt idx="2">
                  <c:v>1.000330295643965</c:v>
                </c:pt>
                <c:pt idx="3">
                  <c:v>1.0003304088918836</c:v>
                </c:pt>
                <c:pt idx="4">
                  <c:v>1.0001734310983201</c:v>
                </c:pt>
                <c:pt idx="5">
                  <c:v>1.000256619783727</c:v>
                </c:pt>
                <c:pt idx="6">
                  <c:v>1.0000970777337193</c:v>
                </c:pt>
                <c:pt idx="7">
                  <c:v>0.9996012945240158</c:v>
                </c:pt>
                <c:pt idx="8">
                  <c:v>0.99933296166984253</c:v>
                </c:pt>
                <c:pt idx="9">
                  <c:v>0.99889351929968195</c:v>
                </c:pt>
                <c:pt idx="10">
                  <c:v>0.99894683480196877</c:v>
                </c:pt>
                <c:pt idx="11">
                  <c:v>0.99860998695699454</c:v>
                </c:pt>
                <c:pt idx="12">
                  <c:v>0.99828316964196051</c:v>
                </c:pt>
                <c:pt idx="13">
                  <c:v>0.99812249511276585</c:v>
                </c:pt>
                <c:pt idx="14">
                  <c:v>0.99781920100826893</c:v>
                </c:pt>
                <c:pt idx="15">
                  <c:v>0.99782805861333701</c:v>
                </c:pt>
                <c:pt idx="16">
                  <c:v>0.99761545991342804</c:v>
                </c:pt>
                <c:pt idx="17">
                  <c:v>0.9975664882777362</c:v>
                </c:pt>
                <c:pt idx="18">
                  <c:v>0.99771098453283391</c:v>
                </c:pt>
                <c:pt idx="19">
                  <c:v>0.9973363523287061</c:v>
                </c:pt>
                <c:pt idx="20">
                  <c:v>0.99646767607934028</c:v>
                </c:pt>
                <c:pt idx="21">
                  <c:v>0.9955471484614935</c:v>
                </c:pt>
                <c:pt idx="22">
                  <c:v>0.99517308249695902</c:v>
                </c:pt>
                <c:pt idx="23">
                  <c:v>0.99521009029895602</c:v>
                </c:pt>
                <c:pt idx="24">
                  <c:v>0.99512693397009733</c:v>
                </c:pt>
                <c:pt idx="25">
                  <c:v>0.99471861051016242</c:v>
                </c:pt>
                <c:pt idx="26">
                  <c:v>0.99422385462086416</c:v>
                </c:pt>
                <c:pt idx="27">
                  <c:v>0.99430020798546503</c:v>
                </c:pt>
                <c:pt idx="28">
                  <c:v>0.99412579001242496</c:v>
                </c:pt>
                <c:pt idx="29">
                  <c:v>0.99418250295227217</c:v>
                </c:pt>
                <c:pt idx="30">
                  <c:v>0.99372966497115933</c:v>
                </c:pt>
                <c:pt idx="31">
                  <c:v>0.99331410982270307</c:v>
                </c:pt>
                <c:pt idx="32">
                  <c:v>0.99325259193544913</c:v>
                </c:pt>
                <c:pt idx="33">
                  <c:v>0.99328402632201962</c:v>
                </c:pt>
                <c:pt idx="34">
                  <c:v>0.99314628449635756</c:v>
                </c:pt>
                <c:pt idx="35">
                  <c:v>0.99265523343182749</c:v>
                </c:pt>
                <c:pt idx="36">
                  <c:v>0.99211732199637548</c:v>
                </c:pt>
                <c:pt idx="37">
                  <c:v>0.99171843855937614</c:v>
                </c:pt>
                <c:pt idx="38">
                  <c:v>0.99169315191696261</c:v>
                </c:pt>
                <c:pt idx="39">
                  <c:v>0.99147180077076702</c:v>
                </c:pt>
                <c:pt idx="40">
                  <c:v>0.9906898238922871</c:v>
                </c:pt>
                <c:pt idx="41">
                  <c:v>0.98988693659453686</c:v>
                </c:pt>
                <c:pt idx="42">
                  <c:v>0.98968897114354859</c:v>
                </c:pt>
                <c:pt idx="43">
                  <c:v>0.98975541531526523</c:v>
                </c:pt>
                <c:pt idx="44">
                  <c:v>0.98975866714835858</c:v>
                </c:pt>
                <c:pt idx="45">
                  <c:v>0.98934247295807554</c:v>
                </c:pt>
                <c:pt idx="46">
                  <c:v>0.98884425491812045</c:v>
                </c:pt>
                <c:pt idx="47">
                  <c:v>0.98882162960179587</c:v>
                </c:pt>
                <c:pt idx="48">
                  <c:v>0.98771453412706212</c:v>
                </c:pt>
                <c:pt idx="49">
                  <c:v>0.98657358561378039</c:v>
                </c:pt>
                <c:pt idx="50">
                  <c:v>0.98520061638253609</c:v>
                </c:pt>
                <c:pt idx="51">
                  <c:v>0.98450901134316227</c:v>
                </c:pt>
                <c:pt idx="52">
                  <c:v>0.98452601470923828</c:v>
                </c:pt>
                <c:pt idx="53">
                  <c:v>0.98574914885493292</c:v>
                </c:pt>
                <c:pt idx="54">
                  <c:v>0.98703625998554423</c:v>
                </c:pt>
                <c:pt idx="55">
                  <c:v>0.9867522503837709</c:v>
                </c:pt>
                <c:pt idx="56">
                  <c:v>0.98609065604284707</c:v>
                </c:pt>
                <c:pt idx="57">
                  <c:v>0.98622550195744585</c:v>
                </c:pt>
                <c:pt idx="58">
                  <c:v>0.98619052452884803</c:v>
                </c:pt>
                <c:pt idx="59">
                  <c:v>0.98590182322758657</c:v>
                </c:pt>
                <c:pt idx="60">
                  <c:v>0.98530404408883843</c:v>
                </c:pt>
                <c:pt idx="61">
                  <c:v>0.98456548969803503</c:v>
                </c:pt>
                <c:pt idx="62">
                  <c:v>0.98429803855980003</c:v>
                </c:pt>
                <c:pt idx="63">
                  <c:v>0.98418635184457126</c:v>
                </c:pt>
                <c:pt idx="64">
                  <c:v>0.98384544325279866</c:v>
                </c:pt>
                <c:pt idx="65">
                  <c:v>0.98328962246792107</c:v>
                </c:pt>
                <c:pt idx="66">
                  <c:v>0.98287684189347246</c:v>
                </c:pt>
                <c:pt idx="67">
                  <c:v>0.98288187333671673</c:v>
                </c:pt>
                <c:pt idx="68">
                  <c:v>0.98279152576502193</c:v>
                </c:pt>
                <c:pt idx="69">
                  <c:v>0.98319091881765519</c:v>
                </c:pt>
                <c:pt idx="70">
                  <c:v>0.98233757148299627</c:v>
                </c:pt>
                <c:pt idx="71">
                  <c:v>0.98161927229136237</c:v>
                </c:pt>
                <c:pt idx="72">
                  <c:v>0.98138155682091766</c:v>
                </c:pt>
                <c:pt idx="73">
                  <c:v>0.98112748511536096</c:v>
                </c:pt>
                <c:pt idx="74">
                  <c:v>0.98110735125324722</c:v>
                </c:pt>
                <c:pt idx="75">
                  <c:v>0.98039383274160885</c:v>
                </c:pt>
                <c:pt idx="76">
                  <c:v>0.9803504830561659</c:v>
                </c:pt>
                <c:pt idx="77">
                  <c:v>0.97992607839177859</c:v>
                </c:pt>
                <c:pt idx="78">
                  <c:v>0.97951935658097933</c:v>
                </c:pt>
                <c:pt idx="79">
                  <c:v>0.97839926995214566</c:v>
                </c:pt>
                <c:pt idx="80">
                  <c:v>0.97772800909244895</c:v>
                </c:pt>
                <c:pt idx="81">
                  <c:v>0.97852534724218387</c:v>
                </c:pt>
                <c:pt idx="82">
                  <c:v>0.97808925377476141</c:v>
                </c:pt>
                <c:pt idx="83">
                  <c:v>0.97746280673431329</c:v>
                </c:pt>
                <c:pt idx="84">
                  <c:v>0.97663542552958016</c:v>
                </c:pt>
                <c:pt idx="85">
                  <c:v>0.97606732543466312</c:v>
                </c:pt>
                <c:pt idx="86">
                  <c:v>0.97779437237279498</c:v>
                </c:pt>
                <c:pt idx="87">
                  <c:v>0.97708138774420183</c:v>
                </c:pt>
                <c:pt idx="88">
                  <c:v>0.97680181098953112</c:v>
                </c:pt>
                <c:pt idx="89">
                  <c:v>0.97638918410868647</c:v>
                </c:pt>
                <c:pt idx="90">
                  <c:v>0.97600653556974359</c:v>
                </c:pt>
                <c:pt idx="91">
                  <c:v>0.97591569456068872</c:v>
                </c:pt>
                <c:pt idx="92">
                  <c:v>0.97600647894578418</c:v>
                </c:pt>
                <c:pt idx="93">
                  <c:v>0.97578997319268079</c:v>
                </c:pt>
                <c:pt idx="94">
                  <c:v>0.97534981088932293</c:v>
                </c:pt>
                <c:pt idx="95">
                  <c:v>0.9749497302600405</c:v>
                </c:pt>
                <c:pt idx="96">
                  <c:v>0.97506854350500904</c:v>
                </c:pt>
                <c:pt idx="97">
                  <c:v>0.97486648495067418</c:v>
                </c:pt>
                <c:pt idx="98">
                  <c:v>0.97485334819210745</c:v>
                </c:pt>
                <c:pt idx="99">
                  <c:v>0.97437317701690762</c:v>
                </c:pt>
                <c:pt idx="100">
                  <c:v>0.97386576162812855</c:v>
                </c:pt>
                <c:pt idx="101">
                  <c:v>0.97368256694139077</c:v>
                </c:pt>
                <c:pt idx="102">
                  <c:v>0.97375827317502783</c:v>
                </c:pt>
                <c:pt idx="103">
                  <c:v>0.97348446397507271</c:v>
                </c:pt>
                <c:pt idx="104">
                  <c:v>0.97285372160285188</c:v>
                </c:pt>
                <c:pt idx="105">
                  <c:v>0.97230505161512526</c:v>
                </c:pt>
                <c:pt idx="106">
                  <c:v>0.9720249328882723</c:v>
                </c:pt>
                <c:pt idx="107">
                  <c:v>0.97192322007902421</c:v>
                </c:pt>
                <c:pt idx="108">
                  <c:v>0.97186067487136507</c:v>
                </c:pt>
                <c:pt idx="109">
                  <c:v>0.97110459940971461</c:v>
                </c:pt>
                <c:pt idx="110">
                  <c:v>0.97064376127206087</c:v>
                </c:pt>
                <c:pt idx="111">
                  <c:v>0.97051653532456184</c:v>
                </c:pt>
                <c:pt idx="112">
                  <c:v>0.97084724351451623</c:v>
                </c:pt>
                <c:pt idx="113">
                  <c:v>0.97095747418507627</c:v>
                </c:pt>
                <c:pt idx="114">
                  <c:v>0.97058266401993343</c:v>
                </c:pt>
                <c:pt idx="115">
                  <c:v>0.97013463907536446</c:v>
                </c:pt>
                <c:pt idx="116">
                  <c:v>0.97013846523718839</c:v>
                </c:pt>
                <c:pt idx="117">
                  <c:v>0.97014026102561313</c:v>
                </c:pt>
                <c:pt idx="118">
                  <c:v>0.97011697240005046</c:v>
                </c:pt>
                <c:pt idx="119">
                  <c:v>0.96959489949493938</c:v>
                </c:pt>
                <c:pt idx="120">
                  <c:v>0.96904212022559222</c:v>
                </c:pt>
                <c:pt idx="121">
                  <c:v>0.96892289443463409</c:v>
                </c:pt>
                <c:pt idx="122">
                  <c:v>0.96896437552941883</c:v>
                </c:pt>
                <c:pt idx="123">
                  <c:v>0.96891567083524976</c:v>
                </c:pt>
                <c:pt idx="124">
                  <c:v>0.96842642364828158</c:v>
                </c:pt>
                <c:pt idx="125">
                  <c:v>0.96792111143513504</c:v>
                </c:pt>
                <c:pt idx="126">
                  <c:v>0.96771258966029849</c:v>
                </c:pt>
                <c:pt idx="127">
                  <c:v>0.96760731763074914</c:v>
                </c:pt>
                <c:pt idx="128">
                  <c:v>0.96749377041399909</c:v>
                </c:pt>
                <c:pt idx="129">
                  <c:v>0.96705344632790025</c:v>
                </c:pt>
                <c:pt idx="130">
                  <c:v>0.96658400943756384</c:v>
                </c:pt>
                <c:pt idx="131">
                  <c:v>0.96641306170431762</c:v>
                </c:pt>
                <c:pt idx="132">
                  <c:v>0.9665120403852433</c:v>
                </c:pt>
                <c:pt idx="133">
                  <c:v>0.96660215337196365</c:v>
                </c:pt>
                <c:pt idx="134">
                  <c:v>0.96628956484899786</c:v>
                </c:pt>
                <c:pt idx="135">
                  <c:v>0.96580106186263814</c:v>
                </c:pt>
                <c:pt idx="136">
                  <c:v>0.96562873088695667</c:v>
                </c:pt>
                <c:pt idx="137">
                  <c:v>0.96559181206546718</c:v>
                </c:pt>
                <c:pt idx="138">
                  <c:v>0.96541516957973883</c:v>
                </c:pt>
                <c:pt idx="139">
                  <c:v>0.96501704652162223</c:v>
                </c:pt>
                <c:pt idx="140">
                  <c:v>0.96461644818756853</c:v>
                </c:pt>
                <c:pt idx="141">
                  <c:v>0.96176774532801579</c:v>
                </c:pt>
                <c:pt idx="142">
                  <c:v>0.96455527004407071</c:v>
                </c:pt>
                <c:pt idx="143">
                  <c:v>0.96509525229860715</c:v>
                </c:pt>
                <c:pt idx="144">
                  <c:v>0.96529155947650047</c:v>
                </c:pt>
                <c:pt idx="145">
                  <c:v>0.96507429334451444</c:v>
                </c:pt>
                <c:pt idx="146">
                  <c:v>0.96403496057083615</c:v>
                </c:pt>
                <c:pt idx="147">
                  <c:v>0.96212179876749226</c:v>
                </c:pt>
                <c:pt idx="148">
                  <c:v>0.96163547984813547</c:v>
                </c:pt>
                <c:pt idx="149">
                  <c:v>0.96116492665688646</c:v>
                </c:pt>
                <c:pt idx="150">
                  <c:v>0.96165131028933948</c:v>
                </c:pt>
                <c:pt idx="151">
                  <c:v>0.96209828364609218</c:v>
                </c:pt>
                <c:pt idx="152">
                  <c:v>0.9620869750324984</c:v>
                </c:pt>
                <c:pt idx="153">
                  <c:v>0.96174750630712047</c:v>
                </c:pt>
                <c:pt idx="154">
                  <c:v>0.96126261107588429</c:v>
                </c:pt>
                <c:pt idx="155">
                  <c:v>0.96100627441195396</c:v>
                </c:pt>
                <c:pt idx="156">
                  <c:v>0.96081859025415428</c:v>
                </c:pt>
                <c:pt idx="157">
                  <c:v>0.95925057575039629</c:v>
                </c:pt>
                <c:pt idx="158">
                  <c:v>0.95844545585082064</c:v>
                </c:pt>
                <c:pt idx="159">
                  <c:v>0.9577592786224064</c:v>
                </c:pt>
                <c:pt idx="160">
                  <c:v>0.95756689467598155</c:v>
                </c:pt>
                <c:pt idx="161">
                  <c:v>0.95823468529588463</c:v>
                </c:pt>
                <c:pt idx="162">
                  <c:v>0.95855550856036564</c:v>
                </c:pt>
                <c:pt idx="163">
                  <c:v>0.95810444210026646</c:v>
                </c:pt>
                <c:pt idx="164">
                  <c:v>0.95778090088573709</c:v>
                </c:pt>
                <c:pt idx="165">
                  <c:v>0.95734191150725134</c:v>
                </c:pt>
                <c:pt idx="166">
                  <c:v>0.95741136483794986</c:v>
                </c:pt>
                <c:pt idx="167">
                  <c:v>0.95738165343757053</c:v>
                </c:pt>
                <c:pt idx="168">
                  <c:v>0.95701851589718878</c:v>
                </c:pt>
                <c:pt idx="169">
                  <c:v>0.95639511846140801</c:v>
                </c:pt>
                <c:pt idx="170">
                  <c:v>0.95623483221079164</c:v>
                </c:pt>
                <c:pt idx="171">
                  <c:v>0.95628599600262354</c:v>
                </c:pt>
                <c:pt idx="172">
                  <c:v>0.95637752458832737</c:v>
                </c:pt>
                <c:pt idx="173">
                  <c:v>0.95612051652602215</c:v>
                </c:pt>
                <c:pt idx="174">
                  <c:v>0.95556929037098814</c:v>
                </c:pt>
                <c:pt idx="175">
                  <c:v>0.95522541306591879</c:v>
                </c:pt>
                <c:pt idx="176">
                  <c:v>0.95509369764735774</c:v>
                </c:pt>
                <c:pt idx="177">
                  <c:v>0.95511292552612215</c:v>
                </c:pt>
                <c:pt idx="178">
                  <c:v>0.95482259021917693</c:v>
                </c:pt>
                <c:pt idx="179">
                  <c:v>0.95415719398384025</c:v>
                </c:pt>
                <c:pt idx="180">
                  <c:v>0.95375996073079883</c:v>
                </c:pt>
                <c:pt idx="181">
                  <c:v>0.95380320525746021</c:v>
                </c:pt>
                <c:pt idx="182">
                  <c:v>0.9536268539806656</c:v>
                </c:pt>
                <c:pt idx="183">
                  <c:v>0.95334163909747194</c:v>
                </c:pt>
                <c:pt idx="184">
                  <c:v>0.95267286969198617</c:v>
                </c:pt>
                <c:pt idx="185">
                  <c:v>0.95226619641600918</c:v>
                </c:pt>
                <c:pt idx="186">
                  <c:v>0.95226581622656792</c:v>
                </c:pt>
                <c:pt idx="187">
                  <c:v>0.95218809579780583</c:v>
                </c:pt>
                <c:pt idx="188">
                  <c:v>0.95196160804958441</c:v>
                </c:pt>
                <c:pt idx="189">
                  <c:v>0.95150357684248643</c:v>
                </c:pt>
                <c:pt idx="190">
                  <c:v>0.95097436122936152</c:v>
                </c:pt>
                <c:pt idx="191">
                  <c:v>0.95098598531930023</c:v>
                </c:pt>
                <c:pt idx="192">
                  <c:v>0.95096836717880862</c:v>
                </c:pt>
                <c:pt idx="193">
                  <c:v>0.95085013635170745</c:v>
                </c:pt>
                <c:pt idx="194">
                  <c:v>0.95047365982433263</c:v>
                </c:pt>
                <c:pt idx="195">
                  <c:v>0.9499381427734469</c:v>
                </c:pt>
                <c:pt idx="196">
                  <c:v>0.95016131397547832</c:v>
                </c:pt>
                <c:pt idx="197">
                  <c:v>0.95029686364500021</c:v>
                </c:pt>
                <c:pt idx="198">
                  <c:v>0.95017859237221403</c:v>
                </c:pt>
                <c:pt idx="199">
                  <c:v>0.94971503628451182</c:v>
                </c:pt>
                <c:pt idx="200">
                  <c:v>0.94928390145810015</c:v>
                </c:pt>
                <c:pt idx="201">
                  <c:v>0.94956628514332664</c:v>
                </c:pt>
                <c:pt idx="202">
                  <c:v>0.95005843633049536</c:v>
                </c:pt>
                <c:pt idx="203">
                  <c:v>0.95031004893838944</c:v>
                </c:pt>
                <c:pt idx="204">
                  <c:v>0.95007649937352467</c:v>
                </c:pt>
                <c:pt idx="205">
                  <c:v>0.94969754757021296</c:v>
                </c:pt>
                <c:pt idx="206">
                  <c:v>0.94947894673061395</c:v>
                </c:pt>
                <c:pt idx="207">
                  <c:v>0.94919789775300034</c:v>
                </c:pt>
                <c:pt idx="208">
                  <c:v>0.94895060474429027</c:v>
                </c:pt>
                <c:pt idx="209">
                  <c:v>0.94844305184018118</c:v>
                </c:pt>
                <c:pt idx="210">
                  <c:v>0.9478923838356037</c:v>
                </c:pt>
                <c:pt idx="211">
                  <c:v>0.94765877764677964</c:v>
                </c:pt>
                <c:pt idx="212">
                  <c:v>0.94880127927437463</c:v>
                </c:pt>
                <c:pt idx="213">
                  <c:v>0.9473684666072455</c:v>
                </c:pt>
                <c:pt idx="214">
                  <c:v>0.94608726054667969</c:v>
                </c:pt>
                <c:pt idx="215">
                  <c:v>0.94614047089018471</c:v>
                </c:pt>
                <c:pt idx="216">
                  <c:v>0.94878629819256077</c:v>
                </c:pt>
                <c:pt idx="217">
                  <c:v>0.94894332452094654</c:v>
                </c:pt>
                <c:pt idx="218">
                  <c:v>0.9479195876034977</c:v>
                </c:pt>
                <c:pt idx="219">
                  <c:v>0.94741051394162379</c:v>
                </c:pt>
                <c:pt idx="220">
                  <c:v>0.94699167460352573</c:v>
                </c:pt>
                <c:pt idx="221">
                  <c:v>0.94681993413484866</c:v>
                </c:pt>
                <c:pt idx="222">
                  <c:v>0.9465672618500014</c:v>
                </c:pt>
                <c:pt idx="223">
                  <c:v>0.94626086960601485</c:v>
                </c:pt>
                <c:pt idx="224">
                  <c:v>0.94581992265636328</c:v>
                </c:pt>
                <c:pt idx="225">
                  <c:v>0.94513308211871105</c:v>
                </c:pt>
                <c:pt idx="226">
                  <c:v>0.94509875182107717</c:v>
                </c:pt>
                <c:pt idx="227">
                  <c:v>0.94476994457832908</c:v>
                </c:pt>
                <c:pt idx="228">
                  <c:v>0.94433633447598053</c:v>
                </c:pt>
                <c:pt idx="229">
                  <c:v>0.94399269175588563</c:v>
                </c:pt>
                <c:pt idx="230">
                  <c:v>0.94388508196572918</c:v>
                </c:pt>
                <c:pt idx="231">
                  <c:v>0.94361093302201804</c:v>
                </c:pt>
                <c:pt idx="232">
                  <c:v>0.94329604718413052</c:v>
                </c:pt>
                <c:pt idx="233">
                  <c:v>0.94288204514998752</c:v>
                </c:pt>
                <c:pt idx="234">
                  <c:v>0.94263460653681064</c:v>
                </c:pt>
                <c:pt idx="235">
                  <c:v>0.94256579224793902</c:v>
                </c:pt>
                <c:pt idx="236">
                  <c:v>0.94248804755176563</c:v>
                </c:pt>
                <c:pt idx="237">
                  <c:v>0.94214220458639353</c:v>
                </c:pt>
                <c:pt idx="238">
                  <c:v>0.94182652601307526</c:v>
                </c:pt>
                <c:pt idx="239">
                  <c:v>0.94159304925044407</c:v>
                </c:pt>
                <c:pt idx="240">
                  <c:v>0.94144249423169701</c:v>
                </c:pt>
                <c:pt idx="241">
                  <c:v>0.94127075376302005</c:v>
                </c:pt>
                <c:pt idx="242">
                  <c:v>0.94101464359492704</c:v>
                </c:pt>
                <c:pt idx="243">
                  <c:v>0.94066232931991611</c:v>
                </c:pt>
                <c:pt idx="244">
                  <c:v>0.94031758647718255</c:v>
                </c:pt>
                <c:pt idx="245">
                  <c:v>0.94014616957398756</c:v>
                </c:pt>
                <c:pt idx="246">
                  <c:v>0.9399288710854532</c:v>
                </c:pt>
                <c:pt idx="247">
                  <c:v>0.93952368621069327</c:v>
                </c:pt>
                <c:pt idx="248">
                  <c:v>0.93899900860345242</c:v>
                </c:pt>
                <c:pt idx="249">
                  <c:v>0.93852851203616283</c:v>
                </c:pt>
                <c:pt idx="250">
                  <c:v>0.93850563595658953</c:v>
                </c:pt>
                <c:pt idx="251">
                  <c:v>0.93851387069810488</c:v>
                </c:pt>
                <c:pt idx="252">
                  <c:v>0.93836002340057922</c:v>
                </c:pt>
                <c:pt idx="253">
                  <c:v>0.938082201988648</c:v>
                </c:pt>
                <c:pt idx="254">
                  <c:v>0.93793894337151884</c:v>
                </c:pt>
                <c:pt idx="255">
                  <c:v>0.93776262445127234</c:v>
                </c:pt>
                <c:pt idx="256">
                  <c:v>0.93765825840507244</c:v>
                </c:pt>
                <c:pt idx="257">
                  <c:v>0.93745172655794984</c:v>
                </c:pt>
                <c:pt idx="258">
                  <c:v>0.93696836017361596</c:v>
                </c:pt>
                <c:pt idx="259">
                  <c:v>0.93665445312131124</c:v>
                </c:pt>
                <c:pt idx="260">
                  <c:v>0.93666703981855881</c:v>
                </c:pt>
                <c:pt idx="261">
                  <c:v>0.93671523489709374</c:v>
                </c:pt>
                <c:pt idx="262">
                  <c:v>0.93661728353657336</c:v>
                </c:pt>
                <c:pt idx="263">
                  <c:v>0.93635559186391681</c:v>
                </c:pt>
                <c:pt idx="264">
                  <c:v>0.93596290470589671</c:v>
                </c:pt>
                <c:pt idx="265">
                  <c:v>0.93522045135103604</c:v>
                </c:pt>
                <c:pt idx="266">
                  <c:v>0.93499384226575899</c:v>
                </c:pt>
                <c:pt idx="267">
                  <c:v>0.93481310667668394</c:v>
                </c:pt>
                <c:pt idx="268">
                  <c:v>0.93435416139709948</c:v>
                </c:pt>
                <c:pt idx="269">
                  <c:v>0.93392348765149957</c:v>
                </c:pt>
                <c:pt idx="270">
                  <c:v>0.93364852979408353</c:v>
                </c:pt>
                <c:pt idx="271">
                  <c:v>0.93365308397824176</c:v>
                </c:pt>
                <c:pt idx="272">
                  <c:v>0.93340974655754849</c:v>
                </c:pt>
                <c:pt idx="273">
                  <c:v>0.93296388950170839</c:v>
                </c:pt>
                <c:pt idx="274">
                  <c:v>0.93262186460902319</c:v>
                </c:pt>
                <c:pt idx="275">
                  <c:v>0.93246927112774003</c:v>
                </c:pt>
                <c:pt idx="276">
                  <c:v>0.93234588752033909</c:v>
                </c:pt>
                <c:pt idx="277">
                  <c:v>0.93227374050700329</c:v>
                </c:pt>
                <c:pt idx="278">
                  <c:v>0.93197718465366775</c:v>
                </c:pt>
                <c:pt idx="279">
                  <c:v>0.93159452802558784</c:v>
                </c:pt>
                <c:pt idx="280">
                  <c:v>0.93135195907291402</c:v>
                </c:pt>
                <c:pt idx="281">
                  <c:v>0.93131698973345334</c:v>
                </c:pt>
                <c:pt idx="282">
                  <c:v>0.9309103569031616</c:v>
                </c:pt>
                <c:pt idx="283">
                  <c:v>0.93066444713688679</c:v>
                </c:pt>
                <c:pt idx="284">
                  <c:v>0.93029452281052116</c:v>
                </c:pt>
                <c:pt idx="285">
                  <c:v>0.93010946762226232</c:v>
                </c:pt>
                <c:pt idx="286">
                  <c:v>0.93014054608680263</c:v>
                </c:pt>
                <c:pt idx="287">
                  <c:v>0.93020776681567596</c:v>
                </c:pt>
                <c:pt idx="288">
                  <c:v>0.9298624091985267</c:v>
                </c:pt>
                <c:pt idx="289">
                  <c:v>0.92971313226343333</c:v>
                </c:pt>
                <c:pt idx="290">
                  <c:v>0.9295152072581303</c:v>
                </c:pt>
                <c:pt idx="291">
                  <c:v>0.92927848675154268</c:v>
                </c:pt>
                <c:pt idx="292">
                  <c:v>0.9290943456357702</c:v>
                </c:pt>
                <c:pt idx="293">
                  <c:v>0.92867760138416777</c:v>
                </c:pt>
                <c:pt idx="294">
                  <c:v>0.92842488865363526</c:v>
                </c:pt>
                <c:pt idx="295">
                  <c:v>0.92797643498480265</c:v>
                </c:pt>
                <c:pt idx="296">
                  <c:v>0.92987345895973483</c:v>
                </c:pt>
                <c:pt idx="297">
                  <c:v>0.93022089548510556</c:v>
                </c:pt>
                <c:pt idx="298">
                  <c:v>0.92973601643214365</c:v>
                </c:pt>
                <c:pt idx="299">
                  <c:v>0.92919715856765683</c:v>
                </c:pt>
                <c:pt idx="300">
                  <c:v>0.92784545567771315</c:v>
                </c:pt>
                <c:pt idx="301">
                  <c:v>0.92827667948463244</c:v>
                </c:pt>
                <c:pt idx="302">
                  <c:v>0.92798816423352304</c:v>
                </c:pt>
                <c:pt idx="303">
                  <c:v>0.92733678647269147</c:v>
                </c:pt>
                <c:pt idx="304">
                  <c:v>0.92681645273204571</c:v>
                </c:pt>
                <c:pt idx="305">
                  <c:v>0.9265526497946196</c:v>
                </c:pt>
                <c:pt idx="306">
                  <c:v>0.92647289090332141</c:v>
                </c:pt>
                <c:pt idx="307">
                  <c:v>0.92604664191568697</c:v>
                </c:pt>
                <c:pt idx="308">
                  <c:v>0.92541901386122982</c:v>
                </c:pt>
                <c:pt idx="309">
                  <c:v>0.92512955218108572</c:v>
                </c:pt>
                <c:pt idx="310">
                  <c:v>0.92512752180768665</c:v>
                </c:pt>
                <c:pt idx="311">
                  <c:v>0.92516387438958259</c:v>
                </c:pt>
                <c:pt idx="312">
                  <c:v>0.9247804169369348</c:v>
                </c:pt>
                <c:pt idx="313">
                  <c:v>0.92412575498646166</c:v>
                </c:pt>
                <c:pt idx="314">
                  <c:v>0.92372907179473951</c:v>
                </c:pt>
                <c:pt idx="315">
                  <c:v>0.92387851051257375</c:v>
                </c:pt>
                <c:pt idx="316">
                  <c:v>0.92383541967951632</c:v>
                </c:pt>
                <c:pt idx="317">
                  <c:v>0.92362417995463153</c:v>
                </c:pt>
                <c:pt idx="318">
                  <c:v>0.92318824018081291</c:v>
                </c:pt>
                <c:pt idx="319">
                  <c:v>0.92287099231490732</c:v>
                </c:pt>
                <c:pt idx="320">
                  <c:v>0.92276289717652804</c:v>
                </c:pt>
                <c:pt idx="321">
                  <c:v>0.92270734907241581</c:v>
                </c:pt>
                <c:pt idx="322">
                  <c:v>0.92235019749344993</c:v>
                </c:pt>
                <c:pt idx="323">
                  <c:v>0.92184170624944328</c:v>
                </c:pt>
                <c:pt idx="324">
                  <c:v>0.92141815903358304</c:v>
                </c:pt>
                <c:pt idx="325">
                  <c:v>0.9214053296622241</c:v>
                </c:pt>
                <c:pt idx="326">
                  <c:v>0.92142171825388441</c:v>
                </c:pt>
                <c:pt idx="327">
                  <c:v>0.92112369017760609</c:v>
                </c:pt>
                <c:pt idx="328">
                  <c:v>0.92071362755320563</c:v>
                </c:pt>
                <c:pt idx="329">
                  <c:v>0.92031986453995818</c:v>
                </c:pt>
                <c:pt idx="330">
                  <c:v>0.92034828976754657</c:v>
                </c:pt>
                <c:pt idx="331">
                  <c:v>0.9203778070286367</c:v>
                </c:pt>
                <c:pt idx="332">
                  <c:v>0.92027339244761441</c:v>
                </c:pt>
                <c:pt idx="333">
                  <c:v>0.9198825415237043</c:v>
                </c:pt>
                <c:pt idx="334">
                  <c:v>0.91950836231125133</c:v>
                </c:pt>
                <c:pt idx="335">
                  <c:v>0.91945350987292529</c:v>
                </c:pt>
                <c:pt idx="336">
                  <c:v>0.9196028838776632</c:v>
                </c:pt>
                <c:pt idx="337">
                  <c:v>0.91935203164865165</c:v>
                </c:pt>
                <c:pt idx="338">
                  <c:v>0.91888766664724464</c:v>
                </c:pt>
                <c:pt idx="339">
                  <c:v>0.91843113193050063</c:v>
                </c:pt>
                <c:pt idx="340">
                  <c:v>0.91849185708232384</c:v>
                </c:pt>
                <c:pt idx="341">
                  <c:v>0.91861581501845524</c:v>
                </c:pt>
                <c:pt idx="342">
                  <c:v>0.91854954071861683</c:v>
                </c:pt>
                <c:pt idx="343">
                  <c:v>0.91811693366926228</c:v>
                </c:pt>
                <c:pt idx="344">
                  <c:v>0.91768439942214119</c:v>
                </c:pt>
                <c:pt idx="345">
                  <c:v>0.91761497035885387</c:v>
                </c:pt>
                <c:pt idx="346">
                  <c:v>0.91773758549823525</c:v>
                </c:pt>
                <c:pt idx="347">
                  <c:v>0.91760077392333372</c:v>
                </c:pt>
                <c:pt idx="348">
                  <c:v>0.9171222771995029</c:v>
                </c:pt>
                <c:pt idx="349">
                  <c:v>0.91653998066906561</c:v>
                </c:pt>
                <c:pt idx="350">
                  <c:v>0.91625482240983136</c:v>
                </c:pt>
                <c:pt idx="351">
                  <c:v>0.91608567855414702</c:v>
                </c:pt>
                <c:pt idx="352">
                  <c:v>0.91598116690348019</c:v>
                </c:pt>
                <c:pt idx="353">
                  <c:v>0.91554999163138329</c:v>
                </c:pt>
                <c:pt idx="354">
                  <c:v>0.91522118438863531</c:v>
                </c:pt>
                <c:pt idx="355">
                  <c:v>0.91463190693292518</c:v>
                </c:pt>
                <c:pt idx="356">
                  <c:v>0.91464012549616647</c:v>
                </c:pt>
                <c:pt idx="357">
                  <c:v>0.91457075305683844</c:v>
                </c:pt>
                <c:pt idx="358">
                  <c:v>0.91447749339580608</c:v>
                </c:pt>
                <c:pt idx="359">
                  <c:v>0.91422410926689845</c:v>
                </c:pt>
                <c:pt idx="360">
                  <c:v>0.91399528375807004</c:v>
                </c:pt>
                <c:pt idx="361">
                  <c:v>0.91405717374562834</c:v>
                </c:pt>
                <c:pt idx="362">
                  <c:v>0.91411725985562453</c:v>
                </c:pt>
                <c:pt idx="363">
                  <c:v>0.91369593715245279</c:v>
                </c:pt>
                <c:pt idx="364">
                  <c:v>0.9133572045385463</c:v>
                </c:pt>
                <c:pt idx="365">
                  <c:v>0.91283661194551502</c:v>
                </c:pt>
                <c:pt idx="366">
                  <c:v>0.91280029172016719</c:v>
                </c:pt>
                <c:pt idx="367">
                  <c:v>0.91275748400690648</c:v>
                </c:pt>
                <c:pt idx="368">
                  <c:v>0.91231978080121146</c:v>
                </c:pt>
                <c:pt idx="369">
                  <c:v>0.91187199853075385</c:v>
                </c:pt>
                <c:pt idx="370">
                  <c:v>0.91152228086873543</c:v>
                </c:pt>
                <c:pt idx="371">
                  <c:v>0.91140268297747318</c:v>
                </c:pt>
                <c:pt idx="372">
                  <c:v>0.91131397750059917</c:v>
                </c:pt>
                <c:pt idx="373">
                  <c:v>0.91073727056386244</c:v>
                </c:pt>
                <c:pt idx="374">
                  <c:v>0.91015410040662392</c:v>
                </c:pt>
                <c:pt idx="375">
                  <c:v>0.90964682253317464</c:v>
                </c:pt>
                <c:pt idx="376">
                  <c:v>0.90964458993134922</c:v>
                </c:pt>
                <c:pt idx="377">
                  <c:v>0.90964150797013377</c:v>
                </c:pt>
                <c:pt idx="378">
                  <c:v>0.90917895493542566</c:v>
                </c:pt>
                <c:pt idx="379">
                  <c:v>0.90885401430018675</c:v>
                </c:pt>
                <c:pt idx="380">
                  <c:v>0.90885816402749264</c:v>
                </c:pt>
                <c:pt idx="381">
                  <c:v>0.90886623698626712</c:v>
                </c:pt>
                <c:pt idx="382">
                  <c:v>0.90836507450042636</c:v>
                </c:pt>
                <c:pt idx="383">
                  <c:v>0.90791445294286488</c:v>
                </c:pt>
                <c:pt idx="384">
                  <c:v>0.90742659708746898</c:v>
                </c:pt>
                <c:pt idx="385">
                  <c:v>0.90715259374822466</c:v>
                </c:pt>
                <c:pt idx="386">
                  <c:v>0.90693121024548096</c:v>
                </c:pt>
                <c:pt idx="387">
                  <c:v>0.9065700788110872</c:v>
                </c:pt>
                <c:pt idx="388">
                  <c:v>0.90629871253052063</c:v>
                </c:pt>
                <c:pt idx="389">
                  <c:v>0.90609146075020064</c:v>
                </c:pt>
                <c:pt idx="390">
                  <c:v>0.90561793884565467</c:v>
                </c:pt>
                <c:pt idx="391">
                  <c:v>0.90523173108641053</c:v>
                </c:pt>
                <c:pt idx="392">
                  <c:v>0.90487035697790519</c:v>
                </c:pt>
                <c:pt idx="393">
                  <c:v>0.90459247085287764</c:v>
                </c:pt>
                <c:pt idx="394">
                  <c:v>0.90428283486493455</c:v>
                </c:pt>
                <c:pt idx="395">
                  <c:v>0.90414977664962359</c:v>
                </c:pt>
                <c:pt idx="396">
                  <c:v>0.90418292593324845</c:v>
                </c:pt>
                <c:pt idx="397">
                  <c:v>0.90400691440020975</c:v>
                </c:pt>
                <c:pt idx="398">
                  <c:v>0.9034450833865052</c:v>
                </c:pt>
                <c:pt idx="399">
                  <c:v>0.90292578505540189</c:v>
                </c:pt>
                <c:pt idx="400">
                  <c:v>0.90299073273676433</c:v>
                </c:pt>
                <c:pt idx="401">
                  <c:v>0.90307590326074816</c:v>
                </c:pt>
                <c:pt idx="402">
                  <c:v>0.90310795242173436</c:v>
                </c:pt>
                <c:pt idx="403">
                  <c:v>0.90266193358315339</c:v>
                </c:pt>
                <c:pt idx="404">
                  <c:v>0.90198326307392018</c:v>
                </c:pt>
                <c:pt idx="405">
                  <c:v>0.90190864078464761</c:v>
                </c:pt>
                <c:pt idx="406">
                  <c:v>0.90189461422100548</c:v>
                </c:pt>
                <c:pt idx="407">
                  <c:v>0.90186792815788241</c:v>
                </c:pt>
                <c:pt idx="408">
                  <c:v>0.90139183390775512</c:v>
                </c:pt>
                <c:pt idx="409">
                  <c:v>0.90044271927957897</c:v>
                </c:pt>
                <c:pt idx="410">
                  <c:v>0.90018251600813937</c:v>
                </c:pt>
                <c:pt idx="411">
                  <c:v>0.90063896174437585</c:v>
                </c:pt>
                <c:pt idx="412">
                  <c:v>0.90066016337257992</c:v>
                </c:pt>
                <c:pt idx="413">
                  <c:v>0.90063472303656245</c:v>
                </c:pt>
                <c:pt idx="414">
                  <c:v>0.90056688753327363</c:v>
                </c:pt>
                <c:pt idx="415">
                  <c:v>0.90014450515314837</c:v>
                </c:pt>
                <c:pt idx="416">
                  <c:v>0.90022104456790142</c:v>
                </c:pt>
                <c:pt idx="417">
                  <c:v>0.90318724214308388</c:v>
                </c:pt>
                <c:pt idx="418">
                  <c:v>0.9025706153150127</c:v>
                </c:pt>
                <c:pt idx="419">
                  <c:v>0.90192107378829112</c:v>
                </c:pt>
                <c:pt idx="420">
                  <c:v>0.9013801208373089</c:v>
                </c:pt>
                <c:pt idx="421">
                  <c:v>0.90083481593059445</c:v>
                </c:pt>
                <c:pt idx="422">
                  <c:v>0.90083360256003719</c:v>
                </c:pt>
                <c:pt idx="423">
                  <c:v>0.90068329021540161</c:v>
                </c:pt>
                <c:pt idx="424">
                  <c:v>0.90062068029464615</c:v>
                </c:pt>
                <c:pt idx="425">
                  <c:v>0.89994454977444616</c:v>
                </c:pt>
                <c:pt idx="426">
                  <c:v>0.89939342877819395</c:v>
                </c:pt>
                <c:pt idx="427">
                  <c:v>0.89913447932299684</c:v>
                </c:pt>
                <c:pt idx="428">
                  <c:v>0.8990996070531807</c:v>
                </c:pt>
                <c:pt idx="429">
                  <c:v>0.89890354254939875</c:v>
                </c:pt>
                <c:pt idx="430">
                  <c:v>0.89836902855150713</c:v>
                </c:pt>
                <c:pt idx="431">
                  <c:v>0.89789525588371277</c:v>
                </c:pt>
                <c:pt idx="432">
                  <c:v>0.89757186836278724</c:v>
                </c:pt>
                <c:pt idx="433">
                  <c:v>0.8976075819028565</c:v>
                </c:pt>
                <c:pt idx="434">
                  <c:v>0.89739658485208296</c:v>
                </c:pt>
                <c:pt idx="435">
                  <c:v>0.89688794800360949</c:v>
                </c:pt>
                <c:pt idx="436">
                  <c:v>0.89631038361834559</c:v>
                </c:pt>
                <c:pt idx="437">
                  <c:v>0.89608265823215583</c:v>
                </c:pt>
                <c:pt idx="438">
                  <c:v>0.89606962663237066</c:v>
                </c:pt>
                <c:pt idx="439">
                  <c:v>0.89586768132595462</c:v>
                </c:pt>
                <c:pt idx="440">
                  <c:v>0.89533481751202071</c:v>
                </c:pt>
                <c:pt idx="441">
                  <c:v>0.89487100257193297</c:v>
                </c:pt>
                <c:pt idx="442">
                  <c:v>0.89460076068141636</c:v>
                </c:pt>
                <c:pt idx="443">
                  <c:v>0.8947422315992577</c:v>
                </c:pt>
                <c:pt idx="444">
                  <c:v>0.89457685728143799</c:v>
                </c:pt>
                <c:pt idx="445">
                  <c:v>0.8942246643434828</c:v>
                </c:pt>
                <c:pt idx="446">
                  <c:v>0.89388182244795555</c:v>
                </c:pt>
                <c:pt idx="447">
                  <c:v>0.89341422179172925</c:v>
                </c:pt>
                <c:pt idx="448">
                  <c:v>0.89125850721398547</c:v>
                </c:pt>
                <c:pt idx="449">
                  <c:v>0.89046860298119812</c:v>
                </c:pt>
                <c:pt idx="450">
                  <c:v>0.88727272244866007</c:v>
                </c:pt>
                <c:pt idx="451">
                  <c:v>0.88860376568258193</c:v>
                </c:pt>
                <c:pt idx="452">
                  <c:v>0.88904639517273953</c:v>
                </c:pt>
                <c:pt idx="453">
                  <c:v>0.88995815416602575</c:v>
                </c:pt>
                <c:pt idx="454">
                  <c:v>0.89015187282006358</c:v>
                </c:pt>
                <c:pt idx="455">
                  <c:v>0.89000602567907894</c:v>
                </c:pt>
                <c:pt idx="456">
                  <c:v>0.88972194327507204</c:v>
                </c:pt>
                <c:pt idx="457">
                  <c:v>0.8897709796238602</c:v>
                </c:pt>
                <c:pt idx="458">
                  <c:v>0.88983821653100748</c:v>
                </c:pt>
                <c:pt idx="459">
                  <c:v>0.88961309584694737</c:v>
                </c:pt>
                <c:pt idx="460">
                  <c:v>0.8891864504915975</c:v>
                </c:pt>
                <c:pt idx="461">
                  <c:v>0.88898948809360323</c:v>
                </c:pt>
                <c:pt idx="462">
                  <c:v>0.8891777546692704</c:v>
                </c:pt>
                <c:pt idx="463">
                  <c:v>0.88924627774920828</c:v>
                </c:pt>
                <c:pt idx="464">
                  <c:v>0.8888916338027274</c:v>
                </c:pt>
                <c:pt idx="465">
                  <c:v>0.88851057882378304</c:v>
                </c:pt>
                <c:pt idx="466">
                  <c:v>0.88815255361801582</c:v>
                </c:pt>
                <c:pt idx="467">
                  <c:v>0.88832007155715342</c:v>
                </c:pt>
                <c:pt idx="468">
                  <c:v>0.88842502002122081</c:v>
                </c:pt>
                <c:pt idx="469">
                  <c:v>0.88812069859631881</c:v>
                </c:pt>
                <c:pt idx="470">
                  <c:v>0.88764618981705301</c:v>
                </c:pt>
                <c:pt idx="471">
                  <c:v>0.88728513927402963</c:v>
                </c:pt>
                <c:pt idx="472">
                  <c:v>0.88727849000337566</c:v>
                </c:pt>
                <c:pt idx="473">
                  <c:v>0.88662236391909666</c:v>
                </c:pt>
                <c:pt idx="474">
                  <c:v>0.88363212542860603</c:v>
                </c:pt>
                <c:pt idx="475">
                  <c:v>0.88262995415052858</c:v>
                </c:pt>
                <c:pt idx="476">
                  <c:v>0.88208646121051304</c:v>
                </c:pt>
                <c:pt idx="477">
                  <c:v>0.88364108819245579</c:v>
                </c:pt>
                <c:pt idx="478">
                  <c:v>0.88391243020561105</c:v>
                </c:pt>
                <c:pt idx="479">
                  <c:v>0.88379673936754322</c:v>
                </c:pt>
                <c:pt idx="480">
                  <c:v>0.88375983672432801</c:v>
                </c:pt>
                <c:pt idx="481">
                  <c:v>0.8836525181431053</c:v>
                </c:pt>
                <c:pt idx="482">
                  <c:v>0.88322906799688961</c:v>
                </c:pt>
                <c:pt idx="483">
                  <c:v>0.88295821942109431</c:v>
                </c:pt>
                <c:pt idx="484">
                  <c:v>0.88284697760840314</c:v>
                </c:pt>
                <c:pt idx="485">
                  <c:v>0.88290073801322755</c:v>
                </c:pt>
                <c:pt idx="486">
                  <c:v>0.88281126406833399</c:v>
                </c:pt>
                <c:pt idx="487">
                  <c:v>0.88239109002262306</c:v>
                </c:pt>
                <c:pt idx="488">
                  <c:v>0.88214433898609512</c:v>
                </c:pt>
                <c:pt idx="489">
                  <c:v>0.88199338759963286</c:v>
                </c:pt>
                <c:pt idx="490">
                  <c:v>0.88198655227882683</c:v>
                </c:pt>
                <c:pt idx="491">
                  <c:v>0.88140895553701482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0D9-47C5-A94A-FB482CEB8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988096"/>
        <c:axId val="741384704"/>
      </c:scatterChart>
      <c:valAx>
        <c:axId val="1115988096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741384704"/>
        <c:crosses val="autoZero"/>
        <c:crossBetween val="midCat"/>
      </c:valAx>
      <c:valAx>
        <c:axId val="741384704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Energy Retention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115988096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84591111111111106"/>
          <c:y val="0.12519501312335962"/>
          <c:w val="0.1133223097112861"/>
          <c:h val="0.31730708661417323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ZP of Cycle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435-1</c:v>
          </c:tx>
          <c:spPr>
            <a:ln w="19050">
              <a:solidFill>
                <a:srgbClr val="0099FF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0099FF"/>
                </a:solidFill>
                <a:prstDash val="solid"/>
              </a:ln>
            </c:spPr>
          </c:marker>
          <c:xVal>
            <c:numRef>
              <c:f>大小中检!$C$20:$C$26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大小中检!$F$20:$F$26</c:f>
              <c:numCache>
                <c:formatCode>0.00%</c:formatCode>
                <c:ptCount val="7"/>
                <c:pt idx="0">
                  <c:v>1</c:v>
                </c:pt>
                <c:pt idx="1">
                  <c:v>0.9884169124877088</c:v>
                </c:pt>
                <c:pt idx="2">
                  <c:v>0.97206489675516239</c:v>
                </c:pt>
                <c:pt idx="3">
                  <c:v>0.95508357915437558</c:v>
                </c:pt>
                <c:pt idx="4">
                  <c:v>0.93875122910521147</c:v>
                </c:pt>
                <c:pt idx="5">
                  <c:v>0.92118977384464118</c:v>
                </c:pt>
                <c:pt idx="6">
                  <c:v>0.90341199606686329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3C5-4235-9774-5B13793E53C1}"/>
            </c:ext>
          </c:extLst>
        </c:ser>
        <c:ser>
          <c:idx val="1"/>
          <c:order val="1"/>
          <c:tx>
            <c:v>435-2</c:v>
          </c:tx>
          <c:spPr>
            <a:ln w="19050">
              <a:solidFill>
                <a:srgbClr val="0099FF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0099FF"/>
                </a:solidFill>
                <a:prstDash val="solid"/>
              </a:ln>
            </c:spPr>
          </c:marker>
          <c:xVal>
            <c:numRef>
              <c:f>大小中检!$C$30:$C$36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大小中检!$F$30:$F$36</c:f>
              <c:numCache>
                <c:formatCode>0.00%</c:formatCode>
                <c:ptCount val="7"/>
                <c:pt idx="0">
                  <c:v>1</c:v>
                </c:pt>
                <c:pt idx="1">
                  <c:v>0.98700250897820652</c:v>
                </c:pt>
                <c:pt idx="2">
                  <c:v>0.97119102671323876</c:v>
                </c:pt>
                <c:pt idx="3">
                  <c:v>0.95646184877256868</c:v>
                </c:pt>
                <c:pt idx="4">
                  <c:v>0.94105377084665731</c:v>
                </c:pt>
                <c:pt idx="5">
                  <c:v>0.92286121906823448</c:v>
                </c:pt>
                <c:pt idx="6">
                  <c:v>0.90462931076892805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3C5-4235-9774-5B13793E53C1}"/>
            </c:ext>
          </c:extLst>
        </c:ser>
        <c:ser>
          <c:idx val="2"/>
          <c:order val="2"/>
          <c:tx>
            <c:v>435-3</c:v>
          </c:tx>
          <c:spPr>
            <a:ln w="19050">
              <a:solidFill>
                <a:srgbClr val="0099FF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0099FF"/>
                </a:solidFill>
                <a:prstDash val="solid"/>
              </a:ln>
            </c:spPr>
          </c:marker>
          <c:xVal>
            <c:numRef>
              <c:f>大小中检!$C$40:$C$46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大小中检!$F$40:$F$46</c:f>
              <c:numCache>
                <c:formatCode>0.00%</c:formatCode>
                <c:ptCount val="7"/>
                <c:pt idx="0">
                  <c:v>1</c:v>
                </c:pt>
                <c:pt idx="1">
                  <c:v>0.98818213416753553</c:v>
                </c:pt>
                <c:pt idx="2">
                  <c:v>0.97318635483390437</c:v>
                </c:pt>
                <c:pt idx="3">
                  <c:v>0.95956105069765119</c:v>
                </c:pt>
                <c:pt idx="4">
                  <c:v>0.94439644470927064</c:v>
                </c:pt>
                <c:pt idx="5">
                  <c:v>0.92557723819454785</c:v>
                </c:pt>
                <c:pt idx="6">
                  <c:v>0.90786037042554257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3C5-4235-9774-5B13793E53C1}"/>
            </c:ext>
          </c:extLst>
        </c:ser>
        <c:ser>
          <c:idx val="3"/>
          <c:order val="3"/>
          <c:tx>
            <c:v>450-1</c:v>
          </c:tx>
          <c:spPr>
            <a:ln w="19050">
              <a:solidFill>
                <a:srgbClr val="FFD501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FFD501"/>
                </a:solidFill>
                <a:prstDash val="solid"/>
              </a:ln>
            </c:spPr>
          </c:marker>
          <c:xVal>
            <c:numRef>
              <c:f>大小中检!$C$50:$C$56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大小中检!$F$50:$F$56</c:f>
              <c:numCache>
                <c:formatCode>0.00%</c:formatCode>
                <c:ptCount val="7"/>
                <c:pt idx="0">
                  <c:v>1</c:v>
                </c:pt>
                <c:pt idx="1">
                  <c:v>0.97973684210526324</c:v>
                </c:pt>
                <c:pt idx="2">
                  <c:v>0.95872319688109175</c:v>
                </c:pt>
                <c:pt idx="3">
                  <c:v>0.94089668615984412</c:v>
                </c:pt>
                <c:pt idx="4">
                  <c:v>0.92054580896686178</c:v>
                </c:pt>
                <c:pt idx="5">
                  <c:v>0.90156920077972724</c:v>
                </c:pt>
                <c:pt idx="6">
                  <c:v>0.88357699805068235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3C5-4235-9774-5B13793E53C1}"/>
            </c:ext>
          </c:extLst>
        </c:ser>
        <c:ser>
          <c:idx val="4"/>
          <c:order val="4"/>
          <c:tx>
            <c:v>450-2</c:v>
          </c:tx>
          <c:spPr>
            <a:ln w="19050">
              <a:solidFill>
                <a:srgbClr val="FFD501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FFD501"/>
                </a:solidFill>
                <a:prstDash val="solid"/>
              </a:ln>
            </c:spPr>
          </c:marker>
          <c:xVal>
            <c:numRef>
              <c:f>大小中检!$C$60:$C$66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大小中检!$F$60:$F$66</c:f>
              <c:numCache>
                <c:formatCode>0.00%</c:formatCode>
                <c:ptCount val="7"/>
                <c:pt idx="0">
                  <c:v>1</c:v>
                </c:pt>
                <c:pt idx="1">
                  <c:v>0.98139012790594604</c:v>
                </c:pt>
                <c:pt idx="2">
                  <c:v>0.95996415876485586</c:v>
                </c:pt>
                <c:pt idx="3">
                  <c:v>0.94162998847960289</c:v>
                </c:pt>
                <c:pt idx="4">
                  <c:v>0.92264594964503399</c:v>
                </c:pt>
                <c:pt idx="5">
                  <c:v>0.90319912563140625</c:v>
                </c:pt>
                <c:pt idx="6">
                  <c:v>0.885908683622328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3C5-4235-9774-5B13793E53C1}"/>
            </c:ext>
          </c:extLst>
        </c:ser>
        <c:ser>
          <c:idx val="5"/>
          <c:order val="5"/>
          <c:tx>
            <c:v>450-3</c:v>
          </c:tx>
          <c:spPr>
            <a:ln w="19050">
              <a:solidFill>
                <a:srgbClr val="FFD501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FFD501"/>
                </a:solidFill>
                <a:prstDash val="solid"/>
              </a:ln>
            </c:spPr>
          </c:marker>
          <c:xVal>
            <c:numRef>
              <c:f>大小中检!$C$70:$C$76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大小中检!$F$70:$F$76</c:f>
              <c:numCache>
                <c:formatCode>0.00%</c:formatCode>
                <c:ptCount val="7"/>
                <c:pt idx="0">
                  <c:v>1</c:v>
                </c:pt>
                <c:pt idx="1">
                  <c:v>0.98141040552066372</c:v>
                </c:pt>
                <c:pt idx="2">
                  <c:v>0.96189036209971324</c:v>
                </c:pt>
                <c:pt idx="3">
                  <c:v>0.94477397844459976</c:v>
                </c:pt>
                <c:pt idx="4">
                  <c:v>0.92749282778940856</c:v>
                </c:pt>
                <c:pt idx="5">
                  <c:v>0.9078564782507561</c:v>
                </c:pt>
                <c:pt idx="6">
                  <c:v>0.88801659300612557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3C5-4235-9774-5B13793E5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988496"/>
        <c:axId val="741387200"/>
      </c:scatterChart>
      <c:scatterChart>
        <c:scatterStyle val="smoothMarker"/>
        <c:varyColors val="0"/>
        <c:ser>
          <c:idx val="6"/>
          <c:order val="6"/>
          <c:tx>
            <c:v>435-1</c:v>
          </c:tx>
          <c:spPr>
            <a:ln w="19050">
              <a:solidFill>
                <a:srgbClr val="0099FF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99FF"/>
                </a:solidFill>
                <a:prstDash val="lgDash"/>
              </a:ln>
            </c:spPr>
          </c:marker>
          <c:xVal>
            <c:numRef>
              <c:f>大小中检!$C$20:$C$26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大小中检!$L$20:$L$26</c:f>
              <c:numCache>
                <c:formatCode>0.00%</c:formatCode>
                <c:ptCount val="7"/>
                <c:pt idx="0">
                  <c:v>0</c:v>
                </c:pt>
                <c:pt idx="1">
                  <c:v>7.0270832363789629E-2</c:v>
                </c:pt>
                <c:pt idx="2">
                  <c:v>8.6689128712444039E-2</c:v>
                </c:pt>
                <c:pt idx="3">
                  <c:v>0.13459012861878017</c:v>
                </c:pt>
                <c:pt idx="4">
                  <c:v>0.17742075910663854</c:v>
                </c:pt>
                <c:pt idx="5">
                  <c:v>0.21887613807084405</c:v>
                </c:pt>
                <c:pt idx="6">
                  <c:v>0.28060418636653578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3C5-4235-9774-5B13793E53C1}"/>
            </c:ext>
          </c:extLst>
        </c:ser>
        <c:ser>
          <c:idx val="7"/>
          <c:order val="7"/>
          <c:tx>
            <c:v>435-2</c:v>
          </c:tx>
          <c:spPr>
            <a:ln w="19050">
              <a:solidFill>
                <a:srgbClr val="0099FF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99FF"/>
                </a:solidFill>
                <a:prstDash val="lgDash"/>
              </a:ln>
            </c:spPr>
          </c:marker>
          <c:xVal>
            <c:numRef>
              <c:f>大小中检!$C$30:$C$36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大小中检!$L$30:$L$36</c:f>
              <c:numCache>
                <c:formatCode>0.00%</c:formatCode>
                <c:ptCount val="7"/>
                <c:pt idx="0">
                  <c:v>0</c:v>
                </c:pt>
                <c:pt idx="1">
                  <c:v>4.4891985593473197E-2</c:v>
                </c:pt>
                <c:pt idx="2">
                  <c:v>6.9548915488729129E-2</c:v>
                </c:pt>
                <c:pt idx="3">
                  <c:v>0.10993901166791237</c:v>
                </c:pt>
                <c:pt idx="4">
                  <c:v>0.14284433667028848</c:v>
                </c:pt>
                <c:pt idx="5">
                  <c:v>0.19932708535443655</c:v>
                </c:pt>
                <c:pt idx="6">
                  <c:v>0.28925596670727155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3C5-4235-9774-5B13793E53C1}"/>
            </c:ext>
          </c:extLst>
        </c:ser>
        <c:ser>
          <c:idx val="8"/>
          <c:order val="8"/>
          <c:tx>
            <c:v>435-3</c:v>
          </c:tx>
          <c:spPr>
            <a:ln w="19050">
              <a:solidFill>
                <a:srgbClr val="0099FF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99FF"/>
                </a:solidFill>
                <a:prstDash val="lgDash"/>
              </a:ln>
            </c:spPr>
          </c:marker>
          <c:xVal>
            <c:numRef>
              <c:f>大小中检!$C$40:$C$46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大小中检!$L$40:$L$46</c:f>
              <c:numCache>
                <c:formatCode>0.00%</c:formatCode>
                <c:ptCount val="7"/>
                <c:pt idx="0">
                  <c:v>0</c:v>
                </c:pt>
                <c:pt idx="1">
                  <c:v>1.7993023484498171E-2</c:v>
                </c:pt>
                <c:pt idx="2">
                  <c:v>3.5366323484478296E-2</c:v>
                </c:pt>
                <c:pt idx="3">
                  <c:v>7.7238115822111708E-2</c:v>
                </c:pt>
                <c:pt idx="4">
                  <c:v>0.10818779137136479</c:v>
                </c:pt>
                <c:pt idx="5">
                  <c:v>0.16185222282724032</c:v>
                </c:pt>
                <c:pt idx="6">
                  <c:v>0.26306421100658212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3C5-4235-9774-5B13793E53C1}"/>
            </c:ext>
          </c:extLst>
        </c:ser>
        <c:ser>
          <c:idx val="9"/>
          <c:order val="9"/>
          <c:tx>
            <c:v>450-1</c:v>
          </c:tx>
          <c:spPr>
            <a:ln w="19050">
              <a:solidFill>
                <a:srgbClr val="FFD501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FD501"/>
                </a:solidFill>
                <a:prstDash val="lgDash"/>
              </a:ln>
            </c:spPr>
          </c:marker>
          <c:xVal>
            <c:numRef>
              <c:f>大小中检!$C$50:$C$56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大小中检!$L$50:$L$56</c:f>
              <c:numCache>
                <c:formatCode>0.00%</c:formatCode>
                <c:ptCount val="7"/>
                <c:pt idx="0">
                  <c:v>0</c:v>
                </c:pt>
                <c:pt idx="1">
                  <c:v>2.8931581582338661E-2</c:v>
                </c:pt>
                <c:pt idx="2">
                  <c:v>6.0575334923826558E-2</c:v>
                </c:pt>
                <c:pt idx="3">
                  <c:v>9.2034900166468522E-2</c:v>
                </c:pt>
                <c:pt idx="4">
                  <c:v>0.1307170412816461</c:v>
                </c:pt>
                <c:pt idx="5">
                  <c:v>0.167761095001703</c:v>
                </c:pt>
                <c:pt idx="6">
                  <c:v>0.20939648700500754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3C5-4235-9774-5B13793E53C1}"/>
            </c:ext>
          </c:extLst>
        </c:ser>
        <c:ser>
          <c:idx val="10"/>
          <c:order val="10"/>
          <c:tx>
            <c:v>450-2</c:v>
          </c:tx>
          <c:spPr>
            <a:ln w="19050">
              <a:solidFill>
                <a:srgbClr val="FFD501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FD501"/>
                </a:solidFill>
                <a:prstDash val="lgDash"/>
              </a:ln>
            </c:spPr>
          </c:marker>
          <c:xVal>
            <c:numRef>
              <c:f>大小中检!$C$60:$C$66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大小中检!$L$60:$L$66</c:f>
              <c:numCache>
                <c:formatCode>0.00%</c:formatCode>
                <c:ptCount val="7"/>
                <c:pt idx="0">
                  <c:v>0</c:v>
                </c:pt>
                <c:pt idx="1">
                  <c:v>4.6068853884357282E-2</c:v>
                </c:pt>
                <c:pt idx="2">
                  <c:v>7.3014398295531704E-2</c:v>
                </c:pt>
                <c:pt idx="3">
                  <c:v>0.10584055018791927</c:v>
                </c:pt>
                <c:pt idx="4">
                  <c:v>0.14616340925504095</c:v>
                </c:pt>
                <c:pt idx="5">
                  <c:v>0.18675552382695706</c:v>
                </c:pt>
                <c:pt idx="6">
                  <c:v>0.22933937320338299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3C5-4235-9774-5B13793E53C1}"/>
            </c:ext>
          </c:extLst>
        </c:ser>
        <c:ser>
          <c:idx val="11"/>
          <c:order val="11"/>
          <c:tx>
            <c:v>450-3</c:v>
          </c:tx>
          <c:spPr>
            <a:ln w="19050">
              <a:solidFill>
                <a:srgbClr val="FFD501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FD501"/>
                </a:solidFill>
                <a:prstDash val="lgDash"/>
              </a:ln>
            </c:spPr>
          </c:marker>
          <c:xVal>
            <c:numRef>
              <c:f>大小中检!$C$70:$C$76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大小中检!$L$70:$L$76</c:f>
              <c:numCache>
                <c:formatCode>0.00%</c:formatCode>
                <c:ptCount val="7"/>
                <c:pt idx="0">
                  <c:v>0</c:v>
                </c:pt>
                <c:pt idx="1">
                  <c:v>4.415404193294073E-2</c:v>
                </c:pt>
                <c:pt idx="2">
                  <c:v>8.1645304562525806E-2</c:v>
                </c:pt>
                <c:pt idx="3">
                  <c:v>0.12169982440419919</c:v>
                </c:pt>
                <c:pt idx="4">
                  <c:v>0.14807606930060119</c:v>
                </c:pt>
                <c:pt idx="5">
                  <c:v>0.21024399732231466</c:v>
                </c:pt>
                <c:pt idx="6">
                  <c:v>0.29721711217026814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3C5-4235-9774-5B13793E5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686704"/>
        <c:axId val="741387616"/>
      </c:scatterChart>
      <c:valAx>
        <c:axId val="1115988496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741387200"/>
        <c:crosses val="autoZero"/>
        <c:crossBetween val="midCat"/>
      </c:valAx>
      <c:valAx>
        <c:axId val="741387200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Residual Capacity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115988496"/>
        <c:crosses val="autoZero"/>
        <c:crossBetween val="midCat"/>
      </c:valAx>
      <c:valAx>
        <c:axId val="741387616"/>
        <c:scaling>
          <c:orientation val="minMax"/>
          <c:max val="1.5"/>
          <c:min val="-0.1"/>
        </c:scaling>
        <c:delete val="0"/>
        <c:axPos val="r"/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DCIR increase rate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736686704"/>
        <c:crosses val="max"/>
        <c:crossBetween val="midCat"/>
      </c:valAx>
      <c:valAx>
        <c:axId val="736686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1387616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73480000000000001"/>
          <c:y val="0.12169501312335956"/>
          <c:w val="0.12998897637795276"/>
          <c:h val="0.63461417322834646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G11E-V1.2-PreA-0.5C_0.5C</a:t>
            </a:r>
            <a:r>
              <a:rPr lang="zh-CN"/>
              <a:t>循环 </a:t>
            </a:r>
            <a:r>
              <a:rPr lang="en-US"/>
              <a:t>25℃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435-1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'G11E-V1.2-PreA-0.5C_0.5C循环 25℃'!$O$3:$O$500</c:f>
              <c:numCache>
                <c:formatCode>General</c:formatCode>
                <c:ptCount val="4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</c:numCache>
            </c:numRef>
          </c:xVal>
          <c:yVal>
            <c:numRef>
              <c:f>'G11E-V1.2-PreA-0.5C_0.5C循环 25℃'!$S$3:$S$500</c:f>
              <c:numCache>
                <c:formatCode>0.00%</c:formatCode>
                <c:ptCount val="498"/>
                <c:pt idx="0">
                  <c:v>1</c:v>
                </c:pt>
                <c:pt idx="1">
                  <c:v>1.000707255260211</c:v>
                </c:pt>
                <c:pt idx="2">
                  <c:v>1.0005893793835092</c:v>
                </c:pt>
                <c:pt idx="3">
                  <c:v>1.0006483173218603</c:v>
                </c:pt>
                <c:pt idx="4">
                  <c:v>1.000707255260211</c:v>
                </c:pt>
                <c:pt idx="5">
                  <c:v>1.0007956621677374</c:v>
                </c:pt>
                <c:pt idx="6">
                  <c:v>1.0006777862910357</c:v>
                </c:pt>
                <c:pt idx="7">
                  <c:v>1.0002946896917548</c:v>
                </c:pt>
                <c:pt idx="8">
                  <c:v>1.000117875876702</c:v>
                </c:pt>
                <c:pt idx="9">
                  <c:v>0.99982318618494725</c:v>
                </c:pt>
                <c:pt idx="10">
                  <c:v>0.99997053103082456</c:v>
                </c:pt>
                <c:pt idx="11">
                  <c:v>0.9998526551541228</c:v>
                </c:pt>
                <c:pt idx="12">
                  <c:v>0.99944008958566632</c:v>
                </c:pt>
                <c:pt idx="13">
                  <c:v>0.99944008958566632</c:v>
                </c:pt>
                <c:pt idx="14">
                  <c:v>0.99920433783226259</c:v>
                </c:pt>
                <c:pt idx="15">
                  <c:v>0.99929274473978902</c:v>
                </c:pt>
                <c:pt idx="16">
                  <c:v>0.99905699298638539</c:v>
                </c:pt>
                <c:pt idx="17">
                  <c:v>0.99899805504803441</c:v>
                </c:pt>
                <c:pt idx="18">
                  <c:v>0.99917486886308726</c:v>
                </c:pt>
                <c:pt idx="19">
                  <c:v>0.99885071020215732</c:v>
                </c:pt>
                <c:pt idx="20">
                  <c:v>0.99811398597277068</c:v>
                </c:pt>
                <c:pt idx="21">
                  <c:v>0.99743619968173525</c:v>
                </c:pt>
                <c:pt idx="22">
                  <c:v>0.99708257205162976</c:v>
                </c:pt>
                <c:pt idx="23">
                  <c:v>0.99705310308245432</c:v>
                </c:pt>
                <c:pt idx="24">
                  <c:v>0.996964696174928</c:v>
                </c:pt>
                <c:pt idx="25">
                  <c:v>0.99643425472976965</c:v>
                </c:pt>
                <c:pt idx="26">
                  <c:v>0.99619850297636592</c:v>
                </c:pt>
                <c:pt idx="27">
                  <c:v>0.99619850297636592</c:v>
                </c:pt>
                <c:pt idx="28">
                  <c:v>0.99619850297636592</c:v>
                </c:pt>
                <c:pt idx="29">
                  <c:v>0.99619850297636592</c:v>
                </c:pt>
                <c:pt idx="30">
                  <c:v>0.99563859256203224</c:v>
                </c:pt>
                <c:pt idx="31">
                  <c:v>0.99528496493192675</c:v>
                </c:pt>
                <c:pt idx="32">
                  <c:v>0.99552071668533026</c:v>
                </c:pt>
                <c:pt idx="33">
                  <c:v>0.99552071668533026</c:v>
                </c:pt>
                <c:pt idx="34">
                  <c:v>0.99519655802440044</c:v>
                </c:pt>
                <c:pt idx="35">
                  <c:v>0.99484293039429494</c:v>
                </c:pt>
                <c:pt idx="36">
                  <c:v>0.99413567513408385</c:v>
                </c:pt>
                <c:pt idx="37">
                  <c:v>0.99404726822655753</c:v>
                </c:pt>
                <c:pt idx="38">
                  <c:v>0.9940177992573821</c:v>
                </c:pt>
                <c:pt idx="39">
                  <c:v>0.99360523368892562</c:v>
                </c:pt>
                <c:pt idx="40">
                  <c:v>0.99286850945953919</c:v>
                </c:pt>
                <c:pt idx="41">
                  <c:v>0.99254435079860903</c:v>
                </c:pt>
                <c:pt idx="42">
                  <c:v>0.99254435079860903</c:v>
                </c:pt>
                <c:pt idx="43">
                  <c:v>0.99275063358283744</c:v>
                </c:pt>
                <c:pt idx="44">
                  <c:v>0.99248541286025826</c:v>
                </c:pt>
                <c:pt idx="45">
                  <c:v>0.99195497141510003</c:v>
                </c:pt>
                <c:pt idx="46">
                  <c:v>0.99180762656922261</c:v>
                </c:pt>
                <c:pt idx="47">
                  <c:v>0.99118877821653795</c:v>
                </c:pt>
                <c:pt idx="48">
                  <c:v>0.99051099192550263</c:v>
                </c:pt>
                <c:pt idx="49">
                  <c:v>0.98903754346672956</c:v>
                </c:pt>
                <c:pt idx="50">
                  <c:v>0.98838922614486946</c:v>
                </c:pt>
                <c:pt idx="51">
                  <c:v>0.98844816408322045</c:v>
                </c:pt>
                <c:pt idx="52">
                  <c:v>0.98947957800436148</c:v>
                </c:pt>
                <c:pt idx="53">
                  <c:v>0.99059939883302894</c:v>
                </c:pt>
                <c:pt idx="54">
                  <c:v>0.99039311604880065</c:v>
                </c:pt>
                <c:pt idx="55">
                  <c:v>0.98983320563446697</c:v>
                </c:pt>
                <c:pt idx="56">
                  <c:v>0.98992161254199329</c:v>
                </c:pt>
                <c:pt idx="57">
                  <c:v>0.98998055048034428</c:v>
                </c:pt>
                <c:pt idx="58">
                  <c:v>0.98971532975776522</c:v>
                </c:pt>
                <c:pt idx="59">
                  <c:v>0.98903754346672956</c:v>
                </c:pt>
                <c:pt idx="60">
                  <c:v>0.98847763305239589</c:v>
                </c:pt>
                <c:pt idx="61">
                  <c:v>0.98838922614486946</c:v>
                </c:pt>
                <c:pt idx="62">
                  <c:v>0.98835975717569413</c:v>
                </c:pt>
                <c:pt idx="63">
                  <c:v>0.9879766605764132</c:v>
                </c:pt>
                <c:pt idx="64">
                  <c:v>0.98747568810043029</c:v>
                </c:pt>
                <c:pt idx="65">
                  <c:v>0.98718099840867579</c:v>
                </c:pt>
                <c:pt idx="66">
                  <c:v>0.98726940531620222</c:v>
                </c:pt>
                <c:pt idx="67">
                  <c:v>0.98723993634702656</c:v>
                </c:pt>
                <c:pt idx="68">
                  <c:v>0.98718099840867579</c:v>
                </c:pt>
                <c:pt idx="69">
                  <c:v>0.98650321211764014</c:v>
                </c:pt>
                <c:pt idx="70">
                  <c:v>0.9859727706724819</c:v>
                </c:pt>
                <c:pt idx="71">
                  <c:v>0.98585489479578015</c:v>
                </c:pt>
                <c:pt idx="72">
                  <c:v>0.98558967407320097</c:v>
                </c:pt>
                <c:pt idx="73">
                  <c:v>0.98544232922732367</c:v>
                </c:pt>
                <c:pt idx="74">
                  <c:v>0.98458772912123549</c:v>
                </c:pt>
                <c:pt idx="75">
                  <c:v>0.98444038427535807</c:v>
                </c:pt>
                <c:pt idx="76">
                  <c:v>0.9841751635527789</c:v>
                </c:pt>
                <c:pt idx="77">
                  <c:v>0.98352684623091891</c:v>
                </c:pt>
                <c:pt idx="78">
                  <c:v>0.98252490127895331</c:v>
                </c:pt>
                <c:pt idx="79">
                  <c:v>0.9827311840631815</c:v>
                </c:pt>
                <c:pt idx="80">
                  <c:v>0.98311428066246243</c:v>
                </c:pt>
                <c:pt idx="81">
                  <c:v>0.98261330818647974</c:v>
                </c:pt>
                <c:pt idx="82">
                  <c:v>0.98202392880297051</c:v>
                </c:pt>
                <c:pt idx="83">
                  <c:v>0.98128720457358409</c:v>
                </c:pt>
                <c:pt idx="84">
                  <c:v>0.98246596334060243</c:v>
                </c:pt>
                <c:pt idx="85">
                  <c:v>0.982377556433076</c:v>
                </c:pt>
                <c:pt idx="86">
                  <c:v>0.98175870808039134</c:v>
                </c:pt>
                <c:pt idx="87">
                  <c:v>0.98149348735781217</c:v>
                </c:pt>
                <c:pt idx="88">
                  <c:v>0.98108092178935591</c:v>
                </c:pt>
                <c:pt idx="89">
                  <c:v>0.98102198385100492</c:v>
                </c:pt>
                <c:pt idx="90">
                  <c:v>0.98102198385100492</c:v>
                </c:pt>
                <c:pt idx="91">
                  <c:v>0.98096304591265393</c:v>
                </c:pt>
                <c:pt idx="92">
                  <c:v>0.98069782519007498</c:v>
                </c:pt>
                <c:pt idx="93">
                  <c:v>0.98022632168326751</c:v>
                </c:pt>
                <c:pt idx="94">
                  <c:v>0.98019685271409218</c:v>
                </c:pt>
                <c:pt idx="95">
                  <c:v>0.98013791477574119</c:v>
                </c:pt>
                <c:pt idx="96">
                  <c:v>0.98013791477574119</c:v>
                </c:pt>
                <c:pt idx="97">
                  <c:v>0.97966641126893383</c:v>
                </c:pt>
                <c:pt idx="98">
                  <c:v>0.97931278363882834</c:v>
                </c:pt>
                <c:pt idx="99">
                  <c:v>0.97910650085460027</c:v>
                </c:pt>
                <c:pt idx="100">
                  <c:v>0.97928331466965302</c:v>
                </c:pt>
                <c:pt idx="101">
                  <c:v>0.97898862497789829</c:v>
                </c:pt>
                <c:pt idx="102">
                  <c:v>0.97842871456356462</c:v>
                </c:pt>
                <c:pt idx="103">
                  <c:v>0.97792774208758193</c:v>
                </c:pt>
                <c:pt idx="104">
                  <c:v>0.97780986621087995</c:v>
                </c:pt>
                <c:pt idx="105">
                  <c:v>0.97757411445747644</c:v>
                </c:pt>
                <c:pt idx="106">
                  <c:v>0.97745623858077446</c:v>
                </c:pt>
                <c:pt idx="107">
                  <c:v>0.97680792125891436</c:v>
                </c:pt>
                <c:pt idx="108">
                  <c:v>0.9763953556904581</c:v>
                </c:pt>
                <c:pt idx="109">
                  <c:v>0.97633641775210711</c:v>
                </c:pt>
                <c:pt idx="110">
                  <c:v>0.97651323156715986</c:v>
                </c:pt>
                <c:pt idx="111">
                  <c:v>0.9766900453822126</c:v>
                </c:pt>
                <c:pt idx="112">
                  <c:v>0.97624801084458068</c:v>
                </c:pt>
                <c:pt idx="113">
                  <c:v>0.97592385218365063</c:v>
                </c:pt>
                <c:pt idx="114">
                  <c:v>0.97595332115282618</c:v>
                </c:pt>
                <c:pt idx="115">
                  <c:v>0.97601225909117695</c:v>
                </c:pt>
                <c:pt idx="116">
                  <c:v>0.97589438321447519</c:v>
                </c:pt>
                <c:pt idx="117">
                  <c:v>0.97539341073849239</c:v>
                </c:pt>
                <c:pt idx="118">
                  <c:v>0.9749513762008607</c:v>
                </c:pt>
                <c:pt idx="119">
                  <c:v>0.97492190723168504</c:v>
                </c:pt>
                <c:pt idx="120">
                  <c:v>0.9749513762008607</c:v>
                </c:pt>
                <c:pt idx="121">
                  <c:v>0.97486296929333427</c:v>
                </c:pt>
                <c:pt idx="122">
                  <c:v>0.97436199681735136</c:v>
                </c:pt>
                <c:pt idx="123">
                  <c:v>0.97389049331054411</c:v>
                </c:pt>
                <c:pt idx="124">
                  <c:v>0.97389049331054411</c:v>
                </c:pt>
                <c:pt idx="125">
                  <c:v>0.97383155537219313</c:v>
                </c:pt>
                <c:pt idx="126">
                  <c:v>0.97371367949549137</c:v>
                </c:pt>
                <c:pt idx="127">
                  <c:v>0.97330111392703489</c:v>
                </c:pt>
                <c:pt idx="128">
                  <c:v>0.97291801732775396</c:v>
                </c:pt>
                <c:pt idx="129">
                  <c:v>0.97288854835857852</c:v>
                </c:pt>
                <c:pt idx="130">
                  <c:v>0.97291801732775396</c:v>
                </c:pt>
                <c:pt idx="131">
                  <c:v>0.97285907938940297</c:v>
                </c:pt>
                <c:pt idx="132">
                  <c:v>0.97241704485177105</c:v>
                </c:pt>
                <c:pt idx="133">
                  <c:v>0.97209288619084122</c:v>
                </c:pt>
                <c:pt idx="134">
                  <c:v>0.9719455413449638</c:v>
                </c:pt>
                <c:pt idx="135">
                  <c:v>0.97224023103671831</c:v>
                </c:pt>
                <c:pt idx="136">
                  <c:v>0.97218129309836754</c:v>
                </c:pt>
                <c:pt idx="137">
                  <c:v>0.97176872752991106</c:v>
                </c:pt>
                <c:pt idx="138">
                  <c:v>0.97141509989980557</c:v>
                </c:pt>
                <c:pt idx="139">
                  <c:v>0.9698532445335063</c:v>
                </c:pt>
                <c:pt idx="140">
                  <c:v>0.97129722402310381</c:v>
                </c:pt>
                <c:pt idx="141">
                  <c:v>0.97144456886898112</c:v>
                </c:pt>
                <c:pt idx="142">
                  <c:v>0.97126775505392837</c:v>
                </c:pt>
                <c:pt idx="143">
                  <c:v>0.97103200330052464</c:v>
                </c:pt>
                <c:pt idx="144">
                  <c:v>0.96905758236576889</c:v>
                </c:pt>
                <c:pt idx="145">
                  <c:v>0.96832085813638247</c:v>
                </c:pt>
                <c:pt idx="146">
                  <c:v>0.96802616844462774</c:v>
                </c:pt>
                <c:pt idx="147">
                  <c:v>0.96749572699946973</c:v>
                </c:pt>
                <c:pt idx="148">
                  <c:v>0.96714209936936424</c:v>
                </c:pt>
                <c:pt idx="149">
                  <c:v>0.96752519596864506</c:v>
                </c:pt>
                <c:pt idx="150">
                  <c:v>0.96817351329050516</c:v>
                </c:pt>
                <c:pt idx="151">
                  <c:v>0.96770200978369791</c:v>
                </c:pt>
                <c:pt idx="152">
                  <c:v>0.96734838215359231</c:v>
                </c:pt>
                <c:pt idx="153">
                  <c:v>0.96734838215359231</c:v>
                </c:pt>
                <c:pt idx="154">
                  <c:v>0.96605174750987211</c:v>
                </c:pt>
                <c:pt idx="155">
                  <c:v>0.96534449224966123</c:v>
                </c:pt>
                <c:pt idx="156">
                  <c:v>0.96463723698945025</c:v>
                </c:pt>
                <c:pt idx="157">
                  <c:v>0.96431307832852009</c:v>
                </c:pt>
                <c:pt idx="158">
                  <c:v>0.96487298874285377</c:v>
                </c:pt>
                <c:pt idx="159">
                  <c:v>0.96528555431131025</c:v>
                </c:pt>
                <c:pt idx="160">
                  <c:v>0.964814050804503</c:v>
                </c:pt>
                <c:pt idx="161">
                  <c:v>0.96440148523604652</c:v>
                </c:pt>
                <c:pt idx="162">
                  <c:v>0.96398891966759015</c:v>
                </c:pt>
                <c:pt idx="163">
                  <c:v>0.96404785760594103</c:v>
                </c:pt>
                <c:pt idx="164">
                  <c:v>0.96398891966759015</c:v>
                </c:pt>
                <c:pt idx="165">
                  <c:v>0.96369422997583543</c:v>
                </c:pt>
                <c:pt idx="166">
                  <c:v>0.96319325749985274</c:v>
                </c:pt>
                <c:pt idx="167">
                  <c:v>0.96286909883892269</c:v>
                </c:pt>
                <c:pt idx="168">
                  <c:v>0.96295750574644901</c:v>
                </c:pt>
                <c:pt idx="169">
                  <c:v>0.96301644368479999</c:v>
                </c:pt>
                <c:pt idx="170">
                  <c:v>0.96278069193139626</c:v>
                </c:pt>
                <c:pt idx="171">
                  <c:v>0.96227971945541357</c:v>
                </c:pt>
                <c:pt idx="172">
                  <c:v>0.96195556079448352</c:v>
                </c:pt>
                <c:pt idx="173">
                  <c:v>0.96189662285613253</c:v>
                </c:pt>
                <c:pt idx="174">
                  <c:v>0.96177874697943078</c:v>
                </c:pt>
                <c:pt idx="175">
                  <c:v>0.96145458831850061</c:v>
                </c:pt>
                <c:pt idx="176">
                  <c:v>0.96092414687334238</c:v>
                </c:pt>
                <c:pt idx="177">
                  <c:v>0.96054105027406145</c:v>
                </c:pt>
                <c:pt idx="178">
                  <c:v>0.96051158130488601</c:v>
                </c:pt>
                <c:pt idx="179">
                  <c:v>0.9603642364590087</c:v>
                </c:pt>
                <c:pt idx="180">
                  <c:v>0.9600695467672542</c:v>
                </c:pt>
                <c:pt idx="181">
                  <c:v>0.95945069841456954</c:v>
                </c:pt>
                <c:pt idx="182">
                  <c:v>0.95915600872281503</c:v>
                </c:pt>
                <c:pt idx="183">
                  <c:v>0.9592149466611658</c:v>
                </c:pt>
                <c:pt idx="184">
                  <c:v>0.95906760181528861</c:v>
                </c:pt>
                <c:pt idx="185">
                  <c:v>0.95880238109270943</c:v>
                </c:pt>
                <c:pt idx="186">
                  <c:v>0.95833087758590219</c:v>
                </c:pt>
                <c:pt idx="187">
                  <c:v>0.95800671892497213</c:v>
                </c:pt>
                <c:pt idx="188">
                  <c:v>0.95791831201744571</c:v>
                </c:pt>
                <c:pt idx="189">
                  <c:v>0.95785937407909472</c:v>
                </c:pt>
                <c:pt idx="190">
                  <c:v>0.95771202923321752</c:v>
                </c:pt>
                <c:pt idx="191">
                  <c:v>0.95729946366476104</c:v>
                </c:pt>
                <c:pt idx="192">
                  <c:v>0.95697530500383099</c:v>
                </c:pt>
                <c:pt idx="193">
                  <c:v>0.95721105675723472</c:v>
                </c:pt>
                <c:pt idx="194">
                  <c:v>0.95721105675723472</c:v>
                </c:pt>
                <c:pt idx="195">
                  <c:v>0.95697530500383099</c:v>
                </c:pt>
                <c:pt idx="196">
                  <c:v>0.95656273943537462</c:v>
                </c:pt>
                <c:pt idx="197">
                  <c:v>0.95620911180526913</c:v>
                </c:pt>
                <c:pt idx="198">
                  <c:v>0.95668061531207638</c:v>
                </c:pt>
                <c:pt idx="199">
                  <c:v>0.95703424294218198</c:v>
                </c:pt>
                <c:pt idx="200">
                  <c:v>0.95703424294218198</c:v>
                </c:pt>
                <c:pt idx="201">
                  <c:v>0.95673955325042737</c:v>
                </c:pt>
                <c:pt idx="202">
                  <c:v>0.9564743325278483</c:v>
                </c:pt>
                <c:pt idx="203">
                  <c:v>0.95615017386691814</c:v>
                </c:pt>
                <c:pt idx="204">
                  <c:v>0.9559733600518654</c:v>
                </c:pt>
                <c:pt idx="205">
                  <c:v>0.95564920139093545</c:v>
                </c:pt>
                <c:pt idx="206">
                  <c:v>0.95511875994577722</c:v>
                </c:pt>
                <c:pt idx="207">
                  <c:v>0.95470619437732074</c:v>
                </c:pt>
                <c:pt idx="208">
                  <c:v>0.95576707726763721</c:v>
                </c:pt>
                <c:pt idx="209">
                  <c:v>0.95432309777803981</c:v>
                </c:pt>
                <c:pt idx="210">
                  <c:v>0.95314433901102147</c:v>
                </c:pt>
                <c:pt idx="211">
                  <c:v>0.95370424942535514</c:v>
                </c:pt>
                <c:pt idx="212">
                  <c:v>0.95553132551423348</c:v>
                </c:pt>
                <c:pt idx="213">
                  <c:v>0.95523663582247897</c:v>
                </c:pt>
                <c:pt idx="214">
                  <c:v>0.95444097365474156</c:v>
                </c:pt>
                <c:pt idx="215">
                  <c:v>0.95391053220958333</c:v>
                </c:pt>
                <c:pt idx="216">
                  <c:v>0.95361584251782883</c:v>
                </c:pt>
                <c:pt idx="217">
                  <c:v>0.95332115282607421</c:v>
                </c:pt>
                <c:pt idx="218">
                  <c:v>0.95317380798019691</c:v>
                </c:pt>
                <c:pt idx="219">
                  <c:v>0.95282018035009142</c:v>
                </c:pt>
                <c:pt idx="220">
                  <c:v>0.95243708375081049</c:v>
                </c:pt>
                <c:pt idx="221">
                  <c:v>0.95217186302823131</c:v>
                </c:pt>
                <c:pt idx="222">
                  <c:v>0.95211292508988032</c:v>
                </c:pt>
                <c:pt idx="223">
                  <c:v>0.95193611127482758</c:v>
                </c:pt>
                <c:pt idx="224">
                  <c:v>0.95161195261389764</c:v>
                </c:pt>
                <c:pt idx="225">
                  <c:v>0.95063947663110748</c:v>
                </c:pt>
                <c:pt idx="226">
                  <c:v>0.95058053869275649</c:v>
                </c:pt>
                <c:pt idx="227">
                  <c:v>0.95028584900100199</c:v>
                </c:pt>
                <c:pt idx="228">
                  <c:v>0.94990275240172106</c:v>
                </c:pt>
                <c:pt idx="229">
                  <c:v>0.94957859374079101</c:v>
                </c:pt>
                <c:pt idx="230">
                  <c:v>0.94951965580244002</c:v>
                </c:pt>
                <c:pt idx="231">
                  <c:v>0.94943124889491382</c:v>
                </c:pt>
                <c:pt idx="232">
                  <c:v>0.94919549714151008</c:v>
                </c:pt>
                <c:pt idx="233">
                  <c:v>0.94881240054222915</c:v>
                </c:pt>
                <c:pt idx="234">
                  <c:v>0.94845877291212366</c:v>
                </c:pt>
                <c:pt idx="235">
                  <c:v>0.94822302115871993</c:v>
                </c:pt>
                <c:pt idx="236">
                  <c:v>0.9481346142511935</c:v>
                </c:pt>
                <c:pt idx="237">
                  <c:v>0.94786939352861443</c:v>
                </c:pt>
                <c:pt idx="238">
                  <c:v>0.94760417280603526</c:v>
                </c:pt>
                <c:pt idx="239">
                  <c:v>0.94730948311428076</c:v>
                </c:pt>
                <c:pt idx="240">
                  <c:v>0.94710320033005257</c:v>
                </c:pt>
                <c:pt idx="241">
                  <c:v>0.9469853244533506</c:v>
                </c:pt>
                <c:pt idx="242">
                  <c:v>0.94666116579242077</c:v>
                </c:pt>
                <c:pt idx="243">
                  <c:v>0.94616019331643786</c:v>
                </c:pt>
                <c:pt idx="244">
                  <c:v>0.94577709671715693</c:v>
                </c:pt>
                <c:pt idx="245">
                  <c:v>0.94548240702540243</c:v>
                </c:pt>
                <c:pt idx="246">
                  <c:v>0.94554134496375319</c:v>
                </c:pt>
                <c:pt idx="247">
                  <c:v>0.945394000117876</c:v>
                </c:pt>
                <c:pt idx="248">
                  <c:v>0.94509931042612128</c:v>
                </c:pt>
                <c:pt idx="249">
                  <c:v>0.94498143454941952</c:v>
                </c:pt>
                <c:pt idx="250">
                  <c:v>0.94474568279601578</c:v>
                </c:pt>
                <c:pt idx="251">
                  <c:v>0.94465727588848947</c:v>
                </c:pt>
                <c:pt idx="252">
                  <c:v>0.94456886898096304</c:v>
                </c:pt>
                <c:pt idx="253">
                  <c:v>0.94412683444333112</c:v>
                </c:pt>
                <c:pt idx="254">
                  <c:v>0.94374373784405019</c:v>
                </c:pt>
                <c:pt idx="255">
                  <c:v>0.94368479990569942</c:v>
                </c:pt>
                <c:pt idx="256">
                  <c:v>0.94362586196734843</c:v>
                </c:pt>
                <c:pt idx="257">
                  <c:v>0.94359639299817311</c:v>
                </c:pt>
                <c:pt idx="258">
                  <c:v>0.9433901102139447</c:v>
                </c:pt>
                <c:pt idx="259">
                  <c:v>0.94303648258383921</c:v>
                </c:pt>
                <c:pt idx="260">
                  <c:v>0.94244710320033021</c:v>
                </c:pt>
                <c:pt idx="261">
                  <c:v>0.94218188247775103</c:v>
                </c:pt>
                <c:pt idx="262">
                  <c:v>0.9419461307243473</c:v>
                </c:pt>
                <c:pt idx="263">
                  <c:v>0.94153356515589093</c:v>
                </c:pt>
                <c:pt idx="264">
                  <c:v>0.94112099958743445</c:v>
                </c:pt>
                <c:pt idx="265">
                  <c:v>0.94088524783403082</c:v>
                </c:pt>
                <c:pt idx="266">
                  <c:v>0.94082630989567984</c:v>
                </c:pt>
                <c:pt idx="267">
                  <c:v>0.9406494960806272</c:v>
                </c:pt>
                <c:pt idx="268">
                  <c:v>0.94029586845052171</c:v>
                </c:pt>
                <c:pt idx="269">
                  <c:v>0.9400011787587671</c:v>
                </c:pt>
                <c:pt idx="270">
                  <c:v>0.93976542700536347</c:v>
                </c:pt>
                <c:pt idx="271">
                  <c:v>0.93964755112866161</c:v>
                </c:pt>
                <c:pt idx="272">
                  <c:v>0.93955914422113518</c:v>
                </c:pt>
                <c:pt idx="273">
                  <c:v>0.93923498556020513</c:v>
                </c:pt>
                <c:pt idx="274">
                  <c:v>0.93888135793009964</c:v>
                </c:pt>
                <c:pt idx="275">
                  <c:v>0.93867507514587156</c:v>
                </c:pt>
                <c:pt idx="276">
                  <c:v>0.93861613720752057</c:v>
                </c:pt>
                <c:pt idx="277">
                  <c:v>0.93829197854659052</c:v>
                </c:pt>
                <c:pt idx="278">
                  <c:v>0.93808569576236223</c:v>
                </c:pt>
                <c:pt idx="279">
                  <c:v>0.93773206813225685</c:v>
                </c:pt>
                <c:pt idx="280">
                  <c:v>0.93749631637885311</c:v>
                </c:pt>
                <c:pt idx="281">
                  <c:v>0.9375552543172041</c:v>
                </c:pt>
                <c:pt idx="282">
                  <c:v>0.93758472328637943</c:v>
                </c:pt>
                <c:pt idx="283">
                  <c:v>0.93729003359462493</c:v>
                </c:pt>
                <c:pt idx="284">
                  <c:v>0.93711321977957218</c:v>
                </c:pt>
                <c:pt idx="285">
                  <c:v>0.936906936995344</c:v>
                </c:pt>
                <c:pt idx="286">
                  <c:v>0.93673012318029114</c:v>
                </c:pt>
                <c:pt idx="287">
                  <c:v>0.93649437142688752</c:v>
                </c:pt>
                <c:pt idx="288">
                  <c:v>0.93614074379678203</c:v>
                </c:pt>
                <c:pt idx="289">
                  <c:v>0.93593446101255384</c:v>
                </c:pt>
                <c:pt idx="290">
                  <c:v>0.93555136441327291</c:v>
                </c:pt>
                <c:pt idx="291">
                  <c:v>0.93770259916308141</c:v>
                </c:pt>
                <c:pt idx="292">
                  <c:v>0.93767313019390586</c:v>
                </c:pt>
                <c:pt idx="293">
                  <c:v>0.93702481287204586</c:v>
                </c:pt>
                <c:pt idx="294">
                  <c:v>0.93652384039606307</c:v>
                </c:pt>
                <c:pt idx="295">
                  <c:v>0.9361996817351329</c:v>
                </c:pt>
                <c:pt idx="296">
                  <c:v>0.93614074379678203</c:v>
                </c:pt>
                <c:pt idx="297">
                  <c:v>0.93599339895090483</c:v>
                </c:pt>
                <c:pt idx="298">
                  <c:v>0.93561030235162379</c:v>
                </c:pt>
                <c:pt idx="299">
                  <c:v>0.93522720575234286</c:v>
                </c:pt>
                <c:pt idx="300">
                  <c:v>0.93357694347851716</c:v>
                </c:pt>
                <c:pt idx="301">
                  <c:v>0.93375375729356991</c:v>
                </c:pt>
                <c:pt idx="302">
                  <c:v>0.93325278481758711</c:v>
                </c:pt>
                <c:pt idx="303">
                  <c:v>0.93272234337242887</c:v>
                </c:pt>
                <c:pt idx="304">
                  <c:v>0.93254552955737613</c:v>
                </c:pt>
                <c:pt idx="305">
                  <c:v>0.93257499852655168</c:v>
                </c:pt>
                <c:pt idx="306">
                  <c:v>0.93248659161902525</c:v>
                </c:pt>
                <c:pt idx="307">
                  <c:v>0.93204455708139333</c:v>
                </c:pt>
                <c:pt idx="308">
                  <c:v>0.9315141156362351</c:v>
                </c:pt>
                <c:pt idx="309">
                  <c:v>0.93130783285200691</c:v>
                </c:pt>
                <c:pt idx="310">
                  <c:v>0.93136677079035779</c:v>
                </c:pt>
                <c:pt idx="311">
                  <c:v>0.93130783285200691</c:v>
                </c:pt>
                <c:pt idx="312">
                  <c:v>0.9310131431602523</c:v>
                </c:pt>
                <c:pt idx="313">
                  <c:v>0.93060057759179593</c:v>
                </c:pt>
                <c:pt idx="314">
                  <c:v>0.93039429480756763</c:v>
                </c:pt>
                <c:pt idx="315">
                  <c:v>0.93033535686921676</c:v>
                </c:pt>
                <c:pt idx="316">
                  <c:v>0.93012907408498857</c:v>
                </c:pt>
                <c:pt idx="317">
                  <c:v>0.92968703954735665</c:v>
                </c:pt>
                <c:pt idx="318">
                  <c:v>0.92924500500972484</c:v>
                </c:pt>
                <c:pt idx="319">
                  <c:v>0.92909766016384754</c:v>
                </c:pt>
                <c:pt idx="320">
                  <c:v>0.92903872222549666</c:v>
                </c:pt>
                <c:pt idx="321">
                  <c:v>0.92892084634879479</c:v>
                </c:pt>
                <c:pt idx="322">
                  <c:v>0.92853774974951386</c:v>
                </c:pt>
                <c:pt idx="323">
                  <c:v>0.92818412211940837</c:v>
                </c:pt>
                <c:pt idx="324">
                  <c:v>0.92806624624270651</c:v>
                </c:pt>
                <c:pt idx="325">
                  <c:v>0.92800730830435563</c:v>
                </c:pt>
                <c:pt idx="326">
                  <c:v>0.92797783933518008</c:v>
                </c:pt>
                <c:pt idx="327">
                  <c:v>0.92768314964342558</c:v>
                </c:pt>
                <c:pt idx="328">
                  <c:v>0.92735899098249552</c:v>
                </c:pt>
                <c:pt idx="329">
                  <c:v>0.92715270819826734</c:v>
                </c:pt>
                <c:pt idx="330">
                  <c:v>0.92721164613661822</c:v>
                </c:pt>
                <c:pt idx="331">
                  <c:v>0.92712323922909179</c:v>
                </c:pt>
                <c:pt idx="332">
                  <c:v>0.92674014262981086</c:v>
                </c:pt>
                <c:pt idx="333">
                  <c:v>0.9262686391230035</c:v>
                </c:pt>
                <c:pt idx="334">
                  <c:v>0.92612129427712619</c:v>
                </c:pt>
                <c:pt idx="335">
                  <c:v>0.92629810809217905</c:v>
                </c:pt>
                <c:pt idx="336">
                  <c:v>0.92620970118465262</c:v>
                </c:pt>
                <c:pt idx="337">
                  <c:v>0.92594448046207345</c:v>
                </c:pt>
                <c:pt idx="338">
                  <c:v>0.92550244592444164</c:v>
                </c:pt>
                <c:pt idx="339">
                  <c:v>0.92535510107856433</c:v>
                </c:pt>
                <c:pt idx="340">
                  <c:v>0.9254729769552662</c:v>
                </c:pt>
                <c:pt idx="341">
                  <c:v>0.92541403901691521</c:v>
                </c:pt>
                <c:pt idx="342">
                  <c:v>0.92503094241763428</c:v>
                </c:pt>
                <c:pt idx="343">
                  <c:v>0.92455943891082693</c:v>
                </c:pt>
                <c:pt idx="344">
                  <c:v>0.92423528024989687</c:v>
                </c:pt>
                <c:pt idx="345">
                  <c:v>0.92405846643484413</c:v>
                </c:pt>
                <c:pt idx="346">
                  <c:v>0.92391112158896693</c:v>
                </c:pt>
                <c:pt idx="347">
                  <c:v>0.92361643189721232</c:v>
                </c:pt>
                <c:pt idx="348">
                  <c:v>0.92323333529793139</c:v>
                </c:pt>
                <c:pt idx="349">
                  <c:v>0.92285023869865035</c:v>
                </c:pt>
                <c:pt idx="350">
                  <c:v>0.9226734248835976</c:v>
                </c:pt>
                <c:pt idx="351">
                  <c:v>0.92264395591442216</c:v>
                </c:pt>
                <c:pt idx="352">
                  <c:v>0.92249661106854486</c:v>
                </c:pt>
                <c:pt idx="353">
                  <c:v>0.92231979725349211</c:v>
                </c:pt>
                <c:pt idx="354">
                  <c:v>0.92208404550008849</c:v>
                </c:pt>
                <c:pt idx="355">
                  <c:v>0.92211351446926393</c:v>
                </c:pt>
                <c:pt idx="356">
                  <c:v>0.92214298343843948</c:v>
                </c:pt>
                <c:pt idx="357">
                  <c:v>0.92181882477750932</c:v>
                </c:pt>
                <c:pt idx="358">
                  <c:v>0.92149466611657926</c:v>
                </c:pt>
                <c:pt idx="359">
                  <c:v>0.92105263157894746</c:v>
                </c:pt>
                <c:pt idx="360">
                  <c:v>0.92099369364059658</c:v>
                </c:pt>
                <c:pt idx="361">
                  <c:v>0.92093475570224559</c:v>
                </c:pt>
                <c:pt idx="362">
                  <c:v>0.92055165910296466</c:v>
                </c:pt>
                <c:pt idx="363">
                  <c:v>0.92013909353450829</c:v>
                </c:pt>
                <c:pt idx="364">
                  <c:v>0.91987387281192912</c:v>
                </c:pt>
                <c:pt idx="365">
                  <c:v>0.91972652796605181</c:v>
                </c:pt>
                <c:pt idx="366">
                  <c:v>0.91963812105852549</c:v>
                </c:pt>
                <c:pt idx="367">
                  <c:v>0.91910767961336715</c:v>
                </c:pt>
                <c:pt idx="368">
                  <c:v>0.91860670713738446</c:v>
                </c:pt>
                <c:pt idx="369">
                  <c:v>0.91813520363057699</c:v>
                </c:pt>
                <c:pt idx="370">
                  <c:v>0.91813520363057699</c:v>
                </c:pt>
                <c:pt idx="371">
                  <c:v>0.91816467259975254</c:v>
                </c:pt>
                <c:pt idx="372">
                  <c:v>0.91804679672305067</c:v>
                </c:pt>
                <c:pt idx="373">
                  <c:v>0.91766370012376974</c:v>
                </c:pt>
                <c:pt idx="374">
                  <c:v>0.91736901043201513</c:v>
                </c:pt>
                <c:pt idx="375">
                  <c:v>0.91742794837036612</c:v>
                </c:pt>
                <c:pt idx="376">
                  <c:v>0.91692697589438321</c:v>
                </c:pt>
                <c:pt idx="377">
                  <c:v>0.9164849413567514</c:v>
                </c:pt>
                <c:pt idx="378">
                  <c:v>0.9160429068191196</c:v>
                </c:pt>
                <c:pt idx="379">
                  <c:v>0.9158366240348913</c:v>
                </c:pt>
                <c:pt idx="380">
                  <c:v>0.91560087228148768</c:v>
                </c:pt>
                <c:pt idx="381">
                  <c:v>0.91521777568220664</c:v>
                </c:pt>
                <c:pt idx="382">
                  <c:v>0.91512936877468032</c:v>
                </c:pt>
                <c:pt idx="383">
                  <c:v>0.91471680320622384</c:v>
                </c:pt>
                <c:pt idx="384">
                  <c:v>0.91442211351446934</c:v>
                </c:pt>
                <c:pt idx="385">
                  <c:v>0.91406848588436385</c:v>
                </c:pt>
                <c:pt idx="386">
                  <c:v>0.91362645134673193</c:v>
                </c:pt>
                <c:pt idx="387">
                  <c:v>0.91356751340838105</c:v>
                </c:pt>
                <c:pt idx="388">
                  <c:v>0.91315494783992457</c:v>
                </c:pt>
                <c:pt idx="389">
                  <c:v>0.91312547887074924</c:v>
                </c:pt>
                <c:pt idx="390">
                  <c:v>0.91312547887074924</c:v>
                </c:pt>
                <c:pt idx="391">
                  <c:v>0.91288972711734551</c:v>
                </c:pt>
                <c:pt idx="392">
                  <c:v>0.91230034773383628</c:v>
                </c:pt>
                <c:pt idx="393">
                  <c:v>0.91200565804208178</c:v>
                </c:pt>
                <c:pt idx="394">
                  <c:v>0.91212353391878365</c:v>
                </c:pt>
                <c:pt idx="395">
                  <c:v>0.91218247185713452</c:v>
                </c:pt>
                <c:pt idx="396">
                  <c:v>0.91206459598043266</c:v>
                </c:pt>
                <c:pt idx="397">
                  <c:v>0.91150468556609898</c:v>
                </c:pt>
                <c:pt idx="398">
                  <c:v>0.91103318205929162</c:v>
                </c:pt>
                <c:pt idx="399">
                  <c:v>0.91109211999764261</c:v>
                </c:pt>
                <c:pt idx="400">
                  <c:v>0.91109211999764261</c:v>
                </c:pt>
                <c:pt idx="401">
                  <c:v>0.91091530618258987</c:v>
                </c:pt>
                <c:pt idx="402">
                  <c:v>0.91017858195320334</c:v>
                </c:pt>
                <c:pt idx="403">
                  <c:v>0.90950079566216779</c:v>
                </c:pt>
                <c:pt idx="404">
                  <c:v>0.90982495432309785</c:v>
                </c:pt>
                <c:pt idx="405">
                  <c:v>0.91000176813815059</c:v>
                </c:pt>
                <c:pt idx="406">
                  <c:v>0.90994283019979971</c:v>
                </c:pt>
                <c:pt idx="407">
                  <c:v>0.90982495432309785</c:v>
                </c:pt>
                <c:pt idx="408">
                  <c:v>0.90950079566216779</c:v>
                </c:pt>
                <c:pt idx="409">
                  <c:v>0.90947132669299224</c:v>
                </c:pt>
                <c:pt idx="410">
                  <c:v>0.91176990628867816</c:v>
                </c:pt>
                <c:pt idx="411">
                  <c:v>0.91100371309011619</c:v>
                </c:pt>
                <c:pt idx="412">
                  <c:v>0.91050274061413339</c:v>
                </c:pt>
                <c:pt idx="413">
                  <c:v>0.90994283019979971</c:v>
                </c:pt>
                <c:pt idx="414">
                  <c:v>0.90941238875464137</c:v>
                </c:pt>
                <c:pt idx="415">
                  <c:v>0.90926504390876417</c:v>
                </c:pt>
                <c:pt idx="416">
                  <c:v>0.90923557493958862</c:v>
                </c:pt>
                <c:pt idx="417">
                  <c:v>0.90888194730948313</c:v>
                </c:pt>
                <c:pt idx="418">
                  <c:v>0.90838097483350033</c:v>
                </c:pt>
                <c:pt idx="419">
                  <c:v>0.90788000235751765</c:v>
                </c:pt>
                <c:pt idx="420">
                  <c:v>0.90776212648081578</c:v>
                </c:pt>
                <c:pt idx="421">
                  <c:v>0.90773265751164034</c:v>
                </c:pt>
                <c:pt idx="422">
                  <c:v>0.90743796781988573</c:v>
                </c:pt>
                <c:pt idx="423">
                  <c:v>0.90696646431307848</c:v>
                </c:pt>
                <c:pt idx="424">
                  <c:v>0.90652442977544656</c:v>
                </c:pt>
                <c:pt idx="425">
                  <c:v>0.90637708492956925</c:v>
                </c:pt>
                <c:pt idx="426">
                  <c:v>0.90637708492956925</c:v>
                </c:pt>
                <c:pt idx="427">
                  <c:v>0.90614133317616552</c:v>
                </c:pt>
                <c:pt idx="428">
                  <c:v>0.90564036070018272</c:v>
                </c:pt>
                <c:pt idx="429">
                  <c:v>0.90522779513172635</c:v>
                </c:pt>
                <c:pt idx="430">
                  <c:v>0.90513938822419993</c:v>
                </c:pt>
                <c:pt idx="431">
                  <c:v>0.90505098131667361</c:v>
                </c:pt>
                <c:pt idx="432">
                  <c:v>0.90478576059409443</c:v>
                </c:pt>
                <c:pt idx="433">
                  <c:v>0.90431425708728719</c:v>
                </c:pt>
                <c:pt idx="434">
                  <c:v>0.90390169151883071</c:v>
                </c:pt>
                <c:pt idx="435">
                  <c:v>0.90393116048800615</c:v>
                </c:pt>
                <c:pt idx="436">
                  <c:v>0.90393116048800615</c:v>
                </c:pt>
                <c:pt idx="437">
                  <c:v>0.9037543466729534</c:v>
                </c:pt>
                <c:pt idx="438">
                  <c:v>0.90337125007367247</c:v>
                </c:pt>
                <c:pt idx="439">
                  <c:v>0.90331231213532148</c:v>
                </c:pt>
                <c:pt idx="440">
                  <c:v>0.90157364295396958</c:v>
                </c:pt>
                <c:pt idx="441">
                  <c:v>0.90054222903282855</c:v>
                </c:pt>
                <c:pt idx="442">
                  <c:v>0.89974656686509114</c:v>
                </c:pt>
                <c:pt idx="443">
                  <c:v>0.89906878057405559</c:v>
                </c:pt>
                <c:pt idx="444">
                  <c:v>0.89868568397477455</c:v>
                </c:pt>
                <c:pt idx="445">
                  <c:v>0.89880355985147642</c:v>
                </c:pt>
                <c:pt idx="446">
                  <c:v>0.89868568397477455</c:v>
                </c:pt>
                <c:pt idx="447">
                  <c:v>0.89850887015972181</c:v>
                </c:pt>
                <c:pt idx="448">
                  <c:v>0.89830258737549373</c:v>
                </c:pt>
                <c:pt idx="449">
                  <c:v>0.89812577356044088</c:v>
                </c:pt>
                <c:pt idx="450">
                  <c:v>0.8988624977898273</c:v>
                </c:pt>
                <c:pt idx="451">
                  <c:v>0.89968762892674026</c:v>
                </c:pt>
                <c:pt idx="452">
                  <c:v>0.89930453232745922</c:v>
                </c:pt>
                <c:pt idx="453">
                  <c:v>0.89903931160488015</c:v>
                </c:pt>
                <c:pt idx="454">
                  <c:v>0.89915718748158202</c:v>
                </c:pt>
                <c:pt idx="455">
                  <c:v>0.8992161254199329</c:v>
                </c:pt>
                <c:pt idx="456">
                  <c:v>0.89898037366652916</c:v>
                </c:pt>
                <c:pt idx="457">
                  <c:v>0.89865621500559922</c:v>
                </c:pt>
                <c:pt idx="458">
                  <c:v>0.89827311840631818</c:v>
                </c:pt>
                <c:pt idx="459">
                  <c:v>0.89836152531384461</c:v>
                </c:pt>
                <c:pt idx="460">
                  <c:v>0.89850887015972181</c:v>
                </c:pt>
                <c:pt idx="461">
                  <c:v>0.8982141804679673</c:v>
                </c:pt>
                <c:pt idx="462">
                  <c:v>0.89777214593033539</c:v>
                </c:pt>
                <c:pt idx="463">
                  <c:v>0.89747745623858077</c:v>
                </c:pt>
                <c:pt idx="464">
                  <c:v>0.89741851830022989</c:v>
                </c:pt>
                <c:pt idx="465">
                  <c:v>0.89694701479342265</c:v>
                </c:pt>
                <c:pt idx="466">
                  <c:v>0.89450109035185954</c:v>
                </c:pt>
                <c:pt idx="467">
                  <c:v>0.89355808333824482</c:v>
                </c:pt>
                <c:pt idx="468">
                  <c:v>0.89314551776978846</c:v>
                </c:pt>
                <c:pt idx="469">
                  <c:v>0.89432427653680679</c:v>
                </c:pt>
                <c:pt idx="470">
                  <c:v>0.89461896622856141</c:v>
                </c:pt>
                <c:pt idx="471">
                  <c:v>0.89444215241350866</c:v>
                </c:pt>
                <c:pt idx="472">
                  <c:v>0.89444215241350866</c:v>
                </c:pt>
                <c:pt idx="473">
                  <c:v>0.89429480756763136</c:v>
                </c:pt>
                <c:pt idx="474">
                  <c:v>0.89400011787587674</c:v>
                </c:pt>
                <c:pt idx="475">
                  <c:v>0.89370542818412224</c:v>
                </c:pt>
                <c:pt idx="476">
                  <c:v>0.89370542818412224</c:v>
                </c:pt>
                <c:pt idx="477">
                  <c:v>0.89367595921494669</c:v>
                </c:pt>
                <c:pt idx="478">
                  <c:v>0.8935286143690695</c:v>
                </c:pt>
                <c:pt idx="479">
                  <c:v>0.89317498673896401</c:v>
                </c:pt>
                <c:pt idx="480">
                  <c:v>0.89290976601638483</c:v>
                </c:pt>
                <c:pt idx="481">
                  <c:v>0.89288029704720939</c:v>
                </c:pt>
                <c:pt idx="482">
                  <c:v>0.89288029704720939</c:v>
                </c:pt>
                <c:pt idx="483">
                  <c:v>0.89208463487947198</c:v>
                </c:pt>
                <c:pt idx="484">
                  <c:v>0.89246773147875291</c:v>
                </c:pt>
                <c:pt idx="485">
                  <c:v>0.89279189013968296</c:v>
                </c:pt>
                <c:pt idx="486">
                  <c:v>0.89243826250957747</c:v>
                </c:pt>
                <c:pt idx="487">
                  <c:v>0.89220251075617385</c:v>
                </c:pt>
                <c:pt idx="488">
                  <c:v>0.89190782106441913</c:v>
                </c:pt>
                <c:pt idx="489">
                  <c:v>0.89205516591029654</c:v>
                </c:pt>
                <c:pt idx="490">
                  <c:v>0.89205516591029654</c:v>
                </c:pt>
                <c:pt idx="491">
                  <c:v>0.89193729003359468</c:v>
                </c:pt>
                <c:pt idx="492">
                  <c:v>0.89173100724936649</c:v>
                </c:pt>
                <c:pt idx="493">
                  <c:v>0.89158366240348919</c:v>
                </c:pt>
                <c:pt idx="494">
                  <c:v>0.89134791065008556</c:v>
                </c:pt>
                <c:pt idx="495">
                  <c:v>0.89125950374255913</c:v>
                </c:pt>
                <c:pt idx="496">
                  <c:v>0.89102375198915551</c:v>
                </c:pt>
                <c:pt idx="497">
                  <c:v>0.89081746920492721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D6-408B-A9A9-C795D6619221}"/>
            </c:ext>
          </c:extLst>
        </c:ser>
        <c:ser>
          <c:idx val="1"/>
          <c:order val="1"/>
          <c:tx>
            <c:v>435-2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'G11E-V1.2-PreA-0.5C_0.5C循环 25℃'!$V$3:$V$509</c:f>
              <c:numCache>
                <c:formatCode>General</c:formatCode>
                <c:ptCount val="50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</c:numCache>
            </c:numRef>
          </c:xVal>
          <c:yVal>
            <c:numRef>
              <c:f>'G11E-V1.2-PreA-0.5C_0.5C循环 25℃'!$Z$3:$Z$509</c:f>
              <c:numCache>
                <c:formatCode>0.00%</c:formatCode>
                <c:ptCount val="507"/>
                <c:pt idx="0">
                  <c:v>1</c:v>
                </c:pt>
                <c:pt idx="1">
                  <c:v>1.0005608359407285</c:v>
                </c:pt>
                <c:pt idx="2">
                  <c:v>1.0002951768109096</c:v>
                </c:pt>
                <c:pt idx="3">
                  <c:v>1.0002656591298187</c:v>
                </c:pt>
                <c:pt idx="4">
                  <c:v>1.000236141448728</c:v>
                </c:pt>
                <c:pt idx="5">
                  <c:v>1.0003246944920008</c:v>
                </c:pt>
                <c:pt idx="6">
                  <c:v>1.0002656591298187</c:v>
                </c:pt>
                <c:pt idx="7">
                  <c:v>0.99976385855127214</c:v>
                </c:pt>
                <c:pt idx="8">
                  <c:v>0.99961627014581744</c:v>
                </c:pt>
                <c:pt idx="9">
                  <c:v>0.99926205797272571</c:v>
                </c:pt>
                <c:pt idx="10">
                  <c:v>0.99940964637818042</c:v>
                </c:pt>
                <c:pt idx="11">
                  <c:v>0.99929157565381665</c:v>
                </c:pt>
                <c:pt idx="12">
                  <c:v>0.99878977507527023</c:v>
                </c:pt>
                <c:pt idx="13">
                  <c:v>0.99867170435090613</c:v>
                </c:pt>
                <c:pt idx="14">
                  <c:v>0.99855363362654226</c:v>
                </c:pt>
                <c:pt idx="15">
                  <c:v>0.9985831513076332</c:v>
                </c:pt>
                <c:pt idx="16">
                  <c:v>0.99846508058326944</c:v>
                </c:pt>
                <c:pt idx="17">
                  <c:v>0.99834700985890557</c:v>
                </c:pt>
                <c:pt idx="18">
                  <c:v>0.99852411594545143</c:v>
                </c:pt>
                <c:pt idx="19">
                  <c:v>0.99819942145345064</c:v>
                </c:pt>
                <c:pt idx="20">
                  <c:v>0.99760906783163106</c:v>
                </c:pt>
                <c:pt idx="21">
                  <c:v>0.99690064348544782</c:v>
                </c:pt>
                <c:pt idx="22">
                  <c:v>0.99636932522581034</c:v>
                </c:pt>
                <c:pt idx="23">
                  <c:v>0.99633980754471918</c:v>
                </c:pt>
                <c:pt idx="24">
                  <c:v>0.99636932522581034</c:v>
                </c:pt>
                <c:pt idx="25">
                  <c:v>0.99589704232835463</c:v>
                </c:pt>
                <c:pt idx="26">
                  <c:v>0.99557234783635407</c:v>
                </c:pt>
                <c:pt idx="27">
                  <c:v>0.99566090087962689</c:v>
                </c:pt>
                <c:pt idx="28">
                  <c:v>0.9955428301552629</c:v>
                </c:pt>
                <c:pt idx="29">
                  <c:v>0.99563138319853584</c:v>
                </c:pt>
                <c:pt idx="30">
                  <c:v>0.99527717102544433</c:v>
                </c:pt>
                <c:pt idx="31">
                  <c:v>0.99489344117126155</c:v>
                </c:pt>
                <c:pt idx="32">
                  <c:v>0.99477537044689768</c:v>
                </c:pt>
                <c:pt idx="33">
                  <c:v>0.99489344117126155</c:v>
                </c:pt>
                <c:pt idx="34">
                  <c:v>0.99486392349017061</c:v>
                </c:pt>
                <c:pt idx="35">
                  <c:v>0.99430308754944219</c:v>
                </c:pt>
                <c:pt idx="36">
                  <c:v>0.99394887537635046</c:v>
                </c:pt>
                <c:pt idx="37">
                  <c:v>0.99362418088434967</c:v>
                </c:pt>
                <c:pt idx="38">
                  <c:v>0.99353562784107674</c:v>
                </c:pt>
                <c:pt idx="39">
                  <c:v>0.99338803943562204</c:v>
                </c:pt>
                <c:pt idx="40">
                  <c:v>0.9928272034948934</c:v>
                </c:pt>
                <c:pt idx="41">
                  <c:v>0.9921482968298011</c:v>
                </c:pt>
                <c:pt idx="42">
                  <c:v>0.99194167306216419</c:v>
                </c:pt>
                <c:pt idx="43">
                  <c:v>0.99205974378652817</c:v>
                </c:pt>
                <c:pt idx="44">
                  <c:v>0.99223684987307403</c:v>
                </c:pt>
                <c:pt idx="45">
                  <c:v>0.99185312001889125</c:v>
                </c:pt>
                <c:pt idx="46">
                  <c:v>0.99146939016470859</c:v>
                </c:pt>
                <c:pt idx="47">
                  <c:v>0.99138083712143565</c:v>
                </c:pt>
                <c:pt idx="48">
                  <c:v>0.99061337741307054</c:v>
                </c:pt>
                <c:pt idx="49">
                  <c:v>0.98987543538579603</c:v>
                </c:pt>
                <c:pt idx="50">
                  <c:v>0.98839955133124735</c:v>
                </c:pt>
                <c:pt idx="51">
                  <c:v>0.98769112698506401</c:v>
                </c:pt>
                <c:pt idx="52">
                  <c:v>0.98777968002833694</c:v>
                </c:pt>
                <c:pt idx="53">
                  <c:v>0.98887183422870295</c:v>
                </c:pt>
                <c:pt idx="54">
                  <c:v>0.98996398842906896</c:v>
                </c:pt>
                <c:pt idx="55">
                  <c:v>0.98996398842906896</c:v>
                </c:pt>
                <c:pt idx="56">
                  <c:v>0.98943267016943159</c:v>
                </c:pt>
                <c:pt idx="57">
                  <c:v>0.98946218785052253</c:v>
                </c:pt>
                <c:pt idx="58">
                  <c:v>0.98949170553161336</c:v>
                </c:pt>
                <c:pt idx="59">
                  <c:v>0.98934411712615866</c:v>
                </c:pt>
                <c:pt idx="60">
                  <c:v>0.98872424582324814</c:v>
                </c:pt>
                <c:pt idx="61">
                  <c:v>0.98810437452033772</c:v>
                </c:pt>
                <c:pt idx="62">
                  <c:v>0.9879567861148828</c:v>
                </c:pt>
                <c:pt idx="63">
                  <c:v>0.98777968002833694</c:v>
                </c:pt>
                <c:pt idx="64">
                  <c:v>0.98769112698506401</c:v>
                </c:pt>
                <c:pt idx="65">
                  <c:v>0.98713029104433558</c:v>
                </c:pt>
                <c:pt idx="66">
                  <c:v>0.9868055965523348</c:v>
                </c:pt>
                <c:pt idx="67">
                  <c:v>0.98662849046578893</c:v>
                </c:pt>
                <c:pt idx="68">
                  <c:v>0.98659897278469799</c:v>
                </c:pt>
                <c:pt idx="69">
                  <c:v>0.98692366727669878</c:v>
                </c:pt>
                <c:pt idx="70">
                  <c:v>0.9863923490170613</c:v>
                </c:pt>
                <c:pt idx="71">
                  <c:v>0.98559537162760491</c:v>
                </c:pt>
                <c:pt idx="72">
                  <c:v>0.98530019481669529</c:v>
                </c:pt>
                <c:pt idx="73">
                  <c:v>0.98518212409233119</c:v>
                </c:pt>
                <c:pt idx="74">
                  <c:v>0.98515260641124036</c:v>
                </c:pt>
                <c:pt idx="75">
                  <c:v>0.98403093452978341</c:v>
                </c:pt>
                <c:pt idx="76">
                  <c:v>0.98400141684869236</c:v>
                </c:pt>
                <c:pt idx="77">
                  <c:v>0.98382431076214649</c:v>
                </c:pt>
                <c:pt idx="78">
                  <c:v>0.98352913395123676</c:v>
                </c:pt>
                <c:pt idx="79">
                  <c:v>0.98279119192396247</c:v>
                </c:pt>
                <c:pt idx="80">
                  <c:v>0.98190566149123326</c:v>
                </c:pt>
                <c:pt idx="81">
                  <c:v>0.98261408583741661</c:v>
                </c:pt>
                <c:pt idx="82">
                  <c:v>0.98261408583741661</c:v>
                </c:pt>
                <c:pt idx="83">
                  <c:v>0.98223035598323405</c:v>
                </c:pt>
                <c:pt idx="84">
                  <c:v>0.98149241395595954</c:v>
                </c:pt>
                <c:pt idx="85">
                  <c:v>0.98084302497195819</c:v>
                </c:pt>
                <c:pt idx="86">
                  <c:v>0.98240746206977969</c:v>
                </c:pt>
                <c:pt idx="87">
                  <c:v>0.98205324989668819</c:v>
                </c:pt>
                <c:pt idx="88">
                  <c:v>0.9815219316370507</c:v>
                </c:pt>
                <c:pt idx="89">
                  <c:v>0.98128579018832285</c:v>
                </c:pt>
                <c:pt idx="90">
                  <c:v>0.98093157801523112</c:v>
                </c:pt>
                <c:pt idx="91">
                  <c:v>0.98087254265304913</c:v>
                </c:pt>
                <c:pt idx="92">
                  <c:v>0.98087254265304913</c:v>
                </c:pt>
                <c:pt idx="93">
                  <c:v>0.98090206033414018</c:v>
                </c:pt>
                <c:pt idx="94">
                  <c:v>0.98057736584213939</c:v>
                </c:pt>
                <c:pt idx="95">
                  <c:v>0.9801050829446839</c:v>
                </c:pt>
                <c:pt idx="96">
                  <c:v>0.98007556526359296</c:v>
                </c:pt>
                <c:pt idx="97">
                  <c:v>0.97998701222032003</c:v>
                </c:pt>
                <c:pt idx="98">
                  <c:v>0.98004604758250191</c:v>
                </c:pt>
                <c:pt idx="99">
                  <c:v>0.97972135309050123</c:v>
                </c:pt>
                <c:pt idx="100">
                  <c:v>0.97930810555522751</c:v>
                </c:pt>
                <c:pt idx="101">
                  <c:v>0.97910148178759082</c:v>
                </c:pt>
                <c:pt idx="102">
                  <c:v>0.97924907019304552</c:v>
                </c:pt>
                <c:pt idx="103">
                  <c:v>0.97904244642540883</c:v>
                </c:pt>
                <c:pt idx="104">
                  <c:v>0.97859968120904417</c:v>
                </c:pt>
                <c:pt idx="105">
                  <c:v>0.97806836294940658</c:v>
                </c:pt>
                <c:pt idx="106">
                  <c:v>0.97774366845740601</c:v>
                </c:pt>
                <c:pt idx="107">
                  <c:v>0.97762559773304203</c:v>
                </c:pt>
                <c:pt idx="108">
                  <c:v>0.97744849164649616</c:v>
                </c:pt>
                <c:pt idx="109">
                  <c:v>0.97706476179231361</c:v>
                </c:pt>
                <c:pt idx="110">
                  <c:v>0.97650392585158508</c:v>
                </c:pt>
                <c:pt idx="111">
                  <c:v>0.97638585512722131</c:v>
                </c:pt>
                <c:pt idx="112">
                  <c:v>0.97650392585158508</c:v>
                </c:pt>
                <c:pt idx="113">
                  <c:v>0.97676958498140387</c:v>
                </c:pt>
                <c:pt idx="114">
                  <c:v>0.97659247889485801</c:v>
                </c:pt>
                <c:pt idx="115">
                  <c:v>0.97617923135958429</c:v>
                </c:pt>
                <c:pt idx="116">
                  <c:v>0.97597260759194759</c:v>
                </c:pt>
                <c:pt idx="117">
                  <c:v>0.97612019599740252</c:v>
                </c:pt>
                <c:pt idx="118">
                  <c:v>0.97609067831631136</c:v>
                </c:pt>
                <c:pt idx="119">
                  <c:v>0.97573646614321974</c:v>
                </c:pt>
                <c:pt idx="120">
                  <c:v>0.97526418324576414</c:v>
                </c:pt>
                <c:pt idx="121">
                  <c:v>0.97508707715921838</c:v>
                </c:pt>
                <c:pt idx="122">
                  <c:v>0.97517563020249121</c:v>
                </c:pt>
                <c:pt idx="123">
                  <c:v>0.97517563020249121</c:v>
                </c:pt>
                <c:pt idx="124">
                  <c:v>0.97482141802939959</c:v>
                </c:pt>
                <c:pt idx="125">
                  <c:v>0.97437865281303493</c:v>
                </c:pt>
                <c:pt idx="126">
                  <c:v>0.9740244406399432</c:v>
                </c:pt>
                <c:pt idx="127">
                  <c:v>0.9741425113643073</c:v>
                </c:pt>
                <c:pt idx="128">
                  <c:v>0.9740834760021253</c:v>
                </c:pt>
                <c:pt idx="129">
                  <c:v>0.97375878151012452</c:v>
                </c:pt>
                <c:pt idx="130">
                  <c:v>0.97334553397485102</c:v>
                </c:pt>
                <c:pt idx="131">
                  <c:v>0.97316842788830515</c:v>
                </c:pt>
                <c:pt idx="132">
                  <c:v>0.97322746325048692</c:v>
                </c:pt>
                <c:pt idx="133">
                  <c:v>0.97325698093157809</c:v>
                </c:pt>
                <c:pt idx="134">
                  <c:v>0.97310939252612316</c:v>
                </c:pt>
                <c:pt idx="135">
                  <c:v>0.97269614499084955</c:v>
                </c:pt>
                <c:pt idx="136">
                  <c:v>0.97240096817993971</c:v>
                </c:pt>
                <c:pt idx="137">
                  <c:v>0.97228289745557583</c:v>
                </c:pt>
                <c:pt idx="138">
                  <c:v>0.9724600035421217</c:v>
                </c:pt>
                <c:pt idx="139">
                  <c:v>0.97222386209339384</c:v>
                </c:pt>
                <c:pt idx="140">
                  <c:v>0.97184013223921129</c:v>
                </c:pt>
                <c:pt idx="141">
                  <c:v>0.9715154377472105</c:v>
                </c:pt>
                <c:pt idx="142">
                  <c:v>0.97036424818466271</c:v>
                </c:pt>
                <c:pt idx="143">
                  <c:v>0.97175157919593835</c:v>
                </c:pt>
                <c:pt idx="144">
                  <c:v>0.97195820296357505</c:v>
                </c:pt>
                <c:pt idx="145">
                  <c:v>0.97178109687702929</c:v>
                </c:pt>
                <c:pt idx="146">
                  <c:v>0.9715154377472105</c:v>
                </c:pt>
                <c:pt idx="147">
                  <c:v>0.96944920007084256</c:v>
                </c:pt>
                <c:pt idx="148">
                  <c:v>0.96874077572465911</c:v>
                </c:pt>
                <c:pt idx="149">
                  <c:v>0.96844559891374926</c:v>
                </c:pt>
                <c:pt idx="150">
                  <c:v>0.96865222268138618</c:v>
                </c:pt>
                <c:pt idx="151">
                  <c:v>0.96874077572465911</c:v>
                </c:pt>
                <c:pt idx="152">
                  <c:v>0.96882932876793204</c:v>
                </c:pt>
                <c:pt idx="153">
                  <c:v>0.96868174036247712</c:v>
                </c:pt>
                <c:pt idx="154">
                  <c:v>0.96832752818938539</c:v>
                </c:pt>
                <c:pt idx="155">
                  <c:v>0.96794379833520283</c:v>
                </c:pt>
                <c:pt idx="156">
                  <c:v>0.96782572761083874</c:v>
                </c:pt>
                <c:pt idx="157">
                  <c:v>0.96688116181592776</c:v>
                </c:pt>
                <c:pt idx="158">
                  <c:v>0.96596611370210761</c:v>
                </c:pt>
                <c:pt idx="159">
                  <c:v>0.96528720703701509</c:v>
                </c:pt>
                <c:pt idx="160">
                  <c:v>0.96478540645846866</c:v>
                </c:pt>
                <c:pt idx="161">
                  <c:v>0.96511010095046923</c:v>
                </c:pt>
                <c:pt idx="162">
                  <c:v>0.96590707833992562</c:v>
                </c:pt>
                <c:pt idx="163">
                  <c:v>0.96555286616683389</c:v>
                </c:pt>
                <c:pt idx="164">
                  <c:v>0.9650805832693784</c:v>
                </c:pt>
                <c:pt idx="165">
                  <c:v>0.96463781805301374</c:v>
                </c:pt>
                <c:pt idx="166">
                  <c:v>0.9646083003719228</c:v>
                </c:pt>
                <c:pt idx="167">
                  <c:v>0.96463781805301374</c:v>
                </c:pt>
                <c:pt idx="168">
                  <c:v>0.96451974732864987</c:v>
                </c:pt>
                <c:pt idx="169">
                  <c:v>0.96404746443119416</c:v>
                </c:pt>
                <c:pt idx="170">
                  <c:v>0.96360469921482972</c:v>
                </c:pt>
                <c:pt idx="171">
                  <c:v>0.96360469921482972</c:v>
                </c:pt>
                <c:pt idx="172">
                  <c:v>0.96375228762028453</c:v>
                </c:pt>
                <c:pt idx="173">
                  <c:v>0.96363421689592066</c:v>
                </c:pt>
                <c:pt idx="174">
                  <c:v>0.96322096936064694</c:v>
                </c:pt>
                <c:pt idx="175">
                  <c:v>0.96277820414428239</c:v>
                </c:pt>
                <c:pt idx="176">
                  <c:v>0.96257158037664559</c:v>
                </c:pt>
                <c:pt idx="177">
                  <c:v>0.96254206269555465</c:v>
                </c:pt>
                <c:pt idx="178">
                  <c:v>0.96245350965228171</c:v>
                </c:pt>
                <c:pt idx="179">
                  <c:v>0.96198122675482622</c:v>
                </c:pt>
                <c:pt idx="180">
                  <c:v>0.96147942617627957</c:v>
                </c:pt>
                <c:pt idx="181">
                  <c:v>0.96133183777082465</c:v>
                </c:pt>
                <c:pt idx="182">
                  <c:v>0.96124328472755172</c:v>
                </c:pt>
                <c:pt idx="183">
                  <c:v>0.96109569632209702</c:v>
                </c:pt>
                <c:pt idx="184">
                  <c:v>0.9606824487868233</c:v>
                </c:pt>
                <c:pt idx="185">
                  <c:v>0.96012161284609487</c:v>
                </c:pt>
                <c:pt idx="186">
                  <c:v>0.95994450675954901</c:v>
                </c:pt>
                <c:pt idx="187">
                  <c:v>0.95994450675954901</c:v>
                </c:pt>
                <c:pt idx="188">
                  <c:v>0.95982643603518514</c:v>
                </c:pt>
                <c:pt idx="189">
                  <c:v>0.95953125922427529</c:v>
                </c:pt>
                <c:pt idx="190">
                  <c:v>0.9590589763268198</c:v>
                </c:pt>
                <c:pt idx="191">
                  <c:v>0.95882283487809183</c:v>
                </c:pt>
                <c:pt idx="192">
                  <c:v>0.958793317197001</c:v>
                </c:pt>
                <c:pt idx="193">
                  <c:v>0.95867524647263713</c:v>
                </c:pt>
                <c:pt idx="194">
                  <c:v>0.95852765806718221</c:v>
                </c:pt>
                <c:pt idx="195">
                  <c:v>0.95811441053190871</c:v>
                </c:pt>
                <c:pt idx="196">
                  <c:v>0.95787826908318086</c:v>
                </c:pt>
                <c:pt idx="197">
                  <c:v>0.95805537516972672</c:v>
                </c:pt>
                <c:pt idx="198">
                  <c:v>0.95808489285081755</c:v>
                </c:pt>
                <c:pt idx="199">
                  <c:v>0.9579077867642718</c:v>
                </c:pt>
                <c:pt idx="200">
                  <c:v>0.9574355038668162</c:v>
                </c:pt>
                <c:pt idx="201">
                  <c:v>0.95714032705590657</c:v>
                </c:pt>
                <c:pt idx="202">
                  <c:v>0.95755357459118007</c:v>
                </c:pt>
                <c:pt idx="203">
                  <c:v>0.95787826908318086</c:v>
                </c:pt>
                <c:pt idx="204">
                  <c:v>0.95796682212645379</c:v>
                </c:pt>
                <c:pt idx="205">
                  <c:v>0.95767164531554405</c:v>
                </c:pt>
                <c:pt idx="206">
                  <c:v>0.95740598618572537</c:v>
                </c:pt>
                <c:pt idx="207">
                  <c:v>0.95714032705590657</c:v>
                </c:pt>
                <c:pt idx="208">
                  <c:v>0.95693370328826954</c:v>
                </c:pt>
                <c:pt idx="209">
                  <c:v>0.95672707952063285</c:v>
                </c:pt>
                <c:pt idx="210">
                  <c:v>0.95622527894208642</c:v>
                </c:pt>
                <c:pt idx="211">
                  <c:v>0.95575299604463071</c:v>
                </c:pt>
                <c:pt idx="212">
                  <c:v>0.95554637227699391</c:v>
                </c:pt>
                <c:pt idx="213">
                  <c:v>0.95684515024499661</c:v>
                </c:pt>
                <c:pt idx="214">
                  <c:v>0.95539878387153898</c:v>
                </c:pt>
                <c:pt idx="215">
                  <c:v>0.95430662967117297</c:v>
                </c:pt>
                <c:pt idx="216">
                  <c:v>0.95457228880099176</c:v>
                </c:pt>
                <c:pt idx="217">
                  <c:v>0.95657949111517793</c:v>
                </c:pt>
                <c:pt idx="218">
                  <c:v>0.95646142039081405</c:v>
                </c:pt>
                <c:pt idx="219">
                  <c:v>0.95563492532026684</c:v>
                </c:pt>
                <c:pt idx="220">
                  <c:v>0.95519216010390218</c:v>
                </c:pt>
                <c:pt idx="221">
                  <c:v>0.95480843024971962</c:v>
                </c:pt>
                <c:pt idx="222">
                  <c:v>0.95454277111990082</c:v>
                </c:pt>
                <c:pt idx="223">
                  <c:v>0.9543951827144459</c:v>
                </c:pt>
                <c:pt idx="224">
                  <c:v>0.95410000590353627</c:v>
                </c:pt>
                <c:pt idx="225">
                  <c:v>0.95288978097880617</c:v>
                </c:pt>
                <c:pt idx="226">
                  <c:v>0.95280122793553346</c:v>
                </c:pt>
                <c:pt idx="227">
                  <c:v>0.95268315721116947</c:v>
                </c:pt>
                <c:pt idx="228">
                  <c:v>0.95232894503807775</c:v>
                </c:pt>
                <c:pt idx="229">
                  <c:v>0.95200425054607718</c:v>
                </c:pt>
                <c:pt idx="230">
                  <c:v>0.95170907373516733</c:v>
                </c:pt>
                <c:pt idx="231">
                  <c:v>0.9516205206918944</c:v>
                </c:pt>
                <c:pt idx="232">
                  <c:v>0.95144341460534854</c:v>
                </c:pt>
                <c:pt idx="233">
                  <c:v>0.95111872011334797</c:v>
                </c:pt>
                <c:pt idx="234">
                  <c:v>0.95082354330243823</c:v>
                </c:pt>
                <c:pt idx="235">
                  <c:v>0.95058740185371038</c:v>
                </c:pt>
                <c:pt idx="236">
                  <c:v>0.95052836649152839</c:v>
                </c:pt>
                <c:pt idx="237">
                  <c:v>0.95043981344825545</c:v>
                </c:pt>
                <c:pt idx="238">
                  <c:v>0.95008560127516373</c:v>
                </c:pt>
                <c:pt idx="239">
                  <c:v>0.9497904244642541</c:v>
                </c:pt>
                <c:pt idx="240">
                  <c:v>0.94955428301552625</c:v>
                </c:pt>
                <c:pt idx="241">
                  <c:v>0.94937717692898038</c:v>
                </c:pt>
                <c:pt idx="242">
                  <c:v>0.94922958852352568</c:v>
                </c:pt>
                <c:pt idx="243">
                  <c:v>0.94896392939370688</c:v>
                </c:pt>
                <c:pt idx="244">
                  <c:v>0.94866875258279715</c:v>
                </c:pt>
                <c:pt idx="245">
                  <c:v>0.94840309345297835</c:v>
                </c:pt>
                <c:pt idx="246">
                  <c:v>0.94825550504752343</c:v>
                </c:pt>
                <c:pt idx="247">
                  <c:v>0.94790129287443181</c:v>
                </c:pt>
                <c:pt idx="248">
                  <c:v>0.94754708070134008</c:v>
                </c:pt>
                <c:pt idx="249">
                  <c:v>0.94710431548497542</c:v>
                </c:pt>
                <c:pt idx="250">
                  <c:v>0.94675010331188381</c:v>
                </c:pt>
                <c:pt idx="251">
                  <c:v>0.94666155026861087</c:v>
                </c:pt>
                <c:pt idx="252">
                  <c:v>0.94663203258751993</c:v>
                </c:pt>
                <c:pt idx="253">
                  <c:v>0.94645492650097407</c:v>
                </c:pt>
                <c:pt idx="254">
                  <c:v>0.94618926737115527</c:v>
                </c:pt>
                <c:pt idx="255">
                  <c:v>0.94604167896570035</c:v>
                </c:pt>
                <c:pt idx="256">
                  <c:v>0.94583505519806366</c:v>
                </c:pt>
                <c:pt idx="257">
                  <c:v>0.94571698447369978</c:v>
                </c:pt>
                <c:pt idx="258">
                  <c:v>0.94556939606824486</c:v>
                </c:pt>
                <c:pt idx="259">
                  <c:v>0.94521518389515313</c:v>
                </c:pt>
                <c:pt idx="260">
                  <c:v>0.94483145404097058</c:v>
                </c:pt>
                <c:pt idx="261">
                  <c:v>0.94480193635987963</c:v>
                </c:pt>
                <c:pt idx="262">
                  <c:v>0.94480193635987963</c:v>
                </c:pt>
                <c:pt idx="263">
                  <c:v>0.9447133833166067</c:v>
                </c:pt>
                <c:pt idx="264">
                  <c:v>0.9444477241867878</c:v>
                </c:pt>
                <c:pt idx="265">
                  <c:v>0.94418206505696911</c:v>
                </c:pt>
                <c:pt idx="266">
                  <c:v>0.94353267607296765</c:v>
                </c:pt>
                <c:pt idx="267">
                  <c:v>0.94326701694314896</c:v>
                </c:pt>
                <c:pt idx="268">
                  <c:v>0.9430899108566031</c:v>
                </c:pt>
                <c:pt idx="269">
                  <c:v>0.94267666332132949</c:v>
                </c:pt>
                <c:pt idx="270">
                  <c:v>0.94226341578605588</c:v>
                </c:pt>
                <c:pt idx="271">
                  <c:v>0.94205679201841896</c:v>
                </c:pt>
                <c:pt idx="272">
                  <c:v>0.94196823897514603</c:v>
                </c:pt>
                <c:pt idx="273">
                  <c:v>0.94182065056969122</c:v>
                </c:pt>
                <c:pt idx="274">
                  <c:v>0.94146643839659949</c:v>
                </c:pt>
                <c:pt idx="275">
                  <c:v>0.94120077926678081</c:v>
                </c:pt>
                <c:pt idx="276">
                  <c:v>0.94096463781805306</c:v>
                </c:pt>
                <c:pt idx="277">
                  <c:v>0.94081704941259814</c:v>
                </c:pt>
                <c:pt idx="278">
                  <c:v>0.94072849636932521</c:v>
                </c:pt>
                <c:pt idx="279">
                  <c:v>0.94049235492059735</c:v>
                </c:pt>
                <c:pt idx="280">
                  <c:v>0.94013814274750584</c:v>
                </c:pt>
                <c:pt idx="281">
                  <c:v>0.93990200129877788</c:v>
                </c:pt>
                <c:pt idx="282">
                  <c:v>0.93981344825550506</c:v>
                </c:pt>
                <c:pt idx="283">
                  <c:v>0.93954778912568626</c:v>
                </c:pt>
                <c:pt idx="284">
                  <c:v>0.93931164767695852</c:v>
                </c:pt>
                <c:pt idx="285">
                  <c:v>0.93898695318495784</c:v>
                </c:pt>
                <c:pt idx="286">
                  <c:v>0.93875081173622998</c:v>
                </c:pt>
                <c:pt idx="287">
                  <c:v>0.93869177637404799</c:v>
                </c:pt>
                <c:pt idx="288">
                  <c:v>0.93875081173622998</c:v>
                </c:pt>
                <c:pt idx="289">
                  <c:v>0.93845563492532025</c:v>
                </c:pt>
                <c:pt idx="290">
                  <c:v>0.93836708188204732</c:v>
                </c:pt>
                <c:pt idx="291">
                  <c:v>0.93818997579550145</c:v>
                </c:pt>
                <c:pt idx="292">
                  <c:v>0.93798335202786476</c:v>
                </c:pt>
                <c:pt idx="293">
                  <c:v>0.93783576362240972</c:v>
                </c:pt>
                <c:pt idx="294">
                  <c:v>0.9375405868115001</c:v>
                </c:pt>
                <c:pt idx="295">
                  <c:v>0.93733396304386329</c:v>
                </c:pt>
                <c:pt idx="296">
                  <c:v>0.93695023318968063</c:v>
                </c:pt>
                <c:pt idx="297">
                  <c:v>0.93934116535804946</c:v>
                </c:pt>
                <c:pt idx="298">
                  <c:v>0.93922309463368558</c:v>
                </c:pt>
                <c:pt idx="299">
                  <c:v>0.93872129405513904</c:v>
                </c:pt>
                <c:pt idx="300">
                  <c:v>0.93700926855186251</c:v>
                </c:pt>
                <c:pt idx="301">
                  <c:v>0.93700926855186251</c:v>
                </c:pt>
                <c:pt idx="302">
                  <c:v>0.93671409174095288</c:v>
                </c:pt>
                <c:pt idx="303">
                  <c:v>0.93633036188677021</c:v>
                </c:pt>
                <c:pt idx="304">
                  <c:v>0.9358580789893145</c:v>
                </c:pt>
                <c:pt idx="305">
                  <c:v>0.93547434913513194</c:v>
                </c:pt>
                <c:pt idx="306">
                  <c:v>0.93526772536749514</c:v>
                </c:pt>
                <c:pt idx="307">
                  <c:v>0.93517917232422221</c:v>
                </c:pt>
                <c:pt idx="308">
                  <c:v>0.9347659247889486</c:v>
                </c:pt>
                <c:pt idx="309">
                  <c:v>0.93426412421040206</c:v>
                </c:pt>
                <c:pt idx="310">
                  <c:v>0.93399846508058326</c:v>
                </c:pt>
                <c:pt idx="311">
                  <c:v>0.93402798276167431</c:v>
                </c:pt>
                <c:pt idx="312">
                  <c:v>0.93393942971840138</c:v>
                </c:pt>
                <c:pt idx="313">
                  <c:v>0.93364425290749153</c:v>
                </c:pt>
                <c:pt idx="314">
                  <c:v>0.93314245232894499</c:v>
                </c:pt>
                <c:pt idx="315">
                  <c:v>0.93284727551803537</c:v>
                </c:pt>
                <c:pt idx="316">
                  <c:v>0.93281775783694432</c:v>
                </c:pt>
                <c:pt idx="317">
                  <c:v>0.93281775783694432</c:v>
                </c:pt>
                <c:pt idx="318">
                  <c:v>0.93255209870712552</c:v>
                </c:pt>
                <c:pt idx="319">
                  <c:v>0.9321978865340339</c:v>
                </c:pt>
                <c:pt idx="320">
                  <c:v>0.93196174508530616</c:v>
                </c:pt>
                <c:pt idx="321">
                  <c:v>0.93181415667985124</c:v>
                </c:pt>
                <c:pt idx="322">
                  <c:v>0.9317256036365783</c:v>
                </c:pt>
                <c:pt idx="323">
                  <c:v>0.93137139146348669</c:v>
                </c:pt>
                <c:pt idx="324">
                  <c:v>0.93098766160930391</c:v>
                </c:pt>
                <c:pt idx="325">
                  <c:v>0.93063344943621229</c:v>
                </c:pt>
                <c:pt idx="326">
                  <c:v>0.9305744140740303</c:v>
                </c:pt>
                <c:pt idx="327">
                  <c:v>0.93048586103075737</c:v>
                </c:pt>
                <c:pt idx="328">
                  <c:v>0.93030875494421161</c:v>
                </c:pt>
                <c:pt idx="329">
                  <c:v>0.92992502509002894</c:v>
                </c:pt>
                <c:pt idx="330">
                  <c:v>0.92960033059802816</c:v>
                </c:pt>
                <c:pt idx="331">
                  <c:v>0.92960033059802816</c:v>
                </c:pt>
                <c:pt idx="332">
                  <c:v>0.92957081291693722</c:v>
                </c:pt>
                <c:pt idx="333">
                  <c:v>0.92945274219257334</c:v>
                </c:pt>
                <c:pt idx="334">
                  <c:v>0.92909853001948162</c:v>
                </c:pt>
                <c:pt idx="335">
                  <c:v>0.92883287088966282</c:v>
                </c:pt>
                <c:pt idx="336">
                  <c:v>0.92874431784639</c:v>
                </c:pt>
                <c:pt idx="337">
                  <c:v>0.92874431784639</c:v>
                </c:pt>
                <c:pt idx="338">
                  <c:v>0.9285376940787532</c:v>
                </c:pt>
                <c:pt idx="339">
                  <c:v>0.92815396422457053</c:v>
                </c:pt>
                <c:pt idx="340">
                  <c:v>0.92777023437038786</c:v>
                </c:pt>
                <c:pt idx="341">
                  <c:v>0.92777023437038786</c:v>
                </c:pt>
                <c:pt idx="342">
                  <c:v>0.9277997520514788</c:v>
                </c:pt>
                <c:pt idx="343">
                  <c:v>0.92771119900820587</c:v>
                </c:pt>
                <c:pt idx="344">
                  <c:v>0.92738650451620519</c:v>
                </c:pt>
                <c:pt idx="345">
                  <c:v>0.92703229234311346</c:v>
                </c:pt>
                <c:pt idx="346">
                  <c:v>0.92694373929984053</c:v>
                </c:pt>
                <c:pt idx="347">
                  <c:v>0.92697325698093158</c:v>
                </c:pt>
                <c:pt idx="348">
                  <c:v>0.9268551862565676</c:v>
                </c:pt>
                <c:pt idx="349">
                  <c:v>0.92641242104020316</c:v>
                </c:pt>
                <c:pt idx="350">
                  <c:v>0.92602869118602038</c:v>
                </c:pt>
                <c:pt idx="351">
                  <c:v>0.92567447901292876</c:v>
                </c:pt>
                <c:pt idx="352">
                  <c:v>0.92555640828856489</c:v>
                </c:pt>
                <c:pt idx="353">
                  <c:v>0.92540881988310997</c:v>
                </c:pt>
                <c:pt idx="354">
                  <c:v>0.92511364307220023</c:v>
                </c:pt>
                <c:pt idx="355">
                  <c:v>0.92472991321801756</c:v>
                </c:pt>
                <c:pt idx="356">
                  <c:v>0.92434618336383501</c:v>
                </c:pt>
                <c:pt idx="357">
                  <c:v>0.92425763032056207</c:v>
                </c:pt>
                <c:pt idx="358">
                  <c:v>0.92413955959619809</c:v>
                </c:pt>
                <c:pt idx="359">
                  <c:v>0.92405100655292516</c:v>
                </c:pt>
                <c:pt idx="360">
                  <c:v>0.92384438278528835</c:v>
                </c:pt>
                <c:pt idx="361">
                  <c:v>0.92360824133656061</c:v>
                </c:pt>
                <c:pt idx="362">
                  <c:v>0.92363775901765155</c:v>
                </c:pt>
                <c:pt idx="363">
                  <c:v>0.92357872365546967</c:v>
                </c:pt>
                <c:pt idx="364">
                  <c:v>0.92331306452565087</c:v>
                </c:pt>
                <c:pt idx="365">
                  <c:v>0.92304740539583208</c:v>
                </c:pt>
                <c:pt idx="366">
                  <c:v>0.92260464017946753</c:v>
                </c:pt>
                <c:pt idx="367">
                  <c:v>0.92248656945510354</c:v>
                </c:pt>
                <c:pt idx="368">
                  <c:v>0.92245705177401272</c:v>
                </c:pt>
                <c:pt idx="369">
                  <c:v>0.92213235728201193</c:v>
                </c:pt>
                <c:pt idx="370">
                  <c:v>0.92174862742782926</c:v>
                </c:pt>
                <c:pt idx="371">
                  <c:v>0.92142393293582858</c:v>
                </c:pt>
                <c:pt idx="372">
                  <c:v>0.92127634453037366</c:v>
                </c:pt>
                <c:pt idx="373">
                  <c:v>0.92115827380600979</c:v>
                </c:pt>
                <c:pt idx="374">
                  <c:v>0.92074502627073618</c:v>
                </c:pt>
                <c:pt idx="375">
                  <c:v>0.91965287207037016</c:v>
                </c:pt>
                <c:pt idx="376">
                  <c:v>0.91956431902709723</c:v>
                </c:pt>
                <c:pt idx="377">
                  <c:v>0.91944624830273336</c:v>
                </c:pt>
                <c:pt idx="378">
                  <c:v>0.91929865989727844</c:v>
                </c:pt>
                <c:pt idx="379">
                  <c:v>0.91903300076745975</c:v>
                </c:pt>
                <c:pt idx="380">
                  <c:v>0.91873782395655001</c:v>
                </c:pt>
                <c:pt idx="381">
                  <c:v>0.91864927091327708</c:v>
                </c:pt>
                <c:pt idx="382">
                  <c:v>0.91870830627545896</c:v>
                </c:pt>
                <c:pt idx="383">
                  <c:v>0.91829505874018535</c:v>
                </c:pt>
                <c:pt idx="384">
                  <c:v>0.91794084656709363</c:v>
                </c:pt>
                <c:pt idx="385">
                  <c:v>0.91761615207509295</c:v>
                </c:pt>
                <c:pt idx="386">
                  <c:v>0.91729145758309227</c:v>
                </c:pt>
                <c:pt idx="387">
                  <c:v>0.91708483381545547</c:v>
                </c:pt>
                <c:pt idx="388">
                  <c:v>0.91681917468563667</c:v>
                </c:pt>
                <c:pt idx="389">
                  <c:v>0.91658303323690893</c:v>
                </c:pt>
                <c:pt idx="390">
                  <c:v>0.91640592715036306</c:v>
                </c:pt>
                <c:pt idx="391">
                  <c:v>0.9160221972961804</c:v>
                </c:pt>
                <c:pt idx="392">
                  <c:v>0.91575653816636171</c:v>
                </c:pt>
                <c:pt idx="393">
                  <c:v>0.91540232599326998</c:v>
                </c:pt>
                <c:pt idx="394">
                  <c:v>0.91510714918236025</c:v>
                </c:pt>
                <c:pt idx="395">
                  <c:v>0.91495956077690532</c:v>
                </c:pt>
                <c:pt idx="396">
                  <c:v>0.91469390164708664</c:v>
                </c:pt>
                <c:pt idx="397">
                  <c:v>0.91469390164708664</c:v>
                </c:pt>
                <c:pt idx="398">
                  <c:v>0.91457583092272277</c:v>
                </c:pt>
                <c:pt idx="399">
                  <c:v>0.91422161874963104</c:v>
                </c:pt>
                <c:pt idx="400">
                  <c:v>0.91374933585217544</c:v>
                </c:pt>
                <c:pt idx="401">
                  <c:v>0.91366078280890251</c:v>
                </c:pt>
                <c:pt idx="402">
                  <c:v>0.91369030048999356</c:v>
                </c:pt>
                <c:pt idx="403">
                  <c:v>0.91369030048999356</c:v>
                </c:pt>
                <c:pt idx="404">
                  <c:v>0.91345415904126581</c:v>
                </c:pt>
                <c:pt idx="405">
                  <c:v>0.91289332310053717</c:v>
                </c:pt>
                <c:pt idx="406">
                  <c:v>0.91268669933290048</c:v>
                </c:pt>
                <c:pt idx="407">
                  <c:v>0.91265718165180942</c:v>
                </c:pt>
                <c:pt idx="408">
                  <c:v>0.91262766397071848</c:v>
                </c:pt>
                <c:pt idx="409">
                  <c:v>0.9123029694787177</c:v>
                </c:pt>
                <c:pt idx="410">
                  <c:v>0.91156502745144341</c:v>
                </c:pt>
                <c:pt idx="411">
                  <c:v>0.91121081527835179</c:v>
                </c:pt>
                <c:pt idx="412">
                  <c:v>0.91150599208926142</c:v>
                </c:pt>
                <c:pt idx="413">
                  <c:v>0.91153550977035247</c:v>
                </c:pt>
                <c:pt idx="414">
                  <c:v>0.91144695672707954</c:v>
                </c:pt>
                <c:pt idx="415">
                  <c:v>0.91138792136489766</c:v>
                </c:pt>
                <c:pt idx="416">
                  <c:v>0.91100419151071488</c:v>
                </c:pt>
                <c:pt idx="417">
                  <c:v>0.910945156148533</c:v>
                </c:pt>
                <c:pt idx="418">
                  <c:v>0.9141921010685401</c:v>
                </c:pt>
                <c:pt idx="419">
                  <c:v>0.9132475352736289</c:v>
                </c:pt>
                <c:pt idx="420">
                  <c:v>0.9127162170139913</c:v>
                </c:pt>
                <c:pt idx="421">
                  <c:v>0.91209634571108089</c:v>
                </c:pt>
                <c:pt idx="422">
                  <c:v>0.91156502745144341</c:v>
                </c:pt>
                <c:pt idx="423">
                  <c:v>0.91132888600271555</c:v>
                </c:pt>
                <c:pt idx="424">
                  <c:v>0.91129936832162473</c:v>
                </c:pt>
                <c:pt idx="425">
                  <c:v>0.910945156148533</c:v>
                </c:pt>
                <c:pt idx="426">
                  <c:v>0.9104728732510774</c:v>
                </c:pt>
                <c:pt idx="427">
                  <c:v>0.91005962571580379</c:v>
                </c:pt>
                <c:pt idx="428">
                  <c:v>0.90982348426707593</c:v>
                </c:pt>
                <c:pt idx="429">
                  <c:v>0.90976444890489405</c:v>
                </c:pt>
                <c:pt idx="430">
                  <c:v>0.9095283074561662</c:v>
                </c:pt>
                <c:pt idx="431">
                  <c:v>0.90911505992089259</c:v>
                </c:pt>
                <c:pt idx="432">
                  <c:v>0.90867229470452793</c:v>
                </c:pt>
                <c:pt idx="433">
                  <c:v>0.90840663557470924</c:v>
                </c:pt>
                <c:pt idx="434">
                  <c:v>0.90840663557470924</c:v>
                </c:pt>
                <c:pt idx="435">
                  <c:v>0.90820001180707244</c:v>
                </c:pt>
                <c:pt idx="436">
                  <c:v>0.90778676427179883</c:v>
                </c:pt>
                <c:pt idx="437">
                  <c:v>0.90740303441761616</c:v>
                </c:pt>
                <c:pt idx="438">
                  <c:v>0.90716689296888842</c:v>
                </c:pt>
                <c:pt idx="439">
                  <c:v>0.90710785760670642</c:v>
                </c:pt>
                <c:pt idx="440">
                  <c:v>0.90690123383906962</c:v>
                </c:pt>
                <c:pt idx="441">
                  <c:v>0.90651750398488695</c:v>
                </c:pt>
                <c:pt idx="442">
                  <c:v>0.90610425644961334</c:v>
                </c:pt>
                <c:pt idx="443">
                  <c:v>0.90589763268197654</c:v>
                </c:pt>
                <c:pt idx="444">
                  <c:v>0.90595666804415842</c:v>
                </c:pt>
                <c:pt idx="445">
                  <c:v>0.90583859731979455</c:v>
                </c:pt>
                <c:pt idx="446">
                  <c:v>0.90548438514670282</c:v>
                </c:pt>
                <c:pt idx="447">
                  <c:v>0.90521872601688413</c:v>
                </c:pt>
                <c:pt idx="448">
                  <c:v>0.90459885471397372</c:v>
                </c:pt>
                <c:pt idx="449">
                  <c:v>0.90306393529724305</c:v>
                </c:pt>
                <c:pt idx="450">
                  <c:v>0.90037782631796448</c:v>
                </c:pt>
                <c:pt idx="451">
                  <c:v>0.90105673298305689</c:v>
                </c:pt>
                <c:pt idx="452">
                  <c:v>0.90102721530196583</c:v>
                </c:pt>
                <c:pt idx="453">
                  <c:v>0.9012043213885117</c:v>
                </c:pt>
                <c:pt idx="454">
                  <c:v>0.90197178109687703</c:v>
                </c:pt>
                <c:pt idx="455">
                  <c:v>0.90206033414014986</c:v>
                </c:pt>
                <c:pt idx="456">
                  <c:v>0.90182419269142211</c:v>
                </c:pt>
                <c:pt idx="457">
                  <c:v>0.90173563964814918</c:v>
                </c:pt>
                <c:pt idx="458">
                  <c:v>0.90173563964814918</c:v>
                </c:pt>
                <c:pt idx="459">
                  <c:v>0.9016766042859673</c:v>
                </c:pt>
                <c:pt idx="460">
                  <c:v>0.90149949819942143</c:v>
                </c:pt>
                <c:pt idx="461">
                  <c:v>0.90114528602632982</c:v>
                </c:pt>
                <c:pt idx="462">
                  <c:v>0.90096817993978395</c:v>
                </c:pt>
                <c:pt idx="463">
                  <c:v>0.90102721530196583</c:v>
                </c:pt>
                <c:pt idx="464">
                  <c:v>0.90102721530196583</c:v>
                </c:pt>
                <c:pt idx="465">
                  <c:v>0.90076155617214704</c:v>
                </c:pt>
                <c:pt idx="466">
                  <c:v>0.90040734399905542</c:v>
                </c:pt>
                <c:pt idx="467">
                  <c:v>0.90023023791250967</c:v>
                </c:pt>
                <c:pt idx="468">
                  <c:v>0.9003187909557826</c:v>
                </c:pt>
                <c:pt idx="469">
                  <c:v>0.90034830863687343</c:v>
                </c:pt>
                <c:pt idx="470">
                  <c:v>0.8999940964637817</c:v>
                </c:pt>
                <c:pt idx="471">
                  <c:v>0.89961036660959914</c:v>
                </c:pt>
                <c:pt idx="472">
                  <c:v>0.89931518979868941</c:v>
                </c:pt>
                <c:pt idx="473">
                  <c:v>0.89931518979868941</c:v>
                </c:pt>
                <c:pt idx="474">
                  <c:v>0.89837062400377821</c:v>
                </c:pt>
                <c:pt idx="475">
                  <c:v>0.89642245705177404</c:v>
                </c:pt>
                <c:pt idx="476">
                  <c:v>0.89574355038668163</c:v>
                </c:pt>
                <c:pt idx="477">
                  <c:v>0.8956549973434087</c:v>
                </c:pt>
                <c:pt idx="478">
                  <c:v>0.8965995631383199</c:v>
                </c:pt>
                <c:pt idx="479">
                  <c:v>0.89671763386268377</c:v>
                </c:pt>
                <c:pt idx="480">
                  <c:v>0.89662908081941084</c:v>
                </c:pt>
                <c:pt idx="481">
                  <c:v>0.89654052777613791</c:v>
                </c:pt>
                <c:pt idx="482">
                  <c:v>0.89636342168959204</c:v>
                </c:pt>
                <c:pt idx="483">
                  <c:v>0.89606824487868231</c:v>
                </c:pt>
                <c:pt idx="484">
                  <c:v>0.89580258574886351</c:v>
                </c:pt>
                <c:pt idx="485">
                  <c:v>0.89580258574886351</c:v>
                </c:pt>
                <c:pt idx="486">
                  <c:v>0.89577306806777268</c:v>
                </c:pt>
                <c:pt idx="487">
                  <c:v>0.89556644430013577</c:v>
                </c:pt>
                <c:pt idx="488">
                  <c:v>0.89521223212704404</c:v>
                </c:pt>
                <c:pt idx="489">
                  <c:v>0.89500560835940735</c:v>
                </c:pt>
                <c:pt idx="490">
                  <c:v>0.89497609067831629</c:v>
                </c:pt>
                <c:pt idx="491">
                  <c:v>0.89491705531613441</c:v>
                </c:pt>
                <c:pt idx="492">
                  <c:v>0.89423814865104201</c:v>
                </c:pt>
                <c:pt idx="493">
                  <c:v>0.89465139618631562</c:v>
                </c:pt>
                <c:pt idx="494">
                  <c:v>0.89485801995395242</c:v>
                </c:pt>
                <c:pt idx="495">
                  <c:v>0.89450380778086069</c:v>
                </c:pt>
                <c:pt idx="496">
                  <c:v>0.89429718401322389</c:v>
                </c:pt>
                <c:pt idx="497">
                  <c:v>0.89400200720231415</c:v>
                </c:pt>
                <c:pt idx="498">
                  <c:v>0.89414959560776908</c:v>
                </c:pt>
                <c:pt idx="499">
                  <c:v>0.89412007792667814</c:v>
                </c:pt>
                <c:pt idx="500">
                  <c:v>0.89397248952122321</c:v>
                </c:pt>
                <c:pt idx="501">
                  <c:v>0.89376586575358641</c:v>
                </c:pt>
                <c:pt idx="502">
                  <c:v>0.89358875966704054</c:v>
                </c:pt>
                <c:pt idx="503">
                  <c:v>0.89341165358049468</c:v>
                </c:pt>
                <c:pt idx="504">
                  <c:v>0.89329358285613092</c:v>
                </c:pt>
                <c:pt idx="505">
                  <c:v>0.893086959088494</c:v>
                </c:pt>
                <c:pt idx="506">
                  <c:v>0.89285081763976626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D6-408B-A9A9-C795D6619221}"/>
            </c:ext>
          </c:extLst>
        </c:ser>
        <c:ser>
          <c:idx val="2"/>
          <c:order val="2"/>
          <c:tx>
            <c:v>435-3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'G11E-V1.2-PreA-0.5C_0.5C循环 25℃'!$AC$3:$AC$512</c:f>
              <c:numCache>
                <c:formatCode>General</c:formatCode>
                <c:ptCount val="5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</c:numCache>
            </c:numRef>
          </c:xVal>
          <c:yVal>
            <c:numRef>
              <c:f>'G11E-V1.2-PreA-0.5C_0.5C循环 25℃'!$AG$3:$AG$512</c:f>
              <c:numCache>
                <c:formatCode>0.00%</c:formatCode>
                <c:ptCount val="510"/>
                <c:pt idx="0">
                  <c:v>1</c:v>
                </c:pt>
                <c:pt idx="1">
                  <c:v>1.0005060578096625</c:v>
                </c:pt>
                <c:pt idx="2">
                  <c:v>1.0002381448516058</c:v>
                </c:pt>
                <c:pt idx="3">
                  <c:v>1.0002976810645074</c:v>
                </c:pt>
                <c:pt idx="4">
                  <c:v>1.0002083767451553</c:v>
                </c:pt>
                <c:pt idx="5">
                  <c:v>1.0004167534903103</c:v>
                </c:pt>
                <c:pt idx="6">
                  <c:v>1.0001786086387043</c:v>
                </c:pt>
                <c:pt idx="7">
                  <c:v>0.99970231893549233</c:v>
                </c:pt>
                <c:pt idx="8">
                  <c:v>0.9994344059774356</c:v>
                </c:pt>
                <c:pt idx="9">
                  <c:v>0.99913672491292815</c:v>
                </c:pt>
                <c:pt idx="10">
                  <c:v>0.99928556544518199</c:v>
                </c:pt>
                <c:pt idx="11">
                  <c:v>0.99892834816777298</c:v>
                </c:pt>
                <c:pt idx="12">
                  <c:v>0.99869020331616698</c:v>
                </c:pt>
                <c:pt idx="13">
                  <c:v>0.9986008989968147</c:v>
                </c:pt>
                <c:pt idx="14">
                  <c:v>0.99836275414520859</c:v>
                </c:pt>
                <c:pt idx="15">
                  <c:v>0.99848182657101181</c:v>
                </c:pt>
                <c:pt idx="16">
                  <c:v>0.99830321793230725</c:v>
                </c:pt>
                <c:pt idx="17">
                  <c:v>0.99836275414520859</c:v>
                </c:pt>
                <c:pt idx="18">
                  <c:v>0.99851159467746242</c:v>
                </c:pt>
                <c:pt idx="19">
                  <c:v>0.99815437740005342</c:v>
                </c:pt>
                <c:pt idx="20">
                  <c:v>0.99732087041943251</c:v>
                </c:pt>
                <c:pt idx="21">
                  <c:v>0.99657666775816389</c:v>
                </c:pt>
                <c:pt idx="22">
                  <c:v>0.9962492185872055</c:v>
                </c:pt>
                <c:pt idx="23">
                  <c:v>0.9962492185872055</c:v>
                </c:pt>
                <c:pt idx="24">
                  <c:v>0.99615991426785333</c:v>
                </c:pt>
                <c:pt idx="25">
                  <c:v>0.99580269699044432</c:v>
                </c:pt>
                <c:pt idx="26">
                  <c:v>0.99550501592593688</c:v>
                </c:pt>
                <c:pt idx="27">
                  <c:v>0.99562408835173977</c:v>
                </c:pt>
                <c:pt idx="28">
                  <c:v>0.99547524781948615</c:v>
                </c:pt>
                <c:pt idx="29">
                  <c:v>0.99559432024528915</c:v>
                </c:pt>
                <c:pt idx="30">
                  <c:v>0.99514779864852787</c:v>
                </c:pt>
                <c:pt idx="31">
                  <c:v>0.99473104515821731</c:v>
                </c:pt>
                <c:pt idx="32">
                  <c:v>0.99479058137111886</c:v>
                </c:pt>
                <c:pt idx="33">
                  <c:v>0.99490965379692176</c:v>
                </c:pt>
                <c:pt idx="34">
                  <c:v>0.99476081326466814</c:v>
                </c:pt>
                <c:pt idx="35">
                  <c:v>0.99422498734855469</c:v>
                </c:pt>
                <c:pt idx="36">
                  <c:v>0.99368916143244124</c:v>
                </c:pt>
                <c:pt idx="37">
                  <c:v>0.99351055279373668</c:v>
                </c:pt>
                <c:pt idx="38">
                  <c:v>0.9934212484743844</c:v>
                </c:pt>
                <c:pt idx="39">
                  <c:v>0.99324263983567995</c:v>
                </c:pt>
                <c:pt idx="40">
                  <c:v>0.99252820528086194</c:v>
                </c:pt>
                <c:pt idx="41">
                  <c:v>0.99196261125829777</c:v>
                </c:pt>
                <c:pt idx="42">
                  <c:v>0.99187330693894549</c:v>
                </c:pt>
                <c:pt idx="43">
                  <c:v>0.99202214747119932</c:v>
                </c:pt>
                <c:pt idx="44">
                  <c:v>0.99208168368410066</c:v>
                </c:pt>
                <c:pt idx="45">
                  <c:v>0.99163516208733948</c:v>
                </c:pt>
                <c:pt idx="46">
                  <c:v>0.99124817670347976</c:v>
                </c:pt>
                <c:pt idx="47">
                  <c:v>0.99130771291638131</c:v>
                </c:pt>
                <c:pt idx="48">
                  <c:v>0.99005745244544985</c:v>
                </c:pt>
                <c:pt idx="49">
                  <c:v>0.98877742386806766</c:v>
                </c:pt>
                <c:pt idx="50">
                  <c:v>0.98770577203584065</c:v>
                </c:pt>
                <c:pt idx="51">
                  <c:v>0.98696156937457202</c:v>
                </c:pt>
                <c:pt idx="52">
                  <c:v>0.98725925043907947</c:v>
                </c:pt>
                <c:pt idx="53">
                  <c:v>0.98874765576161705</c:v>
                </c:pt>
                <c:pt idx="54">
                  <c:v>0.99017652487125274</c:v>
                </c:pt>
                <c:pt idx="55">
                  <c:v>0.98970023516804084</c:v>
                </c:pt>
                <c:pt idx="56">
                  <c:v>0.98913464114547667</c:v>
                </c:pt>
                <c:pt idx="57">
                  <c:v>0.98949185842288567</c:v>
                </c:pt>
                <c:pt idx="58">
                  <c:v>0.98946209031643484</c:v>
                </c:pt>
                <c:pt idx="59">
                  <c:v>0.989194177358378</c:v>
                </c:pt>
                <c:pt idx="60">
                  <c:v>0.98847974280356021</c:v>
                </c:pt>
                <c:pt idx="61">
                  <c:v>0.9878843806745452</c:v>
                </c:pt>
                <c:pt idx="62">
                  <c:v>0.9878843806745452</c:v>
                </c:pt>
                <c:pt idx="63">
                  <c:v>0.98776530824874231</c:v>
                </c:pt>
                <c:pt idx="64">
                  <c:v>0.98755693150358692</c:v>
                </c:pt>
                <c:pt idx="65">
                  <c:v>0.98699133748102275</c:v>
                </c:pt>
                <c:pt idx="66">
                  <c:v>0.9866936564165153</c:v>
                </c:pt>
                <c:pt idx="67">
                  <c:v>0.98675319262941685</c:v>
                </c:pt>
                <c:pt idx="68">
                  <c:v>0.98678296073586746</c:v>
                </c:pt>
                <c:pt idx="69">
                  <c:v>0.98711040990682564</c:v>
                </c:pt>
                <c:pt idx="70">
                  <c:v>0.98630667103265557</c:v>
                </c:pt>
                <c:pt idx="71">
                  <c:v>0.98556246837138672</c:v>
                </c:pt>
                <c:pt idx="72">
                  <c:v>0.98550293215848539</c:v>
                </c:pt>
                <c:pt idx="73">
                  <c:v>0.98526478730687927</c:v>
                </c:pt>
                <c:pt idx="74">
                  <c:v>0.98532432351978083</c:v>
                </c:pt>
                <c:pt idx="75">
                  <c:v>0.98434197600690609</c:v>
                </c:pt>
                <c:pt idx="76">
                  <c:v>0.98431220790045537</c:v>
                </c:pt>
                <c:pt idx="77">
                  <c:v>0.98407406304884937</c:v>
                </c:pt>
                <c:pt idx="78">
                  <c:v>0.98383591819724325</c:v>
                </c:pt>
                <c:pt idx="79">
                  <c:v>0.98291310689727007</c:v>
                </c:pt>
                <c:pt idx="80">
                  <c:v>0.98210936802309989</c:v>
                </c:pt>
                <c:pt idx="81">
                  <c:v>0.98344893281338364</c:v>
                </c:pt>
                <c:pt idx="82">
                  <c:v>0.98312148364242546</c:v>
                </c:pt>
                <c:pt idx="83">
                  <c:v>0.98261542583276273</c:v>
                </c:pt>
                <c:pt idx="84">
                  <c:v>0.981871223171494</c:v>
                </c:pt>
                <c:pt idx="85">
                  <c:v>0.98118655672312671</c:v>
                </c:pt>
                <c:pt idx="86">
                  <c:v>0.98335962849403136</c:v>
                </c:pt>
                <c:pt idx="87">
                  <c:v>0.98258565772631201</c:v>
                </c:pt>
                <c:pt idx="88">
                  <c:v>0.98216890423600145</c:v>
                </c:pt>
                <c:pt idx="89">
                  <c:v>0.98184145506504317</c:v>
                </c:pt>
                <c:pt idx="90">
                  <c:v>0.981514005894085</c:v>
                </c:pt>
                <c:pt idx="91">
                  <c:v>0.98157354210698633</c:v>
                </c:pt>
                <c:pt idx="92">
                  <c:v>0.98160331021343727</c:v>
                </c:pt>
                <c:pt idx="93">
                  <c:v>0.98154377400053572</c:v>
                </c:pt>
                <c:pt idx="94">
                  <c:v>0.98112702051022538</c:v>
                </c:pt>
                <c:pt idx="95">
                  <c:v>0.98074003512636543</c:v>
                </c:pt>
                <c:pt idx="96">
                  <c:v>0.98079957133926698</c:v>
                </c:pt>
                <c:pt idx="97">
                  <c:v>0.98074003512636543</c:v>
                </c:pt>
                <c:pt idx="98">
                  <c:v>0.98074003512636543</c:v>
                </c:pt>
                <c:pt idx="99">
                  <c:v>0.98035304974250581</c:v>
                </c:pt>
                <c:pt idx="100">
                  <c:v>0.97993629625219525</c:v>
                </c:pt>
                <c:pt idx="101">
                  <c:v>0.9798767600392938</c:v>
                </c:pt>
                <c:pt idx="102">
                  <c:v>0.97990652814574453</c:v>
                </c:pt>
                <c:pt idx="103">
                  <c:v>0.97981722382639225</c:v>
                </c:pt>
                <c:pt idx="104">
                  <c:v>0.97922186169737746</c:v>
                </c:pt>
                <c:pt idx="105">
                  <c:v>0.9786860357812639</c:v>
                </c:pt>
                <c:pt idx="106">
                  <c:v>0.9784776590361085</c:v>
                </c:pt>
                <c:pt idx="107">
                  <c:v>0.97835858661030561</c:v>
                </c:pt>
                <c:pt idx="108">
                  <c:v>0.97820974607805178</c:v>
                </c:pt>
                <c:pt idx="109">
                  <c:v>0.9776441520554876</c:v>
                </c:pt>
                <c:pt idx="110">
                  <c:v>0.97725716667162799</c:v>
                </c:pt>
                <c:pt idx="111">
                  <c:v>0.97710832613937415</c:v>
                </c:pt>
                <c:pt idx="112">
                  <c:v>0.97725716667162799</c:v>
                </c:pt>
                <c:pt idx="113">
                  <c:v>0.97761438394903688</c:v>
                </c:pt>
                <c:pt idx="114">
                  <c:v>0.97740600720388171</c:v>
                </c:pt>
                <c:pt idx="115">
                  <c:v>0.97695948560712054</c:v>
                </c:pt>
                <c:pt idx="116">
                  <c:v>0.9768106450748667</c:v>
                </c:pt>
                <c:pt idx="117">
                  <c:v>0.97695948560712054</c:v>
                </c:pt>
                <c:pt idx="118">
                  <c:v>0.97695948560712054</c:v>
                </c:pt>
                <c:pt idx="119">
                  <c:v>0.97663203643616214</c:v>
                </c:pt>
                <c:pt idx="120">
                  <c:v>0.97612597862649941</c:v>
                </c:pt>
                <c:pt idx="121">
                  <c:v>0.97588783377489352</c:v>
                </c:pt>
                <c:pt idx="122">
                  <c:v>0.97606644241359797</c:v>
                </c:pt>
                <c:pt idx="123">
                  <c:v>0.97606644241359797</c:v>
                </c:pt>
                <c:pt idx="124">
                  <c:v>0.97576876134909063</c:v>
                </c:pt>
                <c:pt idx="125">
                  <c:v>0.9752924716458784</c:v>
                </c:pt>
                <c:pt idx="126">
                  <c:v>0.9749352543684694</c:v>
                </c:pt>
                <c:pt idx="127">
                  <c:v>0.97505432679427262</c:v>
                </c:pt>
                <c:pt idx="128">
                  <c:v>0.97499479058137106</c:v>
                </c:pt>
                <c:pt idx="129">
                  <c:v>0.97478641383621589</c:v>
                </c:pt>
                <c:pt idx="130">
                  <c:v>0.97431012413300366</c:v>
                </c:pt>
                <c:pt idx="131">
                  <c:v>0.97404221117494694</c:v>
                </c:pt>
                <c:pt idx="132">
                  <c:v>0.97416128360075005</c:v>
                </c:pt>
                <c:pt idx="133">
                  <c:v>0.97425058792010233</c:v>
                </c:pt>
                <c:pt idx="134">
                  <c:v>0.97413151549429922</c:v>
                </c:pt>
                <c:pt idx="135">
                  <c:v>0.97371476200398888</c:v>
                </c:pt>
                <c:pt idx="136">
                  <c:v>0.97335754472657987</c:v>
                </c:pt>
                <c:pt idx="137">
                  <c:v>0.97329800851367831</c:v>
                </c:pt>
                <c:pt idx="138">
                  <c:v>0.97413151549429922</c:v>
                </c:pt>
                <c:pt idx="139">
                  <c:v>0.97487571815556806</c:v>
                </c:pt>
                <c:pt idx="140">
                  <c:v>0.97460780519751133</c:v>
                </c:pt>
                <c:pt idx="141">
                  <c:v>0.97431012413300366</c:v>
                </c:pt>
                <c:pt idx="142">
                  <c:v>0.97076771946536466</c:v>
                </c:pt>
                <c:pt idx="143">
                  <c:v>0.97300032744917087</c:v>
                </c:pt>
                <c:pt idx="144">
                  <c:v>0.97323847230077687</c:v>
                </c:pt>
                <c:pt idx="145">
                  <c:v>0.97311939987497376</c:v>
                </c:pt>
                <c:pt idx="146">
                  <c:v>0.97291102312981859</c:v>
                </c:pt>
                <c:pt idx="147">
                  <c:v>0.97058911082666011</c:v>
                </c:pt>
                <c:pt idx="148">
                  <c:v>0.96966629952668693</c:v>
                </c:pt>
                <c:pt idx="149">
                  <c:v>0.96936861846217948</c:v>
                </c:pt>
                <c:pt idx="150">
                  <c:v>0.96987467627184232</c:v>
                </c:pt>
                <c:pt idx="151">
                  <c:v>0.96984490816539148</c:v>
                </c:pt>
                <c:pt idx="152">
                  <c:v>0.97064864703956166</c:v>
                </c:pt>
                <c:pt idx="153">
                  <c:v>0.97067841514601239</c:v>
                </c:pt>
                <c:pt idx="154">
                  <c:v>0.97029142976215266</c:v>
                </c:pt>
                <c:pt idx="155">
                  <c:v>0.96990444437829304</c:v>
                </c:pt>
                <c:pt idx="156">
                  <c:v>0.96969606763313787</c:v>
                </c:pt>
                <c:pt idx="157">
                  <c:v>0.96919000982347503</c:v>
                </c:pt>
                <c:pt idx="158">
                  <c:v>0.96788021313964212</c:v>
                </c:pt>
                <c:pt idx="159">
                  <c:v>0.96713601047837328</c:v>
                </c:pt>
                <c:pt idx="160">
                  <c:v>0.96662995266871066</c:v>
                </c:pt>
                <c:pt idx="161">
                  <c:v>0.96683832941386583</c:v>
                </c:pt>
                <c:pt idx="162">
                  <c:v>0.96755276396868384</c:v>
                </c:pt>
                <c:pt idx="163">
                  <c:v>0.96743369154288095</c:v>
                </c:pt>
                <c:pt idx="164">
                  <c:v>0.96701693805257039</c:v>
                </c:pt>
                <c:pt idx="165">
                  <c:v>0.9665704164558091</c:v>
                </c:pt>
                <c:pt idx="166">
                  <c:v>0.96639180781710465</c:v>
                </c:pt>
                <c:pt idx="167">
                  <c:v>0.96648111213645682</c:v>
                </c:pt>
                <c:pt idx="168">
                  <c:v>0.96639180781710465</c:v>
                </c:pt>
                <c:pt idx="169">
                  <c:v>0.96600482243324493</c:v>
                </c:pt>
                <c:pt idx="170">
                  <c:v>0.96555830083648364</c:v>
                </c:pt>
                <c:pt idx="171">
                  <c:v>0.96543922841068075</c:v>
                </c:pt>
                <c:pt idx="172">
                  <c:v>0.96549876462358208</c:v>
                </c:pt>
                <c:pt idx="173">
                  <c:v>0.96552853273003303</c:v>
                </c:pt>
                <c:pt idx="174">
                  <c:v>0.96517131545262402</c:v>
                </c:pt>
                <c:pt idx="175">
                  <c:v>0.96466525764296118</c:v>
                </c:pt>
                <c:pt idx="176">
                  <c:v>0.96445688089780601</c:v>
                </c:pt>
                <c:pt idx="177">
                  <c:v>0.96439734468490446</c:v>
                </c:pt>
                <c:pt idx="178">
                  <c:v>0.96436757657845373</c:v>
                </c:pt>
                <c:pt idx="179">
                  <c:v>0.96401035930104473</c:v>
                </c:pt>
                <c:pt idx="180">
                  <c:v>0.96353406959783283</c:v>
                </c:pt>
                <c:pt idx="181">
                  <c:v>0.96317685232042383</c:v>
                </c:pt>
                <c:pt idx="182">
                  <c:v>0.96314708421397299</c:v>
                </c:pt>
                <c:pt idx="183">
                  <c:v>0.96305777989462071</c:v>
                </c:pt>
                <c:pt idx="184">
                  <c:v>0.96273033072366265</c:v>
                </c:pt>
                <c:pt idx="185">
                  <c:v>0.96219450480754909</c:v>
                </c:pt>
                <c:pt idx="186">
                  <c:v>0.96177775131723853</c:v>
                </c:pt>
                <c:pt idx="187">
                  <c:v>0.96183728753014008</c:v>
                </c:pt>
                <c:pt idx="188">
                  <c:v>0.96177775131723853</c:v>
                </c:pt>
                <c:pt idx="189">
                  <c:v>0.96159914267853408</c:v>
                </c:pt>
                <c:pt idx="190">
                  <c:v>0.96112285297532207</c:v>
                </c:pt>
                <c:pt idx="191">
                  <c:v>0.96073586759146246</c:v>
                </c:pt>
                <c:pt idx="192">
                  <c:v>0.9606763313785609</c:v>
                </c:pt>
                <c:pt idx="193">
                  <c:v>0.96061679516565945</c:v>
                </c:pt>
                <c:pt idx="194">
                  <c:v>0.96052749084630729</c:v>
                </c:pt>
                <c:pt idx="195">
                  <c:v>0.96022980978179961</c:v>
                </c:pt>
                <c:pt idx="196">
                  <c:v>0.95978328818503833</c:v>
                </c:pt>
                <c:pt idx="197">
                  <c:v>0.95999166493019372</c:v>
                </c:pt>
                <c:pt idx="198">
                  <c:v>0.96005120114309517</c:v>
                </c:pt>
                <c:pt idx="199">
                  <c:v>0.95999166493019372</c:v>
                </c:pt>
                <c:pt idx="200">
                  <c:v>0.95960467954633388</c:v>
                </c:pt>
                <c:pt idx="201">
                  <c:v>0.95918792605602354</c:v>
                </c:pt>
                <c:pt idx="202">
                  <c:v>0.95924746226892488</c:v>
                </c:pt>
                <c:pt idx="203">
                  <c:v>0.959723751972137</c:v>
                </c:pt>
                <c:pt idx="204">
                  <c:v>0.95990236061084155</c:v>
                </c:pt>
                <c:pt idx="205">
                  <c:v>0.959723751972137</c:v>
                </c:pt>
                <c:pt idx="206">
                  <c:v>0.95945583901408027</c:v>
                </c:pt>
                <c:pt idx="207">
                  <c:v>0.95924746226892488</c:v>
                </c:pt>
                <c:pt idx="208">
                  <c:v>0.95892001309796682</c:v>
                </c:pt>
                <c:pt idx="209">
                  <c:v>0.95871163635281154</c:v>
                </c:pt>
                <c:pt idx="210">
                  <c:v>0.95835441907540264</c:v>
                </c:pt>
                <c:pt idx="211">
                  <c:v>0.95778882505283824</c:v>
                </c:pt>
                <c:pt idx="212">
                  <c:v>0.95755068020123235</c:v>
                </c:pt>
                <c:pt idx="213">
                  <c:v>0.95886047688506515</c:v>
                </c:pt>
                <c:pt idx="214">
                  <c:v>0.95758044830768307</c:v>
                </c:pt>
                <c:pt idx="215">
                  <c:v>0.95647902836900534</c:v>
                </c:pt>
                <c:pt idx="216">
                  <c:v>0.95716369481737262</c:v>
                </c:pt>
                <c:pt idx="217">
                  <c:v>0.95936653469472799</c:v>
                </c:pt>
                <c:pt idx="218">
                  <c:v>0.95900931741731898</c:v>
                </c:pt>
                <c:pt idx="219">
                  <c:v>0.95811627422379653</c:v>
                </c:pt>
                <c:pt idx="220">
                  <c:v>0.95763998452058463</c:v>
                </c:pt>
                <c:pt idx="221">
                  <c:v>0.95731253534962624</c:v>
                </c:pt>
                <c:pt idx="222">
                  <c:v>0.95704462239156951</c:v>
                </c:pt>
                <c:pt idx="223">
                  <c:v>0.95680647753996362</c:v>
                </c:pt>
                <c:pt idx="224">
                  <c:v>0.95644926026255472</c:v>
                </c:pt>
                <c:pt idx="225">
                  <c:v>0.95522876789807387</c:v>
                </c:pt>
                <c:pt idx="226">
                  <c:v>0.95510969547227098</c:v>
                </c:pt>
                <c:pt idx="227">
                  <c:v>0.95496085494001715</c:v>
                </c:pt>
                <c:pt idx="228">
                  <c:v>0.95460363766260814</c:v>
                </c:pt>
                <c:pt idx="229">
                  <c:v>0.95427618849164997</c:v>
                </c:pt>
                <c:pt idx="230">
                  <c:v>0.95397850742714241</c:v>
                </c:pt>
                <c:pt idx="231">
                  <c:v>0.95382966689488879</c:v>
                </c:pt>
                <c:pt idx="232">
                  <c:v>0.95359152204328268</c:v>
                </c:pt>
                <c:pt idx="233">
                  <c:v>0.95329384097877523</c:v>
                </c:pt>
                <c:pt idx="234">
                  <c:v>0.95293662370136623</c:v>
                </c:pt>
                <c:pt idx="235">
                  <c:v>0.95272824695621106</c:v>
                </c:pt>
                <c:pt idx="236">
                  <c:v>0.95263894263685889</c:v>
                </c:pt>
                <c:pt idx="237">
                  <c:v>0.95257940642395722</c:v>
                </c:pt>
                <c:pt idx="238">
                  <c:v>0.95225195725299905</c:v>
                </c:pt>
                <c:pt idx="239">
                  <c:v>0.95192450808204088</c:v>
                </c:pt>
                <c:pt idx="240">
                  <c:v>0.95165659512398415</c:v>
                </c:pt>
                <c:pt idx="241">
                  <c:v>0.95153752269818104</c:v>
                </c:pt>
                <c:pt idx="242">
                  <c:v>0.95138868216592731</c:v>
                </c:pt>
                <c:pt idx="243">
                  <c:v>0.95112076920787059</c:v>
                </c:pt>
                <c:pt idx="244">
                  <c:v>0.95085285624981386</c:v>
                </c:pt>
                <c:pt idx="245">
                  <c:v>0.95052540707885569</c:v>
                </c:pt>
                <c:pt idx="246">
                  <c:v>0.95037656654660185</c:v>
                </c:pt>
                <c:pt idx="247">
                  <c:v>0.95019795790789741</c:v>
                </c:pt>
                <c:pt idx="248">
                  <c:v>0.94990027684338985</c:v>
                </c:pt>
                <c:pt idx="249">
                  <c:v>0.94942398714017784</c:v>
                </c:pt>
                <c:pt idx="250">
                  <c:v>0.94900723364986739</c:v>
                </c:pt>
                <c:pt idx="251">
                  <c:v>0.9488881612240645</c:v>
                </c:pt>
                <c:pt idx="252">
                  <c:v>0.9488881612240645</c:v>
                </c:pt>
                <c:pt idx="253">
                  <c:v>0.94870955258535994</c:v>
                </c:pt>
                <c:pt idx="254">
                  <c:v>0.94844163962730321</c:v>
                </c:pt>
                <c:pt idx="255">
                  <c:v>0.94829279909504949</c:v>
                </c:pt>
                <c:pt idx="256">
                  <c:v>0.94802488613699276</c:v>
                </c:pt>
                <c:pt idx="257">
                  <c:v>0.94796534992409121</c:v>
                </c:pt>
                <c:pt idx="258">
                  <c:v>0.94784627749828831</c:v>
                </c:pt>
                <c:pt idx="259">
                  <c:v>0.94742952400797775</c:v>
                </c:pt>
                <c:pt idx="260">
                  <c:v>0.94707230673056886</c:v>
                </c:pt>
                <c:pt idx="261">
                  <c:v>0.94695323430476575</c:v>
                </c:pt>
                <c:pt idx="262">
                  <c:v>0.94692346619831502</c:v>
                </c:pt>
                <c:pt idx="263">
                  <c:v>0.9468936980918643</c:v>
                </c:pt>
                <c:pt idx="264">
                  <c:v>0.94668532134670902</c:v>
                </c:pt>
                <c:pt idx="265">
                  <c:v>0.94644717649510302</c:v>
                </c:pt>
                <c:pt idx="266">
                  <c:v>0.94582204625963728</c:v>
                </c:pt>
                <c:pt idx="267">
                  <c:v>0.94537552466287611</c:v>
                </c:pt>
                <c:pt idx="268">
                  <c:v>0.94519691602417155</c:v>
                </c:pt>
                <c:pt idx="269">
                  <c:v>0.9448992349596641</c:v>
                </c:pt>
                <c:pt idx="270">
                  <c:v>0.94448248146935365</c:v>
                </c:pt>
                <c:pt idx="271">
                  <c:v>0.94415503229839537</c:v>
                </c:pt>
                <c:pt idx="272">
                  <c:v>0.94403595987259248</c:v>
                </c:pt>
                <c:pt idx="273">
                  <c:v>0.94397642365969081</c:v>
                </c:pt>
                <c:pt idx="274">
                  <c:v>0.94367874259518347</c:v>
                </c:pt>
                <c:pt idx="275">
                  <c:v>0.94329175721132363</c:v>
                </c:pt>
                <c:pt idx="276">
                  <c:v>0.94308338046616846</c:v>
                </c:pt>
                <c:pt idx="277">
                  <c:v>0.94290477182746402</c:v>
                </c:pt>
                <c:pt idx="278">
                  <c:v>0.94281546750811174</c:v>
                </c:pt>
                <c:pt idx="279">
                  <c:v>0.94266662697585801</c:v>
                </c:pt>
                <c:pt idx="280">
                  <c:v>0.94233917780489973</c:v>
                </c:pt>
                <c:pt idx="281">
                  <c:v>0.94204149674039228</c:v>
                </c:pt>
                <c:pt idx="282">
                  <c:v>0.94195219242104</c:v>
                </c:pt>
                <c:pt idx="283">
                  <c:v>0.94186288810168772</c:v>
                </c:pt>
                <c:pt idx="284">
                  <c:v>0.9413568302920251</c:v>
                </c:pt>
                <c:pt idx="285">
                  <c:v>0.94117822165332055</c:v>
                </c:pt>
                <c:pt idx="286">
                  <c:v>0.94079123626946082</c:v>
                </c:pt>
                <c:pt idx="287">
                  <c:v>0.94073170005655926</c:v>
                </c:pt>
                <c:pt idx="288">
                  <c:v>0.94079123626946082</c:v>
                </c:pt>
                <c:pt idx="289">
                  <c:v>0.94064239573720709</c:v>
                </c:pt>
                <c:pt idx="290">
                  <c:v>0.94040425088560109</c:v>
                </c:pt>
                <c:pt idx="291">
                  <c:v>0.94034471467269953</c:v>
                </c:pt>
                <c:pt idx="292">
                  <c:v>0.94010656982109353</c:v>
                </c:pt>
                <c:pt idx="293">
                  <c:v>0.93989819307593836</c:v>
                </c:pt>
                <c:pt idx="294">
                  <c:v>0.93968981633078308</c:v>
                </c:pt>
                <c:pt idx="295">
                  <c:v>0.93936236715982491</c:v>
                </c:pt>
                <c:pt idx="296">
                  <c:v>0.93918375852112035</c:v>
                </c:pt>
                <c:pt idx="297">
                  <c:v>0.93873723692435918</c:v>
                </c:pt>
                <c:pt idx="298">
                  <c:v>0.94207126484684289</c:v>
                </c:pt>
                <c:pt idx="299">
                  <c:v>0.94168427946298328</c:v>
                </c:pt>
                <c:pt idx="300">
                  <c:v>0.93966004822433236</c:v>
                </c:pt>
                <c:pt idx="301">
                  <c:v>0.93963028011788163</c:v>
                </c:pt>
                <c:pt idx="302">
                  <c:v>0.93921352662757107</c:v>
                </c:pt>
                <c:pt idx="303">
                  <c:v>0.93885630935016218</c:v>
                </c:pt>
                <c:pt idx="304">
                  <c:v>0.93846932396630245</c:v>
                </c:pt>
                <c:pt idx="305">
                  <c:v>0.93793349805018889</c:v>
                </c:pt>
                <c:pt idx="306">
                  <c:v>0.93760604887923071</c:v>
                </c:pt>
                <c:pt idx="307">
                  <c:v>0.93733813592117399</c:v>
                </c:pt>
                <c:pt idx="308">
                  <c:v>0.93724883160182171</c:v>
                </c:pt>
                <c:pt idx="309">
                  <c:v>0.93683207811151126</c:v>
                </c:pt>
                <c:pt idx="310">
                  <c:v>0.93626648408894708</c:v>
                </c:pt>
                <c:pt idx="311">
                  <c:v>0.9360581073437918</c:v>
                </c:pt>
                <c:pt idx="312">
                  <c:v>0.93602833923734097</c:v>
                </c:pt>
                <c:pt idx="313">
                  <c:v>0.93602833923734097</c:v>
                </c:pt>
                <c:pt idx="314">
                  <c:v>0.93567112195993196</c:v>
                </c:pt>
                <c:pt idx="315">
                  <c:v>0.93507575983091706</c:v>
                </c:pt>
                <c:pt idx="316">
                  <c:v>0.93480784687286023</c:v>
                </c:pt>
                <c:pt idx="317">
                  <c:v>0.93480784687286023</c:v>
                </c:pt>
                <c:pt idx="318">
                  <c:v>0.93474831065995878</c:v>
                </c:pt>
                <c:pt idx="319">
                  <c:v>0.9345399339148035</c:v>
                </c:pt>
                <c:pt idx="320">
                  <c:v>0.93421248474384533</c:v>
                </c:pt>
                <c:pt idx="321">
                  <c:v>0.93391480367933788</c:v>
                </c:pt>
                <c:pt idx="322">
                  <c:v>0.93373619504063343</c:v>
                </c:pt>
                <c:pt idx="323">
                  <c:v>0.93367665882773188</c:v>
                </c:pt>
                <c:pt idx="324">
                  <c:v>0.93337897776322443</c:v>
                </c:pt>
                <c:pt idx="325">
                  <c:v>0.93293245616646314</c:v>
                </c:pt>
                <c:pt idx="326">
                  <c:v>0.93254547078260352</c:v>
                </c:pt>
                <c:pt idx="327">
                  <c:v>0.93248593456970186</c:v>
                </c:pt>
                <c:pt idx="328">
                  <c:v>0.93248593456970186</c:v>
                </c:pt>
                <c:pt idx="329">
                  <c:v>0.93221802161164513</c:v>
                </c:pt>
                <c:pt idx="330">
                  <c:v>0.93189057244068696</c:v>
                </c:pt>
                <c:pt idx="331">
                  <c:v>0.93153335516327795</c:v>
                </c:pt>
                <c:pt idx="332">
                  <c:v>0.93150358705682723</c:v>
                </c:pt>
                <c:pt idx="333">
                  <c:v>0.93150358705682723</c:v>
                </c:pt>
                <c:pt idx="334">
                  <c:v>0.93138451463102423</c:v>
                </c:pt>
                <c:pt idx="335">
                  <c:v>0.93105706546006606</c:v>
                </c:pt>
                <c:pt idx="336">
                  <c:v>0.93072961628910766</c:v>
                </c:pt>
                <c:pt idx="337">
                  <c:v>0.93061054386330477</c:v>
                </c:pt>
                <c:pt idx="338">
                  <c:v>0.93061054386330477</c:v>
                </c:pt>
                <c:pt idx="339">
                  <c:v>0.93046170333105105</c:v>
                </c:pt>
                <c:pt idx="340">
                  <c:v>0.93001518173428976</c:v>
                </c:pt>
                <c:pt idx="341">
                  <c:v>0.92968773256333159</c:v>
                </c:pt>
                <c:pt idx="342">
                  <c:v>0.92956866013752859</c:v>
                </c:pt>
                <c:pt idx="343">
                  <c:v>0.92965796445688076</c:v>
                </c:pt>
                <c:pt idx="344">
                  <c:v>0.92956866013752859</c:v>
                </c:pt>
                <c:pt idx="345">
                  <c:v>0.92933051528592259</c:v>
                </c:pt>
                <c:pt idx="346">
                  <c:v>0.92891376179561203</c:v>
                </c:pt>
                <c:pt idx="347">
                  <c:v>0.92867561694400602</c:v>
                </c:pt>
                <c:pt idx="348">
                  <c:v>0.92873515315690769</c:v>
                </c:pt>
                <c:pt idx="349">
                  <c:v>0.92873515315690769</c:v>
                </c:pt>
                <c:pt idx="350">
                  <c:v>0.92834816777304785</c:v>
                </c:pt>
                <c:pt idx="351">
                  <c:v>0.92787187806983595</c:v>
                </c:pt>
                <c:pt idx="352">
                  <c:v>0.92754442889887756</c:v>
                </c:pt>
                <c:pt idx="353">
                  <c:v>0.92736582026017311</c:v>
                </c:pt>
                <c:pt idx="354">
                  <c:v>0.92718721162146867</c:v>
                </c:pt>
                <c:pt idx="355">
                  <c:v>0.92694906676986266</c:v>
                </c:pt>
                <c:pt idx="356">
                  <c:v>0.92656208138600293</c:v>
                </c:pt>
                <c:pt idx="357">
                  <c:v>0.92614532789569237</c:v>
                </c:pt>
                <c:pt idx="358">
                  <c:v>0.92596671925698804</c:v>
                </c:pt>
                <c:pt idx="359">
                  <c:v>0.9259369511505372</c:v>
                </c:pt>
                <c:pt idx="360">
                  <c:v>0.92578811061828348</c:v>
                </c:pt>
                <c:pt idx="361">
                  <c:v>0.92560950197957903</c:v>
                </c:pt>
                <c:pt idx="362">
                  <c:v>0.92537135712797292</c:v>
                </c:pt>
                <c:pt idx="363">
                  <c:v>0.92531182091507147</c:v>
                </c:pt>
                <c:pt idx="364">
                  <c:v>0.92531182091507147</c:v>
                </c:pt>
                <c:pt idx="365">
                  <c:v>0.92516298038281775</c:v>
                </c:pt>
                <c:pt idx="366">
                  <c:v>0.92474622689250729</c:v>
                </c:pt>
                <c:pt idx="367">
                  <c:v>0.92441877772154901</c:v>
                </c:pt>
                <c:pt idx="368">
                  <c:v>0.92418063286994301</c:v>
                </c:pt>
                <c:pt idx="369">
                  <c:v>0.9241508647634924</c:v>
                </c:pt>
                <c:pt idx="370">
                  <c:v>0.92397225612478784</c:v>
                </c:pt>
                <c:pt idx="371">
                  <c:v>0.92349596642157583</c:v>
                </c:pt>
                <c:pt idx="372">
                  <c:v>0.92316851725061766</c:v>
                </c:pt>
                <c:pt idx="373">
                  <c:v>0.92296014050546227</c:v>
                </c:pt>
                <c:pt idx="374">
                  <c:v>0.9228708361861101</c:v>
                </c:pt>
                <c:pt idx="375">
                  <c:v>0.92170988003453092</c:v>
                </c:pt>
                <c:pt idx="376">
                  <c:v>0.92141219897002336</c:v>
                </c:pt>
                <c:pt idx="377">
                  <c:v>0.92117405411841746</c:v>
                </c:pt>
                <c:pt idx="378">
                  <c:v>0.92111451790551602</c:v>
                </c:pt>
                <c:pt idx="379">
                  <c:v>0.9209954454797129</c:v>
                </c:pt>
                <c:pt idx="380">
                  <c:v>0.92081683684100846</c:v>
                </c:pt>
                <c:pt idx="381">
                  <c:v>0.9205191557765009</c:v>
                </c:pt>
                <c:pt idx="382">
                  <c:v>0.92028101092489489</c:v>
                </c:pt>
                <c:pt idx="383">
                  <c:v>0.92040008335069801</c:v>
                </c:pt>
                <c:pt idx="384">
                  <c:v>0.920161938499092</c:v>
                </c:pt>
                <c:pt idx="385">
                  <c:v>0.91974518500878144</c:v>
                </c:pt>
                <c:pt idx="386">
                  <c:v>0.91938796773137255</c:v>
                </c:pt>
                <c:pt idx="387">
                  <c:v>0.91903075045396354</c:v>
                </c:pt>
                <c:pt idx="388">
                  <c:v>0.91879260560235754</c:v>
                </c:pt>
                <c:pt idx="389">
                  <c:v>0.91858422885720237</c:v>
                </c:pt>
                <c:pt idx="390">
                  <c:v>0.91825677968624408</c:v>
                </c:pt>
                <c:pt idx="391">
                  <c:v>0.91816747536689181</c:v>
                </c:pt>
                <c:pt idx="392">
                  <c:v>0.91778048998303208</c:v>
                </c:pt>
                <c:pt idx="393">
                  <c:v>0.91748280891852463</c:v>
                </c:pt>
                <c:pt idx="394">
                  <c:v>0.91712559164111562</c:v>
                </c:pt>
                <c:pt idx="395">
                  <c:v>0.91679814247015734</c:v>
                </c:pt>
                <c:pt idx="396">
                  <c:v>0.91670883815080517</c:v>
                </c:pt>
                <c:pt idx="397">
                  <c:v>0.91629208466049461</c:v>
                </c:pt>
                <c:pt idx="398">
                  <c:v>0.91623254844759316</c:v>
                </c:pt>
                <c:pt idx="399">
                  <c:v>0.91623254844759316</c:v>
                </c:pt>
                <c:pt idx="400">
                  <c:v>0.91602417170243788</c:v>
                </c:pt>
                <c:pt idx="401">
                  <c:v>0.91551811389277515</c:v>
                </c:pt>
                <c:pt idx="402">
                  <c:v>0.9151013604024647</c:v>
                </c:pt>
                <c:pt idx="403">
                  <c:v>0.9152204328282677</c:v>
                </c:pt>
                <c:pt idx="404">
                  <c:v>0.91525020093471843</c:v>
                </c:pt>
                <c:pt idx="405">
                  <c:v>0.9152204328282677</c:v>
                </c:pt>
                <c:pt idx="406">
                  <c:v>0.91471437501860497</c:v>
                </c:pt>
                <c:pt idx="407">
                  <c:v>0.91417854910249152</c:v>
                </c:pt>
                <c:pt idx="408">
                  <c:v>0.91411901288958997</c:v>
                </c:pt>
                <c:pt idx="409">
                  <c:v>0.91414878099604069</c:v>
                </c:pt>
                <c:pt idx="410">
                  <c:v>0.91405947667668852</c:v>
                </c:pt>
                <c:pt idx="411">
                  <c:v>0.91355341886702579</c:v>
                </c:pt>
                <c:pt idx="412">
                  <c:v>0.91283898431220778</c:v>
                </c:pt>
                <c:pt idx="413">
                  <c:v>0.91283898431220778</c:v>
                </c:pt>
                <c:pt idx="414">
                  <c:v>0.91319620158961679</c:v>
                </c:pt>
                <c:pt idx="415">
                  <c:v>0.91307712916381378</c:v>
                </c:pt>
                <c:pt idx="416">
                  <c:v>0.91295805673801078</c:v>
                </c:pt>
                <c:pt idx="417">
                  <c:v>0.91280921620575706</c:v>
                </c:pt>
                <c:pt idx="418">
                  <c:v>0.91242223082189733</c:v>
                </c:pt>
                <c:pt idx="419">
                  <c:v>0.91251153514124961</c:v>
                </c:pt>
                <c:pt idx="420">
                  <c:v>0.91641115708629761</c:v>
                </c:pt>
                <c:pt idx="421">
                  <c:v>0.91530973714761998</c:v>
                </c:pt>
                <c:pt idx="422">
                  <c:v>0.91468460691215425</c:v>
                </c:pt>
                <c:pt idx="423">
                  <c:v>0.91405947667668852</c:v>
                </c:pt>
                <c:pt idx="424">
                  <c:v>0.91358318697347651</c:v>
                </c:pt>
                <c:pt idx="425">
                  <c:v>0.91331527401541979</c:v>
                </c:pt>
                <c:pt idx="426">
                  <c:v>0.91319620158961679</c:v>
                </c:pt>
                <c:pt idx="427">
                  <c:v>0.91286875241865861</c:v>
                </c:pt>
                <c:pt idx="428">
                  <c:v>0.91230315839609433</c:v>
                </c:pt>
                <c:pt idx="429">
                  <c:v>0.91182686869288232</c:v>
                </c:pt>
                <c:pt idx="430">
                  <c:v>0.91164826005417787</c:v>
                </c:pt>
                <c:pt idx="431">
                  <c:v>0.9116780281606286</c:v>
                </c:pt>
                <c:pt idx="432">
                  <c:v>0.91138034709612115</c:v>
                </c:pt>
                <c:pt idx="433">
                  <c:v>0.91090405739290914</c:v>
                </c:pt>
                <c:pt idx="434">
                  <c:v>0.91051707200904941</c:v>
                </c:pt>
                <c:pt idx="435">
                  <c:v>0.91027892715744341</c:v>
                </c:pt>
                <c:pt idx="436">
                  <c:v>0.91024915905099268</c:v>
                </c:pt>
                <c:pt idx="437">
                  <c:v>0.91001101419938668</c:v>
                </c:pt>
                <c:pt idx="438">
                  <c:v>0.90962402881552695</c:v>
                </c:pt>
                <c:pt idx="439">
                  <c:v>0.90914773911231495</c:v>
                </c:pt>
                <c:pt idx="440">
                  <c:v>0.90893936236715966</c:v>
                </c:pt>
                <c:pt idx="441">
                  <c:v>0.90890959426070905</c:v>
                </c:pt>
                <c:pt idx="442">
                  <c:v>0.90864168130265222</c:v>
                </c:pt>
                <c:pt idx="443">
                  <c:v>0.90819515970589104</c:v>
                </c:pt>
                <c:pt idx="444">
                  <c:v>0.9078081743220312</c:v>
                </c:pt>
                <c:pt idx="445">
                  <c:v>0.90759979757687603</c:v>
                </c:pt>
                <c:pt idx="446">
                  <c:v>0.90757002947042531</c:v>
                </c:pt>
                <c:pt idx="447">
                  <c:v>0.90751049325752386</c:v>
                </c:pt>
                <c:pt idx="448">
                  <c:v>0.90718304408656558</c:v>
                </c:pt>
                <c:pt idx="449">
                  <c:v>0.9068555949156073</c:v>
                </c:pt>
                <c:pt idx="450">
                  <c:v>0.90218200220283973</c:v>
                </c:pt>
                <c:pt idx="451">
                  <c:v>0.90280713243830546</c:v>
                </c:pt>
                <c:pt idx="452">
                  <c:v>0.90265829190605174</c:v>
                </c:pt>
                <c:pt idx="453">
                  <c:v>0.90242014705444584</c:v>
                </c:pt>
                <c:pt idx="454">
                  <c:v>0.90233084273509356</c:v>
                </c:pt>
                <c:pt idx="455">
                  <c:v>0.90253921948024873</c:v>
                </c:pt>
                <c:pt idx="456">
                  <c:v>0.90331319024796819</c:v>
                </c:pt>
                <c:pt idx="457">
                  <c:v>0.9035513350995743</c:v>
                </c:pt>
                <c:pt idx="458">
                  <c:v>0.90331319024796819</c:v>
                </c:pt>
                <c:pt idx="459">
                  <c:v>0.9031941178221653</c:v>
                </c:pt>
                <c:pt idx="460">
                  <c:v>0.9031941178221653</c:v>
                </c:pt>
                <c:pt idx="461">
                  <c:v>0.90316434971571447</c:v>
                </c:pt>
                <c:pt idx="462">
                  <c:v>0.90298574107701002</c:v>
                </c:pt>
                <c:pt idx="463">
                  <c:v>0.90265829190605174</c:v>
                </c:pt>
                <c:pt idx="464">
                  <c:v>0.90233084273509356</c:v>
                </c:pt>
                <c:pt idx="465">
                  <c:v>0.90253921948024873</c:v>
                </c:pt>
                <c:pt idx="466">
                  <c:v>0.90250945137379801</c:v>
                </c:pt>
                <c:pt idx="467">
                  <c:v>0.90221177030929056</c:v>
                </c:pt>
                <c:pt idx="468">
                  <c:v>0.901914089244783</c:v>
                </c:pt>
                <c:pt idx="469">
                  <c:v>0.90158664007382483</c:v>
                </c:pt>
                <c:pt idx="470">
                  <c:v>0.90164617628672639</c:v>
                </c:pt>
                <c:pt idx="471">
                  <c:v>0.90173548060607855</c:v>
                </c:pt>
                <c:pt idx="472">
                  <c:v>0.90143779954157111</c:v>
                </c:pt>
                <c:pt idx="473">
                  <c:v>0.90105081415771127</c:v>
                </c:pt>
                <c:pt idx="474">
                  <c:v>0.90072336498675309</c:v>
                </c:pt>
                <c:pt idx="475">
                  <c:v>0.90066382877385165</c:v>
                </c:pt>
                <c:pt idx="476">
                  <c:v>0.90027684338999181</c:v>
                </c:pt>
                <c:pt idx="477">
                  <c:v>0.89783585866103055</c:v>
                </c:pt>
                <c:pt idx="478">
                  <c:v>0.89685351114815581</c:v>
                </c:pt>
                <c:pt idx="479">
                  <c:v>0.89631768523204225</c:v>
                </c:pt>
                <c:pt idx="480">
                  <c:v>0.89765725002232599</c:v>
                </c:pt>
                <c:pt idx="481">
                  <c:v>0.89795493108683344</c:v>
                </c:pt>
                <c:pt idx="482">
                  <c:v>0.897895394873932</c:v>
                </c:pt>
                <c:pt idx="483">
                  <c:v>0.89768701812877671</c:v>
                </c:pt>
                <c:pt idx="484">
                  <c:v>0.89774655434167827</c:v>
                </c:pt>
                <c:pt idx="485">
                  <c:v>0.89732980085136771</c:v>
                </c:pt>
                <c:pt idx="486">
                  <c:v>0.89706188789331109</c:v>
                </c:pt>
                <c:pt idx="487">
                  <c:v>0.89691304736105726</c:v>
                </c:pt>
                <c:pt idx="488">
                  <c:v>0.89700235168040954</c:v>
                </c:pt>
                <c:pt idx="489">
                  <c:v>0.89694281546750798</c:v>
                </c:pt>
                <c:pt idx="490">
                  <c:v>0.89646652576429597</c:v>
                </c:pt>
                <c:pt idx="491">
                  <c:v>0.89628791712559164</c:v>
                </c:pt>
                <c:pt idx="492">
                  <c:v>0.89607954038043636</c:v>
                </c:pt>
                <c:pt idx="493">
                  <c:v>0.89619861280623936</c:v>
                </c:pt>
                <c:pt idx="494">
                  <c:v>0.89587116363528108</c:v>
                </c:pt>
                <c:pt idx="495">
                  <c:v>0.89524603339981534</c:v>
                </c:pt>
                <c:pt idx="496">
                  <c:v>0.89628791712559164</c:v>
                </c:pt>
                <c:pt idx="497">
                  <c:v>0.8960200041675348</c:v>
                </c:pt>
                <c:pt idx="498">
                  <c:v>0.89575209120947807</c:v>
                </c:pt>
                <c:pt idx="499">
                  <c:v>0.89557348257077363</c:v>
                </c:pt>
                <c:pt idx="500">
                  <c:v>0.89536510582561835</c:v>
                </c:pt>
                <c:pt idx="501">
                  <c:v>0.89551394635787207</c:v>
                </c:pt>
                <c:pt idx="502">
                  <c:v>0.89542464203851979</c:v>
                </c:pt>
                <c:pt idx="503">
                  <c:v>0.89524603339981534</c:v>
                </c:pt>
                <c:pt idx="504">
                  <c:v>0.89500788854820934</c:v>
                </c:pt>
                <c:pt idx="505">
                  <c:v>0.89482927990950478</c:v>
                </c:pt>
                <c:pt idx="506">
                  <c:v>0.89468043937725106</c:v>
                </c:pt>
                <c:pt idx="507">
                  <c:v>0.89450183073854661</c:v>
                </c:pt>
                <c:pt idx="508">
                  <c:v>0.89432322209984216</c:v>
                </c:pt>
                <c:pt idx="509">
                  <c:v>0.89411484535468688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D6-408B-A9A9-C795D6619221}"/>
            </c:ext>
          </c:extLst>
        </c:ser>
        <c:ser>
          <c:idx val="3"/>
          <c:order val="3"/>
          <c:tx>
            <c:v>450-1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'G11E-V1.2-PreA-0.5C_0.5C循环 25℃'!$AJ$3:$AJ$521</c:f>
              <c:numCache>
                <c:formatCode>General</c:formatCode>
                <c:ptCount val="5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</c:numCache>
            </c:numRef>
          </c:xVal>
          <c:yVal>
            <c:numRef>
              <c:f>'G11E-V1.2-PreA-0.5C_0.5C循环 25℃'!$AN$3:$AN$521</c:f>
              <c:numCache>
                <c:formatCode>0.00%</c:formatCode>
                <c:ptCount val="519"/>
                <c:pt idx="0">
                  <c:v>1</c:v>
                </c:pt>
                <c:pt idx="1">
                  <c:v>1.0003217691452642</c:v>
                </c:pt>
                <c:pt idx="2">
                  <c:v>0.99967823085473573</c:v>
                </c:pt>
                <c:pt idx="3">
                  <c:v>0.99994149651904285</c:v>
                </c:pt>
                <c:pt idx="4">
                  <c:v>0.99944421693090746</c:v>
                </c:pt>
                <c:pt idx="5">
                  <c:v>0.9996197273737788</c:v>
                </c:pt>
                <c:pt idx="6">
                  <c:v>0.99941496519042872</c:v>
                </c:pt>
                <c:pt idx="7">
                  <c:v>0.99903469256420752</c:v>
                </c:pt>
                <c:pt idx="8">
                  <c:v>0.99882993038085766</c:v>
                </c:pt>
                <c:pt idx="9">
                  <c:v>0.99830339905224363</c:v>
                </c:pt>
                <c:pt idx="10">
                  <c:v>0.99821564383080796</c:v>
                </c:pt>
                <c:pt idx="11">
                  <c:v>0.99783537120458676</c:v>
                </c:pt>
                <c:pt idx="12">
                  <c:v>0.99760135728075816</c:v>
                </c:pt>
                <c:pt idx="13">
                  <c:v>0.9973965950974083</c:v>
                </c:pt>
                <c:pt idx="14">
                  <c:v>0.99698707073070847</c:v>
                </c:pt>
                <c:pt idx="15">
                  <c:v>0.99704557421166562</c:v>
                </c:pt>
                <c:pt idx="16">
                  <c:v>0.99672380506640135</c:v>
                </c:pt>
                <c:pt idx="17">
                  <c:v>0.99675305680688009</c:v>
                </c:pt>
                <c:pt idx="18">
                  <c:v>0.99687006376879428</c:v>
                </c:pt>
                <c:pt idx="19">
                  <c:v>0.99640203592113741</c:v>
                </c:pt>
                <c:pt idx="20">
                  <c:v>0.99552448370678059</c:v>
                </c:pt>
                <c:pt idx="21">
                  <c:v>0.99458842801146663</c:v>
                </c:pt>
                <c:pt idx="22">
                  <c:v>0.9942959106066811</c:v>
                </c:pt>
                <c:pt idx="23">
                  <c:v>0.99423740712572395</c:v>
                </c:pt>
                <c:pt idx="24">
                  <c:v>0.99438366582811677</c:v>
                </c:pt>
                <c:pt idx="25">
                  <c:v>0.99403264494237409</c:v>
                </c:pt>
                <c:pt idx="26">
                  <c:v>0.99315509272801727</c:v>
                </c:pt>
                <c:pt idx="27">
                  <c:v>0.99297958228514593</c:v>
                </c:pt>
                <c:pt idx="28">
                  <c:v>0.99262856139940314</c:v>
                </c:pt>
                <c:pt idx="29">
                  <c:v>0.99262856139940314</c:v>
                </c:pt>
                <c:pt idx="30">
                  <c:v>0.99224828877318194</c:v>
                </c:pt>
                <c:pt idx="31">
                  <c:v>0.9916925057040894</c:v>
                </c:pt>
                <c:pt idx="32">
                  <c:v>0.99145849178026091</c:v>
                </c:pt>
                <c:pt idx="33">
                  <c:v>0.99151699526121806</c:v>
                </c:pt>
                <c:pt idx="34">
                  <c:v>0.99139998829930387</c:v>
                </c:pt>
                <c:pt idx="35">
                  <c:v>0.99110747089451812</c:v>
                </c:pt>
                <c:pt idx="36">
                  <c:v>0.99034692564207571</c:v>
                </c:pt>
                <c:pt idx="37">
                  <c:v>0.98987889779441884</c:v>
                </c:pt>
                <c:pt idx="38">
                  <c:v>0.98982039431346169</c:v>
                </c:pt>
                <c:pt idx="39">
                  <c:v>0.98952787690867616</c:v>
                </c:pt>
                <c:pt idx="40">
                  <c:v>0.98870882817527639</c:v>
                </c:pt>
                <c:pt idx="41">
                  <c:v>0.98803603814426966</c:v>
                </c:pt>
                <c:pt idx="42">
                  <c:v>0.98777277247996254</c:v>
                </c:pt>
                <c:pt idx="43">
                  <c:v>0.98756801029661279</c:v>
                </c:pt>
                <c:pt idx="44">
                  <c:v>0.98745100333469837</c:v>
                </c:pt>
                <c:pt idx="45">
                  <c:v>0.98718773767039136</c:v>
                </c:pt>
                <c:pt idx="46">
                  <c:v>0.98669045808225597</c:v>
                </c:pt>
                <c:pt idx="47">
                  <c:v>0.98642719241794896</c:v>
                </c:pt>
                <c:pt idx="48">
                  <c:v>0.98572515064646349</c:v>
                </c:pt>
                <c:pt idx="49">
                  <c:v>0.98496460539402086</c:v>
                </c:pt>
                <c:pt idx="50">
                  <c:v>0.98323875270578598</c:v>
                </c:pt>
                <c:pt idx="51">
                  <c:v>0.98233194875095076</c:v>
                </c:pt>
                <c:pt idx="52">
                  <c:v>0.98209793482712215</c:v>
                </c:pt>
                <c:pt idx="53">
                  <c:v>0.9828877318200433</c:v>
                </c:pt>
                <c:pt idx="54">
                  <c:v>0.98394079447727145</c:v>
                </c:pt>
                <c:pt idx="55">
                  <c:v>0.98440882232492832</c:v>
                </c:pt>
                <c:pt idx="56">
                  <c:v>0.98364827707248592</c:v>
                </c:pt>
                <c:pt idx="57">
                  <c:v>0.98332650792722165</c:v>
                </c:pt>
                <c:pt idx="58">
                  <c:v>0.98367752881296433</c:v>
                </c:pt>
                <c:pt idx="59">
                  <c:v>0.9833850114081788</c:v>
                </c:pt>
                <c:pt idx="60">
                  <c:v>0.98294623530100045</c:v>
                </c:pt>
                <c:pt idx="61">
                  <c:v>0.98218569004855782</c:v>
                </c:pt>
                <c:pt idx="62">
                  <c:v>0.98171766220090095</c:v>
                </c:pt>
                <c:pt idx="63">
                  <c:v>0.98168841046042243</c:v>
                </c:pt>
                <c:pt idx="64">
                  <c:v>0.98139589305563668</c:v>
                </c:pt>
                <c:pt idx="65">
                  <c:v>0.98086936172702266</c:v>
                </c:pt>
                <c:pt idx="66">
                  <c:v>0.98060609606271587</c:v>
                </c:pt>
                <c:pt idx="67">
                  <c:v>0.98031357865793012</c:v>
                </c:pt>
                <c:pt idx="68">
                  <c:v>0.98016731995553741</c:v>
                </c:pt>
                <c:pt idx="69">
                  <c:v>0.98019657169601593</c:v>
                </c:pt>
                <c:pt idx="70">
                  <c:v>0.98002106125314459</c:v>
                </c:pt>
                <c:pt idx="71">
                  <c:v>0.97923126426022344</c:v>
                </c:pt>
                <c:pt idx="72">
                  <c:v>0.97861697771017375</c:v>
                </c:pt>
                <c:pt idx="73">
                  <c:v>0.97847071900778104</c:v>
                </c:pt>
                <c:pt idx="74">
                  <c:v>0.97811969812203836</c:v>
                </c:pt>
                <c:pt idx="75">
                  <c:v>0.97715439068624588</c:v>
                </c:pt>
                <c:pt idx="76">
                  <c:v>0.97694962850289602</c:v>
                </c:pt>
                <c:pt idx="77">
                  <c:v>0.9768033698005032</c:v>
                </c:pt>
                <c:pt idx="78">
                  <c:v>0.976423097174282</c:v>
                </c:pt>
                <c:pt idx="79">
                  <c:v>0.97592581758614638</c:v>
                </c:pt>
                <c:pt idx="80">
                  <c:v>0.97528227929561817</c:v>
                </c:pt>
                <c:pt idx="81">
                  <c:v>0.97443397882173988</c:v>
                </c:pt>
                <c:pt idx="82">
                  <c:v>0.97554554495992518</c:v>
                </c:pt>
                <c:pt idx="83">
                  <c:v>0.97490200666939697</c:v>
                </c:pt>
                <c:pt idx="84">
                  <c:v>0.9745802375241327</c:v>
                </c:pt>
                <c:pt idx="85">
                  <c:v>0.97364418182881873</c:v>
                </c:pt>
                <c:pt idx="86">
                  <c:v>0.972971391797812</c:v>
                </c:pt>
                <c:pt idx="87">
                  <c:v>0.97449248230269703</c:v>
                </c:pt>
                <c:pt idx="88">
                  <c:v>0.97384894401216882</c:v>
                </c:pt>
                <c:pt idx="89">
                  <c:v>0.97349792312642602</c:v>
                </c:pt>
                <c:pt idx="90">
                  <c:v>0.97302989527876915</c:v>
                </c:pt>
                <c:pt idx="91">
                  <c:v>0.97267887439302647</c:v>
                </c:pt>
                <c:pt idx="92">
                  <c:v>0.9725911191715908</c:v>
                </c:pt>
                <c:pt idx="93">
                  <c:v>0.97253261569063354</c:v>
                </c:pt>
                <c:pt idx="94">
                  <c:v>0.9723571052477622</c:v>
                </c:pt>
                <c:pt idx="95">
                  <c:v>0.97194758088106237</c:v>
                </c:pt>
                <c:pt idx="96">
                  <c:v>0.97139179781196971</c:v>
                </c:pt>
                <c:pt idx="97">
                  <c:v>0.97150880477388413</c:v>
                </c:pt>
                <c:pt idx="98">
                  <c:v>0.97124553910957712</c:v>
                </c:pt>
                <c:pt idx="99">
                  <c:v>0.97130404259053404</c:v>
                </c:pt>
                <c:pt idx="100">
                  <c:v>0.97080676300239876</c:v>
                </c:pt>
                <c:pt idx="101">
                  <c:v>0.97042649037617734</c:v>
                </c:pt>
                <c:pt idx="102">
                  <c:v>0.97007546949043455</c:v>
                </c:pt>
                <c:pt idx="103">
                  <c:v>0.96998771426899888</c:v>
                </c:pt>
                <c:pt idx="104">
                  <c:v>0.96978295208564902</c:v>
                </c:pt>
                <c:pt idx="105">
                  <c:v>0.96937342771894941</c:v>
                </c:pt>
                <c:pt idx="106">
                  <c:v>0.96875914116889961</c:v>
                </c:pt>
                <c:pt idx="107">
                  <c:v>0.96832036506172126</c:v>
                </c:pt>
                <c:pt idx="108">
                  <c:v>0.96820335809980684</c:v>
                </c:pt>
                <c:pt idx="109">
                  <c:v>0.96796934417597846</c:v>
                </c:pt>
                <c:pt idx="110">
                  <c:v>0.96755981980927863</c:v>
                </c:pt>
                <c:pt idx="111">
                  <c:v>0.96691628151875031</c:v>
                </c:pt>
                <c:pt idx="112">
                  <c:v>0.96656526063300763</c:v>
                </c:pt>
                <c:pt idx="113">
                  <c:v>0.96653600889252911</c:v>
                </c:pt>
                <c:pt idx="114">
                  <c:v>0.96685777803779316</c:v>
                </c:pt>
                <c:pt idx="115">
                  <c:v>0.96671151933540056</c:v>
                </c:pt>
                <c:pt idx="116">
                  <c:v>0.96636049844965777</c:v>
                </c:pt>
                <c:pt idx="117">
                  <c:v>0.96586321886152227</c:v>
                </c:pt>
                <c:pt idx="118">
                  <c:v>0.96603872930439361</c:v>
                </c:pt>
                <c:pt idx="119">
                  <c:v>0.96577546364008648</c:v>
                </c:pt>
                <c:pt idx="120">
                  <c:v>0.96551219797577947</c:v>
                </c:pt>
                <c:pt idx="121">
                  <c:v>0.96498566664716545</c:v>
                </c:pt>
                <c:pt idx="122">
                  <c:v>0.96454689053998699</c:v>
                </c:pt>
                <c:pt idx="123">
                  <c:v>0.96448838705903006</c:v>
                </c:pt>
                <c:pt idx="124">
                  <c:v>0.96442988357807291</c:v>
                </c:pt>
                <c:pt idx="125">
                  <c:v>0.9642836248756802</c:v>
                </c:pt>
                <c:pt idx="126">
                  <c:v>0.96369859006610892</c:v>
                </c:pt>
                <c:pt idx="127">
                  <c:v>0.96343532440180191</c:v>
                </c:pt>
                <c:pt idx="128">
                  <c:v>0.96323056221845205</c:v>
                </c:pt>
                <c:pt idx="129">
                  <c:v>0.96328906569940909</c:v>
                </c:pt>
                <c:pt idx="130">
                  <c:v>0.96314280699701638</c:v>
                </c:pt>
                <c:pt idx="131">
                  <c:v>0.96270403088983802</c:v>
                </c:pt>
                <c:pt idx="132">
                  <c:v>0.96223600304218115</c:v>
                </c:pt>
                <c:pt idx="133">
                  <c:v>0.96191423389691688</c:v>
                </c:pt>
                <c:pt idx="134">
                  <c:v>0.96191423389691688</c:v>
                </c:pt>
                <c:pt idx="135">
                  <c:v>0.9619434856373954</c:v>
                </c:pt>
                <c:pt idx="136">
                  <c:v>0.96162171649213135</c:v>
                </c:pt>
                <c:pt idx="137">
                  <c:v>0.96124144386590993</c:v>
                </c:pt>
                <c:pt idx="138">
                  <c:v>0.9609489264611244</c:v>
                </c:pt>
                <c:pt idx="139">
                  <c:v>0.96086117123968873</c:v>
                </c:pt>
                <c:pt idx="140">
                  <c:v>0.96121219212543141</c:v>
                </c:pt>
                <c:pt idx="141">
                  <c:v>0.96103668168256007</c:v>
                </c:pt>
                <c:pt idx="142">
                  <c:v>0.96062715731586035</c:v>
                </c:pt>
                <c:pt idx="143">
                  <c:v>0.96015912946820325</c:v>
                </c:pt>
                <c:pt idx="144">
                  <c:v>0.95878429766571116</c:v>
                </c:pt>
                <c:pt idx="145">
                  <c:v>0.95986661206341772</c:v>
                </c:pt>
                <c:pt idx="146">
                  <c:v>0.9599543672848535</c:v>
                </c:pt>
                <c:pt idx="147">
                  <c:v>0.9597203533610249</c:v>
                </c:pt>
                <c:pt idx="148">
                  <c:v>0.95948633943719652</c:v>
                </c:pt>
                <c:pt idx="149">
                  <c:v>0.95735096238226181</c:v>
                </c:pt>
                <c:pt idx="150">
                  <c:v>0.95702919323699753</c:v>
                </c:pt>
                <c:pt idx="151">
                  <c:v>0.95682443105364767</c:v>
                </c:pt>
                <c:pt idx="152">
                  <c:v>0.95644415842742647</c:v>
                </c:pt>
                <c:pt idx="153">
                  <c:v>0.95626864798455513</c:v>
                </c:pt>
                <c:pt idx="154">
                  <c:v>0.95632715146551217</c:v>
                </c:pt>
                <c:pt idx="155">
                  <c:v>0.95618089276311946</c:v>
                </c:pt>
                <c:pt idx="156">
                  <c:v>0.95580062013689804</c:v>
                </c:pt>
                <c:pt idx="157">
                  <c:v>0.95536184402971969</c:v>
                </c:pt>
                <c:pt idx="158">
                  <c:v>0.95515708184636983</c:v>
                </c:pt>
                <c:pt idx="159">
                  <c:v>0.95474755747967011</c:v>
                </c:pt>
                <c:pt idx="160">
                  <c:v>0.95328497045574212</c:v>
                </c:pt>
                <c:pt idx="161">
                  <c:v>0.95240741824138531</c:v>
                </c:pt>
                <c:pt idx="162">
                  <c:v>0.95188088691277117</c:v>
                </c:pt>
                <c:pt idx="163">
                  <c:v>0.9517931316913355</c:v>
                </c:pt>
                <c:pt idx="164">
                  <c:v>0.95234891476042827</c:v>
                </c:pt>
                <c:pt idx="165">
                  <c:v>0.95246592172234246</c:v>
                </c:pt>
                <c:pt idx="166">
                  <c:v>0.95193939039372844</c:v>
                </c:pt>
                <c:pt idx="167">
                  <c:v>0.95150061428654997</c:v>
                </c:pt>
                <c:pt idx="168">
                  <c:v>0.95129585210320011</c:v>
                </c:pt>
                <c:pt idx="169">
                  <c:v>0.95132510384367863</c:v>
                </c:pt>
                <c:pt idx="170">
                  <c:v>0.95117884514128603</c:v>
                </c:pt>
                <c:pt idx="171">
                  <c:v>0.95088632773650028</c:v>
                </c:pt>
                <c:pt idx="172">
                  <c:v>0.95033054466740774</c:v>
                </c:pt>
                <c:pt idx="173">
                  <c:v>0.94997952378166495</c:v>
                </c:pt>
                <c:pt idx="174">
                  <c:v>0.94995027204118654</c:v>
                </c:pt>
                <c:pt idx="175">
                  <c:v>0.9499210203007078</c:v>
                </c:pt>
                <c:pt idx="176">
                  <c:v>0.94977476159831509</c:v>
                </c:pt>
                <c:pt idx="177">
                  <c:v>0.94930673375065822</c:v>
                </c:pt>
                <c:pt idx="178">
                  <c:v>0.94880945416252271</c:v>
                </c:pt>
                <c:pt idx="179">
                  <c:v>0.94872169894108704</c:v>
                </c:pt>
                <c:pt idx="180">
                  <c:v>0.94866319546012978</c:v>
                </c:pt>
                <c:pt idx="181">
                  <c:v>0.94842918153630151</c:v>
                </c:pt>
                <c:pt idx="182">
                  <c:v>0.94772713976481604</c:v>
                </c:pt>
                <c:pt idx="183">
                  <c:v>0.94728836365763769</c:v>
                </c:pt>
                <c:pt idx="184">
                  <c:v>0.94722986017668043</c:v>
                </c:pt>
                <c:pt idx="185">
                  <c:v>0.94705434973380909</c:v>
                </c:pt>
                <c:pt idx="186">
                  <c:v>0.94690809103141649</c:v>
                </c:pt>
                <c:pt idx="187">
                  <c:v>0.94635230796232361</c:v>
                </c:pt>
                <c:pt idx="188">
                  <c:v>0.94579652489323107</c:v>
                </c:pt>
                <c:pt idx="189">
                  <c:v>0.94565026619083847</c:v>
                </c:pt>
                <c:pt idx="190">
                  <c:v>0.94544550400748839</c:v>
                </c:pt>
                <c:pt idx="191">
                  <c:v>0.94526999356461705</c:v>
                </c:pt>
                <c:pt idx="192">
                  <c:v>0.94491897267887437</c:v>
                </c:pt>
                <c:pt idx="193">
                  <c:v>0.94448019657169591</c:v>
                </c:pt>
                <c:pt idx="194">
                  <c:v>0.94421693090738912</c:v>
                </c:pt>
                <c:pt idx="195">
                  <c:v>0.94409992394547471</c:v>
                </c:pt>
                <c:pt idx="196">
                  <c:v>0.94401216872403904</c:v>
                </c:pt>
                <c:pt idx="197">
                  <c:v>0.94377815480021066</c:v>
                </c:pt>
                <c:pt idx="198">
                  <c:v>0.94331012695255356</c:v>
                </c:pt>
                <c:pt idx="199">
                  <c:v>0.94281284736441828</c:v>
                </c:pt>
                <c:pt idx="200">
                  <c:v>0.94301760954776803</c:v>
                </c:pt>
                <c:pt idx="201">
                  <c:v>0.94313461650968222</c:v>
                </c:pt>
                <c:pt idx="202">
                  <c:v>0.94292985432633236</c:v>
                </c:pt>
                <c:pt idx="203">
                  <c:v>0.94252032995963253</c:v>
                </c:pt>
                <c:pt idx="204">
                  <c:v>0.94208155385245429</c:v>
                </c:pt>
                <c:pt idx="205">
                  <c:v>0.9423448195167613</c:v>
                </c:pt>
                <c:pt idx="206">
                  <c:v>0.94257883344058968</c:v>
                </c:pt>
                <c:pt idx="207">
                  <c:v>0.94257883344058968</c:v>
                </c:pt>
                <c:pt idx="208">
                  <c:v>0.94225706429532563</c:v>
                </c:pt>
                <c:pt idx="209">
                  <c:v>0.94193529515006147</c:v>
                </c:pt>
                <c:pt idx="210">
                  <c:v>0.94164277774527594</c:v>
                </c:pt>
                <c:pt idx="211">
                  <c:v>0.94132100860001167</c:v>
                </c:pt>
                <c:pt idx="212">
                  <c:v>0.94108699467618318</c:v>
                </c:pt>
                <c:pt idx="213">
                  <c:v>0.9406189668285263</c:v>
                </c:pt>
                <c:pt idx="214">
                  <c:v>0.94003393201895524</c:v>
                </c:pt>
                <c:pt idx="215">
                  <c:v>0.93977066635464812</c:v>
                </c:pt>
                <c:pt idx="216">
                  <c:v>0.94158427426431868</c:v>
                </c:pt>
                <c:pt idx="217">
                  <c:v>0.94012168724039091</c:v>
                </c:pt>
                <c:pt idx="218">
                  <c:v>0.93915637980459843</c:v>
                </c:pt>
                <c:pt idx="219">
                  <c:v>0.93898086936172709</c:v>
                </c:pt>
                <c:pt idx="220">
                  <c:v>0.94120400163809748</c:v>
                </c:pt>
                <c:pt idx="221">
                  <c:v>0.94102849119522614</c:v>
                </c:pt>
                <c:pt idx="222">
                  <c:v>0.94003393201895524</c:v>
                </c:pt>
                <c:pt idx="223">
                  <c:v>0.93956590417129815</c:v>
                </c:pt>
                <c:pt idx="224">
                  <c:v>0.93918563154507695</c:v>
                </c:pt>
                <c:pt idx="225">
                  <c:v>0.93804481366641312</c:v>
                </c:pt>
                <c:pt idx="226">
                  <c:v>0.93775229626162759</c:v>
                </c:pt>
                <c:pt idx="227">
                  <c:v>0.93725501667349198</c:v>
                </c:pt>
                <c:pt idx="228">
                  <c:v>0.93693324752822793</c:v>
                </c:pt>
                <c:pt idx="229">
                  <c:v>0.93666998186392092</c:v>
                </c:pt>
                <c:pt idx="230">
                  <c:v>0.93658222664248525</c:v>
                </c:pt>
                <c:pt idx="231">
                  <c:v>0.9361434505353069</c:v>
                </c:pt>
                <c:pt idx="232">
                  <c:v>0.93576317790908559</c:v>
                </c:pt>
                <c:pt idx="233">
                  <c:v>0.93547066050430006</c:v>
                </c:pt>
                <c:pt idx="234">
                  <c:v>0.93529515006142872</c:v>
                </c:pt>
                <c:pt idx="235">
                  <c:v>0.93514889135903589</c:v>
                </c:pt>
                <c:pt idx="236">
                  <c:v>0.93479787047329321</c:v>
                </c:pt>
                <c:pt idx="237">
                  <c:v>0.93438834610659338</c:v>
                </c:pt>
                <c:pt idx="238">
                  <c:v>0.93412508044228637</c:v>
                </c:pt>
                <c:pt idx="239">
                  <c:v>0.93386181477797936</c:v>
                </c:pt>
                <c:pt idx="240">
                  <c:v>0.93371555607558654</c:v>
                </c:pt>
                <c:pt idx="241">
                  <c:v>0.93348154215175805</c:v>
                </c:pt>
                <c:pt idx="242">
                  <c:v>0.93313052126601526</c:v>
                </c:pt>
                <c:pt idx="243">
                  <c:v>0.93289650734218688</c:v>
                </c:pt>
                <c:pt idx="244">
                  <c:v>0.93260398993740135</c:v>
                </c:pt>
                <c:pt idx="245">
                  <c:v>0.93248698297548704</c:v>
                </c:pt>
                <c:pt idx="246">
                  <c:v>0.9321944655707014</c:v>
                </c:pt>
                <c:pt idx="247">
                  <c:v>0.93190194816591587</c:v>
                </c:pt>
                <c:pt idx="248">
                  <c:v>0.93146317205873752</c:v>
                </c:pt>
                <c:pt idx="249">
                  <c:v>0.93111215117299473</c:v>
                </c:pt>
                <c:pt idx="250">
                  <c:v>0.93087813724916635</c:v>
                </c:pt>
                <c:pt idx="251">
                  <c:v>0.93064412332533786</c:v>
                </c:pt>
                <c:pt idx="252">
                  <c:v>0.93020534721815951</c:v>
                </c:pt>
                <c:pt idx="253">
                  <c:v>0.92973731937050252</c:v>
                </c:pt>
                <c:pt idx="254">
                  <c:v>0.92935704674428132</c:v>
                </c:pt>
                <c:pt idx="255">
                  <c:v>0.92926929152284565</c:v>
                </c:pt>
                <c:pt idx="256">
                  <c:v>0.92935704674428132</c:v>
                </c:pt>
                <c:pt idx="257">
                  <c:v>0.92909378107997431</c:v>
                </c:pt>
                <c:pt idx="258">
                  <c:v>0.92877201193471015</c:v>
                </c:pt>
                <c:pt idx="259">
                  <c:v>0.92856724975136018</c:v>
                </c:pt>
                <c:pt idx="260">
                  <c:v>0.92839173930848884</c:v>
                </c:pt>
                <c:pt idx="261">
                  <c:v>0.9282162288656175</c:v>
                </c:pt>
                <c:pt idx="262">
                  <c:v>0.92798221494178901</c:v>
                </c:pt>
                <c:pt idx="263">
                  <c:v>0.92742643187269636</c:v>
                </c:pt>
                <c:pt idx="264">
                  <c:v>0.9271046627274323</c:v>
                </c:pt>
                <c:pt idx="265">
                  <c:v>0.92707541098695379</c:v>
                </c:pt>
                <c:pt idx="266">
                  <c:v>0.92698765576551811</c:v>
                </c:pt>
                <c:pt idx="267">
                  <c:v>0.92689990054408244</c:v>
                </c:pt>
                <c:pt idx="268">
                  <c:v>0.92669513836073247</c:v>
                </c:pt>
                <c:pt idx="269">
                  <c:v>0.92631486573451127</c:v>
                </c:pt>
                <c:pt idx="270">
                  <c:v>0.92564207570350432</c:v>
                </c:pt>
                <c:pt idx="271">
                  <c:v>0.92517404785584745</c:v>
                </c:pt>
                <c:pt idx="272">
                  <c:v>0.92499853741297611</c:v>
                </c:pt>
                <c:pt idx="273">
                  <c:v>0.92476452348914762</c:v>
                </c:pt>
                <c:pt idx="274">
                  <c:v>0.92429649564149063</c:v>
                </c:pt>
                <c:pt idx="275">
                  <c:v>0.92394547475574795</c:v>
                </c:pt>
                <c:pt idx="276">
                  <c:v>0.92376996431287661</c:v>
                </c:pt>
                <c:pt idx="277">
                  <c:v>0.92371146083191946</c:v>
                </c:pt>
                <c:pt idx="278">
                  <c:v>0.92321418124378396</c:v>
                </c:pt>
                <c:pt idx="279">
                  <c:v>0.92280465687708424</c:v>
                </c:pt>
                <c:pt idx="280">
                  <c:v>0.92257064295325575</c:v>
                </c:pt>
                <c:pt idx="281">
                  <c:v>0.92236588076990578</c:v>
                </c:pt>
                <c:pt idx="282">
                  <c:v>0.92227812554847011</c:v>
                </c:pt>
                <c:pt idx="283">
                  <c:v>0.9221318668460774</c:v>
                </c:pt>
                <c:pt idx="284">
                  <c:v>0.92172234247937757</c:v>
                </c:pt>
                <c:pt idx="285">
                  <c:v>0.92142982507459192</c:v>
                </c:pt>
                <c:pt idx="286">
                  <c:v>0.92119581115076354</c:v>
                </c:pt>
                <c:pt idx="287">
                  <c:v>0.92096179722693505</c:v>
                </c:pt>
                <c:pt idx="288">
                  <c:v>0.9205230211197567</c:v>
                </c:pt>
                <c:pt idx="289">
                  <c:v>0.92031825893640673</c:v>
                </c:pt>
                <c:pt idx="290">
                  <c:v>0.91999648979114257</c:v>
                </c:pt>
                <c:pt idx="291">
                  <c:v>0.91982097934827123</c:v>
                </c:pt>
                <c:pt idx="292">
                  <c:v>0.91982097934827123</c:v>
                </c:pt>
                <c:pt idx="293">
                  <c:v>0.91973322412683556</c:v>
                </c:pt>
                <c:pt idx="294">
                  <c:v>0.91932369976013573</c:v>
                </c:pt>
                <c:pt idx="295">
                  <c:v>0.91917744105774291</c:v>
                </c:pt>
                <c:pt idx="296">
                  <c:v>0.91888492365295737</c:v>
                </c:pt>
                <c:pt idx="297">
                  <c:v>0.91856315450769321</c:v>
                </c:pt>
                <c:pt idx="298">
                  <c:v>0.91832914058386472</c:v>
                </c:pt>
                <c:pt idx="299">
                  <c:v>0.91794886795764352</c:v>
                </c:pt>
                <c:pt idx="300">
                  <c:v>0.91914818931726439</c:v>
                </c:pt>
                <c:pt idx="301">
                  <c:v>0.91897267887439305</c:v>
                </c:pt>
                <c:pt idx="302">
                  <c:v>0.9186801614696074</c:v>
                </c:pt>
                <c:pt idx="303">
                  <c:v>0.91853390276721469</c:v>
                </c:pt>
                <c:pt idx="304">
                  <c:v>0.91809512666003623</c:v>
                </c:pt>
                <c:pt idx="305">
                  <c:v>0.91771485403381503</c:v>
                </c:pt>
                <c:pt idx="306">
                  <c:v>0.91736383314807235</c:v>
                </c:pt>
                <c:pt idx="307">
                  <c:v>0.91724682618615805</c:v>
                </c:pt>
                <c:pt idx="308">
                  <c:v>0.91672029485754403</c:v>
                </c:pt>
                <c:pt idx="309">
                  <c:v>0.9164277774527585</c:v>
                </c:pt>
                <c:pt idx="310">
                  <c:v>0.91598900134558003</c:v>
                </c:pt>
                <c:pt idx="311">
                  <c:v>0.91549172175744453</c:v>
                </c:pt>
                <c:pt idx="312">
                  <c:v>0.91508219739074481</c:v>
                </c:pt>
                <c:pt idx="313">
                  <c:v>0.91493593868835188</c:v>
                </c:pt>
                <c:pt idx="314">
                  <c:v>0.91476042824548054</c:v>
                </c:pt>
                <c:pt idx="315">
                  <c:v>0.91426314865734504</c:v>
                </c:pt>
                <c:pt idx="316">
                  <c:v>0.91382437255016669</c:v>
                </c:pt>
                <c:pt idx="317">
                  <c:v>0.91361961036681683</c:v>
                </c:pt>
                <c:pt idx="318">
                  <c:v>0.91361961036681683</c:v>
                </c:pt>
                <c:pt idx="319">
                  <c:v>0.91347335166442412</c:v>
                </c:pt>
                <c:pt idx="320">
                  <c:v>0.91306382729772417</c:v>
                </c:pt>
                <c:pt idx="321">
                  <c:v>0.91242028900719596</c:v>
                </c:pt>
                <c:pt idx="322">
                  <c:v>0.91212777160241032</c:v>
                </c:pt>
                <c:pt idx="323">
                  <c:v>0.91221552682384599</c:v>
                </c:pt>
                <c:pt idx="324">
                  <c:v>0.91212777160241032</c:v>
                </c:pt>
                <c:pt idx="325">
                  <c:v>0.91183525419762479</c:v>
                </c:pt>
                <c:pt idx="326">
                  <c:v>0.91139647809044644</c:v>
                </c:pt>
                <c:pt idx="327">
                  <c:v>0.91113321242613932</c:v>
                </c:pt>
                <c:pt idx="328">
                  <c:v>0.91101620546422513</c:v>
                </c:pt>
                <c:pt idx="329">
                  <c:v>0.91081144328087527</c:v>
                </c:pt>
                <c:pt idx="330">
                  <c:v>0.91043117065465395</c:v>
                </c:pt>
                <c:pt idx="331">
                  <c:v>0.91002164628795412</c:v>
                </c:pt>
                <c:pt idx="332">
                  <c:v>0.90967062540221144</c:v>
                </c:pt>
                <c:pt idx="333">
                  <c:v>0.90958287018077577</c:v>
                </c:pt>
                <c:pt idx="334">
                  <c:v>0.90943661147838295</c:v>
                </c:pt>
                <c:pt idx="335">
                  <c:v>0.90929035277599024</c:v>
                </c:pt>
                <c:pt idx="336">
                  <c:v>0.90885157666881178</c:v>
                </c:pt>
                <c:pt idx="337">
                  <c:v>0.9083835488211548</c:v>
                </c:pt>
                <c:pt idx="338">
                  <c:v>0.90826654185924061</c:v>
                </c:pt>
                <c:pt idx="339">
                  <c:v>0.90826654185924061</c:v>
                </c:pt>
                <c:pt idx="340">
                  <c:v>0.90806177967589075</c:v>
                </c:pt>
                <c:pt idx="341">
                  <c:v>0.90771075879014795</c:v>
                </c:pt>
                <c:pt idx="342">
                  <c:v>0.9073889896448839</c:v>
                </c:pt>
                <c:pt idx="343">
                  <c:v>0.90718422746153404</c:v>
                </c:pt>
                <c:pt idx="344">
                  <c:v>0.90715497572105541</c:v>
                </c:pt>
                <c:pt idx="345">
                  <c:v>0.90709647224009837</c:v>
                </c:pt>
                <c:pt idx="346">
                  <c:v>0.9067747030948341</c:v>
                </c:pt>
                <c:pt idx="347">
                  <c:v>0.9062774235066986</c:v>
                </c:pt>
                <c:pt idx="348">
                  <c:v>0.90607266132334874</c:v>
                </c:pt>
                <c:pt idx="349">
                  <c:v>0.90613116480430589</c:v>
                </c:pt>
                <c:pt idx="350">
                  <c:v>0.90610191306382726</c:v>
                </c:pt>
                <c:pt idx="351">
                  <c:v>0.90572164043760606</c:v>
                </c:pt>
                <c:pt idx="352">
                  <c:v>0.90531211607090623</c:v>
                </c:pt>
                <c:pt idx="353">
                  <c:v>0.90504885040659921</c:v>
                </c:pt>
                <c:pt idx="354">
                  <c:v>0.90499034692564206</c:v>
                </c:pt>
                <c:pt idx="355">
                  <c:v>0.90507810214707773</c:v>
                </c:pt>
                <c:pt idx="356">
                  <c:v>0.9046685777803779</c:v>
                </c:pt>
                <c:pt idx="357">
                  <c:v>0.90422980167319955</c:v>
                </c:pt>
                <c:pt idx="358">
                  <c:v>0.90373252208506405</c:v>
                </c:pt>
                <c:pt idx="359">
                  <c:v>0.90346925642075704</c:v>
                </c:pt>
                <c:pt idx="360">
                  <c:v>0.90326449423740718</c:v>
                </c:pt>
                <c:pt idx="361">
                  <c:v>0.90303048031357858</c:v>
                </c:pt>
                <c:pt idx="362">
                  <c:v>0.90270871116831453</c:v>
                </c:pt>
                <c:pt idx="363">
                  <c:v>0.90232843854209333</c:v>
                </c:pt>
                <c:pt idx="364">
                  <c:v>0.90191891417539338</c:v>
                </c:pt>
                <c:pt idx="365">
                  <c:v>0.90186041069443634</c:v>
                </c:pt>
                <c:pt idx="366">
                  <c:v>0.901684900251565</c:v>
                </c:pt>
                <c:pt idx="367">
                  <c:v>0.90150938980869355</c:v>
                </c:pt>
                <c:pt idx="368">
                  <c:v>0.90124612414438654</c:v>
                </c:pt>
                <c:pt idx="369">
                  <c:v>0.90098285848007953</c:v>
                </c:pt>
                <c:pt idx="370">
                  <c:v>0.90104136196103668</c:v>
                </c:pt>
                <c:pt idx="371">
                  <c:v>0.90092435499912249</c:v>
                </c:pt>
                <c:pt idx="372">
                  <c:v>0.90066108933481537</c:v>
                </c:pt>
                <c:pt idx="373">
                  <c:v>0.90025156496811565</c:v>
                </c:pt>
                <c:pt idx="374">
                  <c:v>0.89990054408237286</c:v>
                </c:pt>
                <c:pt idx="375">
                  <c:v>0.89911074708945182</c:v>
                </c:pt>
                <c:pt idx="376">
                  <c:v>0.8984672087989235</c:v>
                </c:pt>
                <c:pt idx="377">
                  <c:v>0.89788217398935233</c:v>
                </c:pt>
                <c:pt idx="378">
                  <c:v>0.89735564266073831</c:v>
                </c:pt>
                <c:pt idx="379">
                  <c:v>0.89726788743930264</c:v>
                </c:pt>
                <c:pt idx="380">
                  <c:v>0.89720938395834549</c:v>
                </c:pt>
                <c:pt idx="381">
                  <c:v>0.89703387351547414</c:v>
                </c:pt>
                <c:pt idx="382">
                  <c:v>0.89662434914877442</c:v>
                </c:pt>
                <c:pt idx="383">
                  <c:v>0.89624407652255311</c:v>
                </c:pt>
                <c:pt idx="384">
                  <c:v>0.89603931433920325</c:v>
                </c:pt>
                <c:pt idx="385">
                  <c:v>0.89606856607968177</c:v>
                </c:pt>
                <c:pt idx="386">
                  <c:v>0.89595155911776758</c:v>
                </c:pt>
                <c:pt idx="387">
                  <c:v>0.89577604867489624</c:v>
                </c:pt>
                <c:pt idx="388">
                  <c:v>0.89551278301058912</c:v>
                </c:pt>
                <c:pt idx="389">
                  <c:v>0.89533727256771778</c:v>
                </c:pt>
                <c:pt idx="390">
                  <c:v>0.89533727256771778</c:v>
                </c:pt>
                <c:pt idx="391">
                  <c:v>0.8951032586438894</c:v>
                </c:pt>
                <c:pt idx="392">
                  <c:v>0.89457672731527527</c:v>
                </c:pt>
                <c:pt idx="393">
                  <c:v>0.89416720294857543</c:v>
                </c:pt>
                <c:pt idx="394">
                  <c:v>0.8938746855437899</c:v>
                </c:pt>
                <c:pt idx="395">
                  <c:v>0.89364067161996141</c:v>
                </c:pt>
                <c:pt idx="396">
                  <c:v>0.89343590943661144</c:v>
                </c:pt>
                <c:pt idx="397">
                  <c:v>0.89305563681039024</c:v>
                </c:pt>
                <c:pt idx="398">
                  <c:v>0.89293862984847594</c:v>
                </c:pt>
                <c:pt idx="399">
                  <c:v>0.89261686070321189</c:v>
                </c:pt>
                <c:pt idx="400">
                  <c:v>0.89217808459603343</c:v>
                </c:pt>
                <c:pt idx="401">
                  <c:v>0.89173930848885508</c:v>
                </c:pt>
                <c:pt idx="402">
                  <c:v>0.89141753934359091</c:v>
                </c:pt>
                <c:pt idx="403">
                  <c:v>0.89121277716024105</c:v>
                </c:pt>
                <c:pt idx="404">
                  <c:v>0.89097876323641256</c:v>
                </c:pt>
                <c:pt idx="405">
                  <c:v>0.89074474931258407</c:v>
                </c:pt>
                <c:pt idx="406">
                  <c:v>0.8907740010530627</c:v>
                </c:pt>
                <c:pt idx="407">
                  <c:v>0.89056923886971273</c:v>
                </c:pt>
                <c:pt idx="408">
                  <c:v>0.88998420406014156</c:v>
                </c:pt>
                <c:pt idx="409">
                  <c:v>0.88951617621248458</c:v>
                </c:pt>
                <c:pt idx="410">
                  <c:v>0.88942842099104891</c:v>
                </c:pt>
                <c:pt idx="411">
                  <c:v>0.88957467969344184</c:v>
                </c:pt>
                <c:pt idx="412">
                  <c:v>0.88945767273152754</c:v>
                </c:pt>
                <c:pt idx="413">
                  <c:v>0.88919440706722053</c:v>
                </c:pt>
                <c:pt idx="414">
                  <c:v>0.88860937225764935</c:v>
                </c:pt>
                <c:pt idx="415">
                  <c:v>0.88834610659334234</c:v>
                </c:pt>
                <c:pt idx="416">
                  <c:v>0.88822909963142804</c:v>
                </c:pt>
                <c:pt idx="417">
                  <c:v>0.88819984789094952</c:v>
                </c:pt>
                <c:pt idx="418">
                  <c:v>0.88793658222664251</c:v>
                </c:pt>
                <c:pt idx="419">
                  <c:v>0.88720528871467852</c:v>
                </c:pt>
                <c:pt idx="420">
                  <c:v>0.88670800912654302</c:v>
                </c:pt>
                <c:pt idx="421">
                  <c:v>0.8870590300122857</c:v>
                </c:pt>
                <c:pt idx="422">
                  <c:v>0.88711753349324285</c:v>
                </c:pt>
                <c:pt idx="423">
                  <c:v>0.88694202305037151</c:v>
                </c:pt>
                <c:pt idx="424">
                  <c:v>0.88673726086702154</c:v>
                </c:pt>
                <c:pt idx="425">
                  <c:v>0.88638623998127886</c:v>
                </c:pt>
                <c:pt idx="426">
                  <c:v>0.886181477797929</c:v>
                </c:pt>
                <c:pt idx="427">
                  <c:v>0.89030597320540572</c:v>
                </c:pt>
                <c:pt idx="428">
                  <c:v>0.88910665184578486</c:v>
                </c:pt>
                <c:pt idx="429">
                  <c:v>0.88840461007429938</c:v>
                </c:pt>
                <c:pt idx="430">
                  <c:v>0.88773182004329254</c:v>
                </c:pt>
                <c:pt idx="431">
                  <c:v>0.88723454045515704</c:v>
                </c:pt>
                <c:pt idx="432">
                  <c:v>0.8870590300122857</c:v>
                </c:pt>
                <c:pt idx="433">
                  <c:v>0.88697127479085003</c:v>
                </c:pt>
                <c:pt idx="434">
                  <c:v>0.88662025390510735</c:v>
                </c:pt>
                <c:pt idx="435">
                  <c:v>0.88609372257649333</c:v>
                </c:pt>
                <c:pt idx="436">
                  <c:v>0.88565494646931497</c:v>
                </c:pt>
                <c:pt idx="437">
                  <c:v>0.88524542210261514</c:v>
                </c:pt>
                <c:pt idx="438">
                  <c:v>0.88498215643830813</c:v>
                </c:pt>
                <c:pt idx="439">
                  <c:v>0.88477739425495816</c:v>
                </c:pt>
                <c:pt idx="440">
                  <c:v>0.88439712162873696</c:v>
                </c:pt>
                <c:pt idx="441">
                  <c:v>0.88395834552155861</c:v>
                </c:pt>
                <c:pt idx="442">
                  <c:v>0.88366582811677297</c:v>
                </c:pt>
                <c:pt idx="443">
                  <c:v>0.88346106593342311</c:v>
                </c:pt>
                <c:pt idx="444">
                  <c:v>0.88360732463581582</c:v>
                </c:pt>
                <c:pt idx="445">
                  <c:v>0.88313929678815883</c:v>
                </c:pt>
                <c:pt idx="446">
                  <c:v>0.88272977242145911</c:v>
                </c:pt>
                <c:pt idx="447">
                  <c:v>0.88232024805475928</c:v>
                </c:pt>
                <c:pt idx="448">
                  <c:v>0.88220324109284498</c:v>
                </c:pt>
                <c:pt idx="449">
                  <c:v>0.88217398935236646</c:v>
                </c:pt>
                <c:pt idx="450">
                  <c:v>0.88018487099982445</c:v>
                </c:pt>
                <c:pt idx="451">
                  <c:v>0.8808576610308313</c:v>
                </c:pt>
                <c:pt idx="452">
                  <c:v>0.87957058444977476</c:v>
                </c:pt>
                <c:pt idx="453">
                  <c:v>0.87834201134967538</c:v>
                </c:pt>
                <c:pt idx="454">
                  <c:v>0.87766922131866854</c:v>
                </c:pt>
                <c:pt idx="455">
                  <c:v>0.87679166910431172</c:v>
                </c:pt>
                <c:pt idx="456">
                  <c:v>0.87632364125665474</c:v>
                </c:pt>
                <c:pt idx="457">
                  <c:v>0.87521207511846955</c:v>
                </c:pt>
                <c:pt idx="458">
                  <c:v>0.87597262037091217</c:v>
                </c:pt>
                <c:pt idx="459">
                  <c:v>0.87591411688995491</c:v>
                </c:pt>
                <c:pt idx="460">
                  <c:v>0.87559234774469086</c:v>
                </c:pt>
                <c:pt idx="461">
                  <c:v>0.87532908208038374</c:v>
                </c:pt>
                <c:pt idx="462">
                  <c:v>0.87524132685894807</c:v>
                </c:pt>
                <c:pt idx="463">
                  <c:v>0.87550459252325508</c:v>
                </c:pt>
                <c:pt idx="464">
                  <c:v>0.87623588603521907</c:v>
                </c:pt>
                <c:pt idx="465">
                  <c:v>0.87623588603521907</c:v>
                </c:pt>
                <c:pt idx="466">
                  <c:v>0.87597262037091217</c:v>
                </c:pt>
                <c:pt idx="467">
                  <c:v>0.87579710992804072</c:v>
                </c:pt>
                <c:pt idx="468">
                  <c:v>0.87573860644708357</c:v>
                </c:pt>
                <c:pt idx="469">
                  <c:v>0.87573860644708357</c:v>
                </c:pt>
                <c:pt idx="470">
                  <c:v>0.87553384426373371</c:v>
                </c:pt>
                <c:pt idx="471">
                  <c:v>0.8751535716375124</c:v>
                </c:pt>
                <c:pt idx="472">
                  <c:v>0.87500731293511969</c:v>
                </c:pt>
                <c:pt idx="473">
                  <c:v>0.87518282337799103</c:v>
                </c:pt>
                <c:pt idx="474">
                  <c:v>0.87506581641607672</c:v>
                </c:pt>
                <c:pt idx="475">
                  <c:v>0.87480255075176971</c:v>
                </c:pt>
                <c:pt idx="476">
                  <c:v>0.87448078160650555</c:v>
                </c:pt>
                <c:pt idx="477">
                  <c:v>0.87407125723980572</c:v>
                </c:pt>
                <c:pt idx="478">
                  <c:v>0.87395425027789153</c:v>
                </c:pt>
                <c:pt idx="479">
                  <c:v>0.87401275375884868</c:v>
                </c:pt>
                <c:pt idx="480">
                  <c:v>0.87389574679693438</c:v>
                </c:pt>
                <c:pt idx="481">
                  <c:v>0.87339846720879899</c:v>
                </c:pt>
                <c:pt idx="482">
                  <c:v>0.87307669806353483</c:v>
                </c:pt>
                <c:pt idx="483">
                  <c:v>0.87295969110162053</c:v>
                </c:pt>
                <c:pt idx="484">
                  <c:v>0.87284268413970623</c:v>
                </c:pt>
                <c:pt idx="485">
                  <c:v>0.87099982448955715</c:v>
                </c:pt>
                <c:pt idx="486">
                  <c:v>0.86942023050371497</c:v>
                </c:pt>
                <c:pt idx="487">
                  <c:v>0.86874744047270813</c:v>
                </c:pt>
                <c:pt idx="488">
                  <c:v>0.8693324752822793</c:v>
                </c:pt>
                <c:pt idx="489">
                  <c:v>0.86997601357280763</c:v>
                </c:pt>
                <c:pt idx="490">
                  <c:v>0.87015152401567897</c:v>
                </c:pt>
                <c:pt idx="491">
                  <c:v>0.86982975487041481</c:v>
                </c:pt>
                <c:pt idx="492">
                  <c:v>0.86988825835137185</c:v>
                </c:pt>
                <c:pt idx="493">
                  <c:v>0.86950798572515064</c:v>
                </c:pt>
                <c:pt idx="494">
                  <c:v>0.86912771309892933</c:v>
                </c:pt>
                <c:pt idx="495">
                  <c:v>0.8688351956941438</c:v>
                </c:pt>
                <c:pt idx="496">
                  <c:v>0.86889369917510095</c:v>
                </c:pt>
                <c:pt idx="497">
                  <c:v>0.86874744047270813</c:v>
                </c:pt>
                <c:pt idx="498">
                  <c:v>0.86865968525127246</c:v>
                </c:pt>
                <c:pt idx="499">
                  <c:v>0.86822090914409411</c:v>
                </c:pt>
                <c:pt idx="500">
                  <c:v>0.86807465044170129</c:v>
                </c:pt>
                <c:pt idx="501">
                  <c:v>0.8679576434797871</c:v>
                </c:pt>
                <c:pt idx="502">
                  <c:v>0.8678406365178728</c:v>
                </c:pt>
                <c:pt idx="503">
                  <c:v>0.86708009126543029</c:v>
                </c:pt>
                <c:pt idx="504">
                  <c:v>0.86725560170830163</c:v>
                </c:pt>
                <c:pt idx="505">
                  <c:v>0.86772362955595861</c:v>
                </c:pt>
                <c:pt idx="506">
                  <c:v>0.86748961563213012</c:v>
                </c:pt>
                <c:pt idx="507">
                  <c:v>0.86716784648686596</c:v>
                </c:pt>
                <c:pt idx="508">
                  <c:v>0.8669630843035161</c:v>
                </c:pt>
                <c:pt idx="509">
                  <c:v>0.86681682560112328</c:v>
                </c:pt>
                <c:pt idx="510">
                  <c:v>0.8668460773416018</c:v>
                </c:pt>
                <c:pt idx="511">
                  <c:v>0.86661206341777341</c:v>
                </c:pt>
                <c:pt idx="512">
                  <c:v>0.86631954601298777</c:v>
                </c:pt>
                <c:pt idx="513">
                  <c:v>0.86608553208915928</c:v>
                </c:pt>
                <c:pt idx="514">
                  <c:v>0.86588076990580942</c:v>
                </c:pt>
                <c:pt idx="515">
                  <c:v>0.86567600772245956</c:v>
                </c:pt>
                <c:pt idx="516">
                  <c:v>0.86552974902006663</c:v>
                </c:pt>
                <c:pt idx="517">
                  <c:v>0.86526648335575962</c:v>
                </c:pt>
                <c:pt idx="518">
                  <c:v>0.86514947639384543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D6-408B-A9A9-C795D6619221}"/>
            </c:ext>
          </c:extLst>
        </c:ser>
        <c:ser>
          <c:idx val="4"/>
          <c:order val="4"/>
          <c:tx>
            <c:v>450-2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'G11E-V1.2-PreA-0.5C_0.5C循环 25℃'!$AQ$3:$AQ$520</c:f>
              <c:numCache>
                <c:formatCode>General</c:formatCode>
                <c:ptCount val="5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</c:numCache>
            </c:numRef>
          </c:xVal>
          <c:yVal>
            <c:numRef>
              <c:f>'G11E-V1.2-PreA-0.5C_0.5C循环 25℃'!$AU$3:$AU$520</c:f>
              <c:numCache>
                <c:formatCode>0.00%</c:formatCode>
                <c:ptCount val="518"/>
                <c:pt idx="0">
                  <c:v>1</c:v>
                </c:pt>
                <c:pt idx="1">
                  <c:v>1.0006496766382187</c:v>
                </c:pt>
                <c:pt idx="2">
                  <c:v>1.0002362460502614</c:v>
                </c:pt>
                <c:pt idx="3">
                  <c:v>1.0005020228568056</c:v>
                </c:pt>
                <c:pt idx="4">
                  <c:v>1.0004134305879575</c:v>
                </c:pt>
                <c:pt idx="5">
                  <c:v>1.0005610843693706</c:v>
                </c:pt>
                <c:pt idx="6">
                  <c:v>1.0005315536130881</c:v>
                </c:pt>
                <c:pt idx="7">
                  <c:v>0.99997046924371735</c:v>
                </c:pt>
                <c:pt idx="8">
                  <c:v>0.9997637539497386</c:v>
                </c:pt>
                <c:pt idx="9">
                  <c:v>0.99943891563062937</c:v>
                </c:pt>
                <c:pt idx="10">
                  <c:v>0.99940938487434672</c:v>
                </c:pt>
                <c:pt idx="11">
                  <c:v>0.99935032336178131</c:v>
                </c:pt>
                <c:pt idx="12">
                  <c:v>0.99878923899241068</c:v>
                </c:pt>
                <c:pt idx="13">
                  <c:v>0.99864158521099722</c:v>
                </c:pt>
                <c:pt idx="14">
                  <c:v>0.99825768537932269</c:v>
                </c:pt>
                <c:pt idx="15">
                  <c:v>0.99822815462303982</c:v>
                </c:pt>
                <c:pt idx="16">
                  <c:v>0.99816909311047464</c:v>
                </c:pt>
                <c:pt idx="17">
                  <c:v>0.99808050084162658</c:v>
                </c:pt>
                <c:pt idx="18">
                  <c:v>0.99813956235419177</c:v>
                </c:pt>
                <c:pt idx="19">
                  <c:v>0.99769660100995172</c:v>
                </c:pt>
                <c:pt idx="20">
                  <c:v>0.99692880134660256</c:v>
                </c:pt>
                <c:pt idx="21">
                  <c:v>0.99616100168325306</c:v>
                </c:pt>
                <c:pt idx="22">
                  <c:v>0.99568850958273036</c:v>
                </c:pt>
                <c:pt idx="23">
                  <c:v>0.99551132504503437</c:v>
                </c:pt>
                <c:pt idx="24">
                  <c:v>0.99551132504503437</c:v>
                </c:pt>
                <c:pt idx="25">
                  <c:v>0.99500930218822914</c:v>
                </c:pt>
                <c:pt idx="26">
                  <c:v>0.99447774857514104</c:v>
                </c:pt>
                <c:pt idx="27">
                  <c:v>0.99418244101231423</c:v>
                </c:pt>
                <c:pt idx="28">
                  <c:v>0.99400525647461824</c:v>
                </c:pt>
                <c:pt idx="29">
                  <c:v>0.99406431798718364</c:v>
                </c:pt>
                <c:pt idx="30">
                  <c:v>0.993680418155509</c:v>
                </c:pt>
                <c:pt idx="31">
                  <c:v>0.99303074151729032</c:v>
                </c:pt>
                <c:pt idx="32">
                  <c:v>0.99285355697959432</c:v>
                </c:pt>
                <c:pt idx="33">
                  <c:v>0.99288308773587697</c:v>
                </c:pt>
                <c:pt idx="34">
                  <c:v>0.99279449546702891</c:v>
                </c:pt>
                <c:pt idx="35">
                  <c:v>0.99226294185394082</c:v>
                </c:pt>
                <c:pt idx="36">
                  <c:v>0.99170185748457018</c:v>
                </c:pt>
                <c:pt idx="37">
                  <c:v>0.99131795765289554</c:v>
                </c:pt>
                <c:pt idx="38">
                  <c:v>0.9912293653840476</c:v>
                </c:pt>
                <c:pt idx="39">
                  <c:v>0.9906978117709595</c:v>
                </c:pt>
                <c:pt idx="40">
                  <c:v>0.99034344269556751</c:v>
                </c:pt>
                <c:pt idx="41">
                  <c:v>0.98954611227593536</c:v>
                </c:pt>
                <c:pt idx="42">
                  <c:v>0.98907362017541278</c:v>
                </c:pt>
                <c:pt idx="43">
                  <c:v>0.98868972034373792</c:v>
                </c:pt>
                <c:pt idx="44">
                  <c:v>0.98877831261258597</c:v>
                </c:pt>
                <c:pt idx="45">
                  <c:v>0.98863065883117274</c:v>
                </c:pt>
                <c:pt idx="46">
                  <c:v>0.98809910521808464</c:v>
                </c:pt>
                <c:pt idx="47">
                  <c:v>0.98759708236127919</c:v>
                </c:pt>
                <c:pt idx="48">
                  <c:v>0.987538020848714</c:v>
                </c:pt>
                <c:pt idx="49">
                  <c:v>0.98629772908484192</c:v>
                </c:pt>
                <c:pt idx="50">
                  <c:v>0.9846735374892952</c:v>
                </c:pt>
                <c:pt idx="51">
                  <c:v>0.98369902253196706</c:v>
                </c:pt>
                <c:pt idx="52">
                  <c:v>0.98316746891887896</c:v>
                </c:pt>
                <c:pt idx="53">
                  <c:v>0.98363996101940165</c:v>
                </c:pt>
                <c:pt idx="54">
                  <c:v>0.9845554144641645</c:v>
                </c:pt>
                <c:pt idx="55">
                  <c:v>0.98544133715264437</c:v>
                </c:pt>
                <c:pt idx="56">
                  <c:v>0.98482119127070833</c:v>
                </c:pt>
                <c:pt idx="57">
                  <c:v>0.9843191684139031</c:v>
                </c:pt>
                <c:pt idx="58">
                  <c:v>0.98452588370788174</c:v>
                </c:pt>
                <c:pt idx="59">
                  <c:v>0.9844963529515991</c:v>
                </c:pt>
                <c:pt idx="60">
                  <c:v>0.98402386085107652</c:v>
                </c:pt>
                <c:pt idx="61">
                  <c:v>0.98325606118772702</c:v>
                </c:pt>
                <c:pt idx="62">
                  <c:v>0.98275403833092179</c:v>
                </c:pt>
                <c:pt idx="63">
                  <c:v>0.98260638454950833</c:v>
                </c:pt>
                <c:pt idx="64">
                  <c:v>0.98242920001181233</c:v>
                </c:pt>
                <c:pt idx="65">
                  <c:v>0.98198623866757229</c:v>
                </c:pt>
                <c:pt idx="66">
                  <c:v>0.98151374656704971</c:v>
                </c:pt>
                <c:pt idx="67">
                  <c:v>0.98118890824794025</c:v>
                </c:pt>
                <c:pt idx="68">
                  <c:v>0.98104125446652679</c:v>
                </c:pt>
                <c:pt idx="69">
                  <c:v>0.98101172371024425</c:v>
                </c:pt>
                <c:pt idx="70">
                  <c:v>0.9809231314413962</c:v>
                </c:pt>
                <c:pt idx="71">
                  <c:v>0.98015533177804692</c:v>
                </c:pt>
                <c:pt idx="72">
                  <c:v>0.97947612438354548</c:v>
                </c:pt>
                <c:pt idx="73">
                  <c:v>0.97929893984584948</c:v>
                </c:pt>
                <c:pt idx="74">
                  <c:v>0.97894457077045738</c:v>
                </c:pt>
                <c:pt idx="75">
                  <c:v>0.97797005581312935</c:v>
                </c:pt>
                <c:pt idx="76">
                  <c:v>0.97767474825030265</c:v>
                </c:pt>
                <c:pt idx="77">
                  <c:v>0.97746803295632412</c:v>
                </c:pt>
                <c:pt idx="78">
                  <c:v>0.97708413312464948</c:v>
                </c:pt>
                <c:pt idx="79">
                  <c:v>0.97667070253669197</c:v>
                </c:pt>
                <c:pt idx="80">
                  <c:v>0.97596196438590788</c:v>
                </c:pt>
                <c:pt idx="81">
                  <c:v>0.9751941647225586</c:v>
                </c:pt>
                <c:pt idx="82">
                  <c:v>0.97613914892360398</c:v>
                </c:pt>
                <c:pt idx="83">
                  <c:v>0.97566665682308129</c:v>
                </c:pt>
                <c:pt idx="84">
                  <c:v>0.97525322623512389</c:v>
                </c:pt>
                <c:pt idx="85">
                  <c:v>0.97433777279036116</c:v>
                </c:pt>
                <c:pt idx="86">
                  <c:v>0.97359950388329453</c:v>
                </c:pt>
                <c:pt idx="87">
                  <c:v>0.97510557245371066</c:v>
                </c:pt>
                <c:pt idx="88">
                  <c:v>0.97448542657177462</c:v>
                </c:pt>
                <c:pt idx="89">
                  <c:v>0.97410152674009975</c:v>
                </c:pt>
                <c:pt idx="90">
                  <c:v>0.97374715766470765</c:v>
                </c:pt>
                <c:pt idx="91">
                  <c:v>0.97336325783303312</c:v>
                </c:pt>
                <c:pt idx="92">
                  <c:v>0.97321560405161989</c:v>
                </c:pt>
                <c:pt idx="93">
                  <c:v>0.97324513480790242</c:v>
                </c:pt>
                <c:pt idx="94">
                  <c:v>0.97289076573251043</c:v>
                </c:pt>
                <c:pt idx="95">
                  <c:v>0.97244780438827039</c:v>
                </c:pt>
                <c:pt idx="96">
                  <c:v>0.97188672001889975</c:v>
                </c:pt>
                <c:pt idx="97">
                  <c:v>0.97200484304403034</c:v>
                </c:pt>
                <c:pt idx="98">
                  <c:v>0.97176859699376894</c:v>
                </c:pt>
                <c:pt idx="99">
                  <c:v>0.97170953548120376</c:v>
                </c:pt>
                <c:pt idx="100">
                  <c:v>0.97126657413696371</c:v>
                </c:pt>
                <c:pt idx="101">
                  <c:v>0.97088267430528907</c:v>
                </c:pt>
                <c:pt idx="102">
                  <c:v>0.97052830522989697</c:v>
                </c:pt>
                <c:pt idx="103">
                  <c:v>0.97070548976759308</c:v>
                </c:pt>
                <c:pt idx="104">
                  <c:v>0.97032158993591822</c:v>
                </c:pt>
                <c:pt idx="105">
                  <c:v>0.97002628237309152</c:v>
                </c:pt>
                <c:pt idx="106">
                  <c:v>0.9693470749785903</c:v>
                </c:pt>
                <c:pt idx="107">
                  <c:v>0.9689927059031983</c:v>
                </c:pt>
                <c:pt idx="108">
                  <c:v>0.96866786758408885</c:v>
                </c:pt>
                <c:pt idx="109">
                  <c:v>0.96854974455895826</c:v>
                </c:pt>
                <c:pt idx="110">
                  <c:v>0.96795912943330475</c:v>
                </c:pt>
                <c:pt idx="111">
                  <c:v>0.96739804506393412</c:v>
                </c:pt>
                <c:pt idx="112">
                  <c:v>0.96713226825739007</c:v>
                </c:pt>
                <c:pt idx="113">
                  <c:v>0.96719132976995548</c:v>
                </c:pt>
                <c:pt idx="114">
                  <c:v>0.96736851430765147</c:v>
                </c:pt>
                <c:pt idx="115">
                  <c:v>0.96725039128252066</c:v>
                </c:pt>
                <c:pt idx="116">
                  <c:v>0.96668930691315003</c:v>
                </c:pt>
                <c:pt idx="117">
                  <c:v>0.96651212237545403</c:v>
                </c:pt>
                <c:pt idx="118">
                  <c:v>0.96639399935032344</c:v>
                </c:pt>
                <c:pt idx="119">
                  <c:v>0.96624634556890998</c:v>
                </c:pt>
                <c:pt idx="120">
                  <c:v>0.96586244573723534</c:v>
                </c:pt>
                <c:pt idx="121">
                  <c:v>0.96538995363671276</c:v>
                </c:pt>
                <c:pt idx="122">
                  <c:v>0.96497652304875525</c:v>
                </c:pt>
                <c:pt idx="123">
                  <c:v>0.96503558456132066</c:v>
                </c:pt>
                <c:pt idx="124">
                  <c:v>0.96497652304875525</c:v>
                </c:pt>
                <c:pt idx="125">
                  <c:v>0.9646516847296458</c:v>
                </c:pt>
                <c:pt idx="126">
                  <c:v>0.96409060036027516</c:v>
                </c:pt>
                <c:pt idx="127">
                  <c:v>0.96379529279744858</c:v>
                </c:pt>
                <c:pt idx="128">
                  <c:v>0.96382482355373111</c:v>
                </c:pt>
                <c:pt idx="129">
                  <c:v>0.96370670052860052</c:v>
                </c:pt>
                <c:pt idx="130">
                  <c:v>0.96355904674718718</c:v>
                </c:pt>
                <c:pt idx="131">
                  <c:v>0.96302749313409908</c:v>
                </c:pt>
                <c:pt idx="132">
                  <c:v>0.96264359330242444</c:v>
                </c:pt>
                <c:pt idx="133">
                  <c:v>0.96246640876472844</c:v>
                </c:pt>
                <c:pt idx="134">
                  <c:v>0.96240734725216326</c:v>
                </c:pt>
                <c:pt idx="135">
                  <c:v>0.96234828573959785</c:v>
                </c:pt>
                <c:pt idx="136">
                  <c:v>0.96196438590792321</c:v>
                </c:pt>
                <c:pt idx="137">
                  <c:v>0.9614918938074003</c:v>
                </c:pt>
                <c:pt idx="138">
                  <c:v>0.96137377078226971</c:v>
                </c:pt>
                <c:pt idx="139">
                  <c:v>0.96122611700085636</c:v>
                </c:pt>
                <c:pt idx="140">
                  <c:v>0.9614918938074003</c:v>
                </c:pt>
                <c:pt idx="141">
                  <c:v>0.96098987095059507</c:v>
                </c:pt>
                <c:pt idx="142">
                  <c:v>0.96054690960635503</c:v>
                </c:pt>
                <c:pt idx="143">
                  <c:v>0.95800726456604557</c:v>
                </c:pt>
                <c:pt idx="144">
                  <c:v>0.96007441750583244</c:v>
                </c:pt>
                <c:pt idx="145">
                  <c:v>0.96034019431237649</c:v>
                </c:pt>
                <c:pt idx="146">
                  <c:v>0.96025160204352844</c:v>
                </c:pt>
                <c:pt idx="147">
                  <c:v>0.95995629448070163</c:v>
                </c:pt>
                <c:pt idx="148">
                  <c:v>0.95877506422939485</c:v>
                </c:pt>
                <c:pt idx="149">
                  <c:v>0.95726899565897872</c:v>
                </c:pt>
                <c:pt idx="150">
                  <c:v>0.95744618019667471</c:v>
                </c:pt>
                <c:pt idx="151">
                  <c:v>0.95694415733986948</c:v>
                </c:pt>
                <c:pt idx="152">
                  <c:v>0.95667838053332555</c:v>
                </c:pt>
                <c:pt idx="153">
                  <c:v>0.95676697280217349</c:v>
                </c:pt>
                <c:pt idx="154">
                  <c:v>0.95656025750819484</c:v>
                </c:pt>
                <c:pt idx="155">
                  <c:v>0.95632401145793344</c:v>
                </c:pt>
                <c:pt idx="156">
                  <c:v>0.95585151935741086</c:v>
                </c:pt>
                <c:pt idx="157">
                  <c:v>0.95549715028201876</c:v>
                </c:pt>
                <c:pt idx="158">
                  <c:v>0.95540855801317082</c:v>
                </c:pt>
                <c:pt idx="159">
                  <c:v>0.95396155095532009</c:v>
                </c:pt>
                <c:pt idx="160">
                  <c:v>0.95328234356081853</c:v>
                </c:pt>
                <c:pt idx="161">
                  <c:v>0.95260313616631731</c:v>
                </c:pt>
                <c:pt idx="162">
                  <c:v>0.95227829784720786</c:v>
                </c:pt>
                <c:pt idx="163">
                  <c:v>0.95266219767888249</c:v>
                </c:pt>
                <c:pt idx="164">
                  <c:v>0.9530165667542746</c:v>
                </c:pt>
                <c:pt idx="165">
                  <c:v>0.95257360541003455</c:v>
                </c:pt>
                <c:pt idx="166">
                  <c:v>0.95207158255322921</c:v>
                </c:pt>
                <c:pt idx="167">
                  <c:v>0.95171721347783722</c:v>
                </c:pt>
                <c:pt idx="168">
                  <c:v>0.95174674423411987</c:v>
                </c:pt>
                <c:pt idx="169">
                  <c:v>0.95171721347783722</c:v>
                </c:pt>
                <c:pt idx="170">
                  <c:v>0.95145143667129317</c:v>
                </c:pt>
                <c:pt idx="171">
                  <c:v>0.95089035230192254</c:v>
                </c:pt>
                <c:pt idx="172">
                  <c:v>0.95044739095768249</c:v>
                </c:pt>
                <c:pt idx="173">
                  <c:v>0.95041786020139973</c:v>
                </c:pt>
                <c:pt idx="174">
                  <c:v>0.95038832944511709</c:v>
                </c:pt>
                <c:pt idx="175">
                  <c:v>0.95024067566370363</c:v>
                </c:pt>
                <c:pt idx="176">
                  <c:v>0.94979771431946358</c:v>
                </c:pt>
                <c:pt idx="177">
                  <c:v>0.94938428373150641</c:v>
                </c:pt>
                <c:pt idx="178">
                  <c:v>0.949148037681245</c:v>
                </c:pt>
                <c:pt idx="179">
                  <c:v>0.94908897616867982</c:v>
                </c:pt>
                <c:pt idx="180">
                  <c:v>0.94882319936213577</c:v>
                </c:pt>
                <c:pt idx="181">
                  <c:v>0.94829164574904767</c:v>
                </c:pt>
                <c:pt idx="182">
                  <c:v>0.94778962289224222</c:v>
                </c:pt>
                <c:pt idx="183">
                  <c:v>0.9476419691108291</c:v>
                </c:pt>
                <c:pt idx="184">
                  <c:v>0.94755337684198104</c:v>
                </c:pt>
                <c:pt idx="185">
                  <c:v>0.94737619230428505</c:v>
                </c:pt>
                <c:pt idx="186">
                  <c:v>0.94690370020376213</c:v>
                </c:pt>
                <c:pt idx="187">
                  <c:v>0.9464016773469569</c:v>
                </c:pt>
                <c:pt idx="188">
                  <c:v>0.9461654312966955</c:v>
                </c:pt>
                <c:pt idx="189">
                  <c:v>0.94598824675899951</c:v>
                </c:pt>
                <c:pt idx="190">
                  <c:v>0.94581106222130351</c:v>
                </c:pt>
                <c:pt idx="191">
                  <c:v>0.94551575465847681</c:v>
                </c:pt>
                <c:pt idx="192">
                  <c:v>0.94510232407051942</c:v>
                </c:pt>
                <c:pt idx="193">
                  <c:v>0.94477748575141007</c:v>
                </c:pt>
                <c:pt idx="194">
                  <c:v>0.94477748575141007</c:v>
                </c:pt>
                <c:pt idx="195">
                  <c:v>0.94460030121371408</c:v>
                </c:pt>
                <c:pt idx="196">
                  <c:v>0.94442311667601808</c:v>
                </c:pt>
                <c:pt idx="197">
                  <c:v>0.94392109381921263</c:v>
                </c:pt>
                <c:pt idx="198">
                  <c:v>0.94338954020612475</c:v>
                </c:pt>
                <c:pt idx="199">
                  <c:v>0.94356672474382075</c:v>
                </c:pt>
                <c:pt idx="200">
                  <c:v>0.94365531701266869</c:v>
                </c:pt>
                <c:pt idx="201">
                  <c:v>0.94338954020612475</c:v>
                </c:pt>
                <c:pt idx="202">
                  <c:v>0.94300564037445</c:v>
                </c:pt>
                <c:pt idx="203">
                  <c:v>0.94259220978649261</c:v>
                </c:pt>
                <c:pt idx="204">
                  <c:v>0.94276939432418871</c:v>
                </c:pt>
                <c:pt idx="205">
                  <c:v>0.94297610961816725</c:v>
                </c:pt>
                <c:pt idx="206">
                  <c:v>0.94297610961816725</c:v>
                </c:pt>
                <c:pt idx="207">
                  <c:v>0.94268080205534066</c:v>
                </c:pt>
                <c:pt idx="208">
                  <c:v>0.94232643297994867</c:v>
                </c:pt>
                <c:pt idx="209">
                  <c:v>0.94206065617340462</c:v>
                </c:pt>
                <c:pt idx="210">
                  <c:v>0.94176534861057792</c:v>
                </c:pt>
                <c:pt idx="211">
                  <c:v>0.94149957180403399</c:v>
                </c:pt>
                <c:pt idx="212">
                  <c:v>0.94105661045979394</c:v>
                </c:pt>
                <c:pt idx="213">
                  <c:v>0.94052505684670584</c:v>
                </c:pt>
                <c:pt idx="214">
                  <c:v>0.94031834155272709</c:v>
                </c:pt>
                <c:pt idx="215">
                  <c:v>0.94206065617340462</c:v>
                </c:pt>
                <c:pt idx="216">
                  <c:v>0.94064317987183654</c:v>
                </c:pt>
                <c:pt idx="217">
                  <c:v>0.93949148037681252</c:v>
                </c:pt>
                <c:pt idx="218">
                  <c:v>0.93943241886424711</c:v>
                </c:pt>
                <c:pt idx="219">
                  <c:v>0.94138144877890328</c:v>
                </c:pt>
                <c:pt idx="220">
                  <c:v>0.94117473348492453</c:v>
                </c:pt>
                <c:pt idx="221">
                  <c:v>0.94028881079644455</c:v>
                </c:pt>
                <c:pt idx="222">
                  <c:v>0.93978678793963921</c:v>
                </c:pt>
                <c:pt idx="223">
                  <c:v>0.93946194962052976</c:v>
                </c:pt>
                <c:pt idx="224">
                  <c:v>0.93919617281398571</c:v>
                </c:pt>
                <c:pt idx="225">
                  <c:v>0.93798541180639639</c:v>
                </c:pt>
                <c:pt idx="226">
                  <c:v>0.93754245046215634</c:v>
                </c:pt>
                <c:pt idx="227">
                  <c:v>0.93712901987419905</c:v>
                </c:pt>
                <c:pt idx="228">
                  <c:v>0.93695183533650306</c:v>
                </c:pt>
                <c:pt idx="229">
                  <c:v>0.9368041815550896</c:v>
                </c:pt>
                <c:pt idx="230">
                  <c:v>0.93644981247969761</c:v>
                </c:pt>
                <c:pt idx="231">
                  <c:v>0.93603638189174021</c:v>
                </c:pt>
                <c:pt idx="232">
                  <c:v>0.93577060508519616</c:v>
                </c:pt>
                <c:pt idx="233">
                  <c:v>0.93559342054750017</c:v>
                </c:pt>
                <c:pt idx="234">
                  <c:v>0.93535717449723887</c:v>
                </c:pt>
                <c:pt idx="235">
                  <c:v>0.93512092844697758</c:v>
                </c:pt>
                <c:pt idx="236">
                  <c:v>0.93467796710273754</c:v>
                </c:pt>
                <c:pt idx="237">
                  <c:v>0.93441219029619349</c:v>
                </c:pt>
                <c:pt idx="238">
                  <c:v>0.93414641348964944</c:v>
                </c:pt>
                <c:pt idx="239">
                  <c:v>0.9340578212208015</c:v>
                </c:pt>
                <c:pt idx="240">
                  <c:v>0.93373298290169215</c:v>
                </c:pt>
                <c:pt idx="241">
                  <c:v>0.93343767533886546</c:v>
                </c:pt>
                <c:pt idx="242">
                  <c:v>0.93314236777603876</c:v>
                </c:pt>
                <c:pt idx="243">
                  <c:v>0.93293565248206001</c:v>
                </c:pt>
                <c:pt idx="244">
                  <c:v>0.93272893718808148</c:v>
                </c:pt>
                <c:pt idx="245">
                  <c:v>0.93249269113782007</c:v>
                </c:pt>
                <c:pt idx="246">
                  <c:v>0.93213832206242808</c:v>
                </c:pt>
                <c:pt idx="247">
                  <c:v>0.93178395298703598</c:v>
                </c:pt>
                <c:pt idx="248">
                  <c:v>0.93151817618049204</c:v>
                </c:pt>
                <c:pt idx="249">
                  <c:v>0.93137052239907869</c:v>
                </c:pt>
                <c:pt idx="250">
                  <c:v>0.9310161533236867</c:v>
                </c:pt>
                <c:pt idx="251">
                  <c:v>0.93057319197944666</c:v>
                </c:pt>
                <c:pt idx="252">
                  <c:v>0.93015976139148926</c:v>
                </c:pt>
                <c:pt idx="253">
                  <c:v>0.92980539231609727</c:v>
                </c:pt>
                <c:pt idx="254">
                  <c:v>0.92980539231609727</c:v>
                </c:pt>
                <c:pt idx="255">
                  <c:v>0.92977586155981451</c:v>
                </c:pt>
                <c:pt idx="256">
                  <c:v>0.92953961550955322</c:v>
                </c:pt>
                <c:pt idx="257">
                  <c:v>0.92924430794672652</c:v>
                </c:pt>
                <c:pt idx="258">
                  <c:v>0.92900806189646512</c:v>
                </c:pt>
                <c:pt idx="259">
                  <c:v>0.92880134660248659</c:v>
                </c:pt>
                <c:pt idx="260">
                  <c:v>0.92862416206479048</c:v>
                </c:pt>
                <c:pt idx="261">
                  <c:v>0.92835838525824654</c:v>
                </c:pt>
                <c:pt idx="262">
                  <c:v>0.9279154239140065</c:v>
                </c:pt>
                <c:pt idx="263">
                  <c:v>0.92762011635117969</c:v>
                </c:pt>
                <c:pt idx="264">
                  <c:v>0.92762011635117969</c:v>
                </c:pt>
                <c:pt idx="265">
                  <c:v>0.92753152408233175</c:v>
                </c:pt>
                <c:pt idx="266">
                  <c:v>0.92732480878835311</c:v>
                </c:pt>
                <c:pt idx="267">
                  <c:v>0.92705903198180906</c:v>
                </c:pt>
                <c:pt idx="268">
                  <c:v>0.92667513215013431</c:v>
                </c:pt>
                <c:pt idx="269">
                  <c:v>0.92605498626819838</c:v>
                </c:pt>
                <c:pt idx="270">
                  <c:v>0.92573014794908892</c:v>
                </c:pt>
                <c:pt idx="271">
                  <c:v>0.92561202492395833</c:v>
                </c:pt>
                <c:pt idx="272">
                  <c:v>0.92522812509228358</c:v>
                </c:pt>
                <c:pt idx="273">
                  <c:v>0.92484422526060894</c:v>
                </c:pt>
                <c:pt idx="274">
                  <c:v>0.92454891769778225</c:v>
                </c:pt>
                <c:pt idx="275">
                  <c:v>0.92443079467265155</c:v>
                </c:pt>
                <c:pt idx="276">
                  <c:v>0.9242240793786729</c:v>
                </c:pt>
                <c:pt idx="277">
                  <c:v>0.92381064879071562</c:v>
                </c:pt>
                <c:pt idx="278">
                  <c:v>0.92342674895904087</c:v>
                </c:pt>
                <c:pt idx="279">
                  <c:v>0.92322003366506222</c:v>
                </c:pt>
                <c:pt idx="280">
                  <c:v>0.92307237988364876</c:v>
                </c:pt>
                <c:pt idx="281">
                  <c:v>0.92292472610223553</c:v>
                </c:pt>
                <c:pt idx="282">
                  <c:v>0.92271801080825677</c:v>
                </c:pt>
                <c:pt idx="283">
                  <c:v>0.92233411097658213</c:v>
                </c:pt>
                <c:pt idx="284">
                  <c:v>0.92209786492632084</c:v>
                </c:pt>
                <c:pt idx="285">
                  <c:v>0.92186161887605944</c:v>
                </c:pt>
                <c:pt idx="286">
                  <c:v>0.9216549035820808</c:v>
                </c:pt>
                <c:pt idx="287">
                  <c:v>0.92127100375040605</c:v>
                </c:pt>
                <c:pt idx="288">
                  <c:v>0.921005226943862</c:v>
                </c:pt>
                <c:pt idx="289">
                  <c:v>0.92070991938103541</c:v>
                </c:pt>
                <c:pt idx="290">
                  <c:v>0.92059179635590471</c:v>
                </c:pt>
                <c:pt idx="291">
                  <c:v>0.92056226559962195</c:v>
                </c:pt>
                <c:pt idx="292">
                  <c:v>0.92035555030564331</c:v>
                </c:pt>
                <c:pt idx="293">
                  <c:v>0.92006024274281661</c:v>
                </c:pt>
                <c:pt idx="294">
                  <c:v>0.91985352744883797</c:v>
                </c:pt>
                <c:pt idx="295">
                  <c:v>0.91955821988601127</c:v>
                </c:pt>
                <c:pt idx="296">
                  <c:v>0.91935150459203263</c:v>
                </c:pt>
                <c:pt idx="297">
                  <c:v>0.91914478929805399</c:v>
                </c:pt>
                <c:pt idx="298">
                  <c:v>0.91873135871009659</c:v>
                </c:pt>
                <c:pt idx="299">
                  <c:v>0.91852464341611784</c:v>
                </c:pt>
                <c:pt idx="300">
                  <c:v>0.91944009686088068</c:v>
                </c:pt>
                <c:pt idx="301">
                  <c:v>0.91938103534831528</c:v>
                </c:pt>
                <c:pt idx="302">
                  <c:v>0.91905619702920593</c:v>
                </c:pt>
                <c:pt idx="303">
                  <c:v>0.91858370492868324</c:v>
                </c:pt>
                <c:pt idx="304">
                  <c:v>0.91822933585329125</c:v>
                </c:pt>
                <c:pt idx="305">
                  <c:v>0.91805215131559526</c:v>
                </c:pt>
                <c:pt idx="306">
                  <c:v>0.91769778224020315</c:v>
                </c:pt>
                <c:pt idx="307">
                  <c:v>0.91734341316481116</c:v>
                </c:pt>
                <c:pt idx="308">
                  <c:v>0.91698904408941917</c:v>
                </c:pt>
                <c:pt idx="309">
                  <c:v>0.91648702123261383</c:v>
                </c:pt>
                <c:pt idx="310">
                  <c:v>0.91610312140093908</c:v>
                </c:pt>
                <c:pt idx="311">
                  <c:v>0.91577828308182974</c:v>
                </c:pt>
                <c:pt idx="312">
                  <c:v>0.91568969081298168</c:v>
                </c:pt>
                <c:pt idx="313">
                  <c:v>0.91530579098130704</c:v>
                </c:pt>
                <c:pt idx="314">
                  <c:v>0.914862829637067</c:v>
                </c:pt>
                <c:pt idx="315">
                  <c:v>0.91447892980539225</c:v>
                </c:pt>
                <c:pt idx="316">
                  <c:v>0.91444939904910971</c:v>
                </c:pt>
                <c:pt idx="317">
                  <c:v>0.91441986829282695</c:v>
                </c:pt>
                <c:pt idx="318">
                  <c:v>0.91406549921743496</c:v>
                </c:pt>
                <c:pt idx="319">
                  <c:v>0.91347488409178157</c:v>
                </c:pt>
                <c:pt idx="320">
                  <c:v>0.91315004577267223</c:v>
                </c:pt>
                <c:pt idx="321">
                  <c:v>0.91312051501638958</c:v>
                </c:pt>
                <c:pt idx="322">
                  <c:v>0.91303192274754152</c:v>
                </c:pt>
                <c:pt idx="323">
                  <c:v>0.91285473820984553</c:v>
                </c:pt>
                <c:pt idx="324">
                  <c:v>0.91250036913445354</c:v>
                </c:pt>
                <c:pt idx="325">
                  <c:v>0.9121164693027789</c:v>
                </c:pt>
                <c:pt idx="326">
                  <c:v>0.91190975400880014</c:v>
                </c:pt>
                <c:pt idx="327">
                  <c:v>0.91179163098366955</c:v>
                </c:pt>
                <c:pt idx="328">
                  <c:v>0.91152585417712551</c:v>
                </c:pt>
                <c:pt idx="329">
                  <c:v>0.91114195434545076</c:v>
                </c:pt>
                <c:pt idx="330">
                  <c:v>0.91072852375749347</c:v>
                </c:pt>
                <c:pt idx="331">
                  <c:v>0.91055133921979747</c:v>
                </c:pt>
                <c:pt idx="332">
                  <c:v>0.91049227770723207</c:v>
                </c:pt>
                <c:pt idx="333">
                  <c:v>0.91031509316953607</c:v>
                </c:pt>
                <c:pt idx="334">
                  <c:v>0.90996072409414408</c:v>
                </c:pt>
                <c:pt idx="335">
                  <c:v>0.90954729350618668</c:v>
                </c:pt>
                <c:pt idx="336">
                  <c:v>0.90931104745592539</c:v>
                </c:pt>
                <c:pt idx="337">
                  <c:v>0.90925198594335999</c:v>
                </c:pt>
                <c:pt idx="338">
                  <c:v>0.90916339367451193</c:v>
                </c:pt>
                <c:pt idx="339">
                  <c:v>0.90886808611168535</c:v>
                </c:pt>
                <c:pt idx="340">
                  <c:v>0.90854324779257589</c:v>
                </c:pt>
                <c:pt idx="341">
                  <c:v>0.90827747098603195</c:v>
                </c:pt>
                <c:pt idx="342">
                  <c:v>0.90818887871718401</c:v>
                </c:pt>
                <c:pt idx="343">
                  <c:v>0.90818887871718401</c:v>
                </c:pt>
                <c:pt idx="344">
                  <c:v>0.90792310191063996</c:v>
                </c:pt>
                <c:pt idx="345">
                  <c:v>0.90748014056639992</c:v>
                </c:pt>
                <c:pt idx="346">
                  <c:v>0.90715530224729057</c:v>
                </c:pt>
                <c:pt idx="347">
                  <c:v>0.90721436375985587</c:v>
                </c:pt>
                <c:pt idx="348">
                  <c:v>0.90709624073472517</c:v>
                </c:pt>
                <c:pt idx="349">
                  <c:v>0.90691905619702917</c:v>
                </c:pt>
                <c:pt idx="350">
                  <c:v>0.90650562560907189</c:v>
                </c:pt>
                <c:pt idx="351">
                  <c:v>0.90612172577739725</c:v>
                </c:pt>
                <c:pt idx="352">
                  <c:v>0.90609219502111449</c:v>
                </c:pt>
                <c:pt idx="353">
                  <c:v>0.90606266426483184</c:v>
                </c:pt>
                <c:pt idx="354">
                  <c:v>0.90591501048341849</c:v>
                </c:pt>
                <c:pt idx="355">
                  <c:v>0.9054425183828958</c:v>
                </c:pt>
                <c:pt idx="356">
                  <c:v>0.90497002628237311</c:v>
                </c:pt>
                <c:pt idx="357">
                  <c:v>0.90467471871954641</c:v>
                </c:pt>
                <c:pt idx="358">
                  <c:v>0.90446800342556777</c:v>
                </c:pt>
                <c:pt idx="359">
                  <c:v>0.90429081888787177</c:v>
                </c:pt>
                <c:pt idx="360">
                  <c:v>0.90393644981247967</c:v>
                </c:pt>
                <c:pt idx="361">
                  <c:v>0.90370020376221838</c:v>
                </c:pt>
                <c:pt idx="362">
                  <c:v>0.90322771166169558</c:v>
                </c:pt>
                <c:pt idx="363">
                  <c:v>0.90302099636771704</c:v>
                </c:pt>
                <c:pt idx="364">
                  <c:v>0.90299146561143429</c:v>
                </c:pt>
                <c:pt idx="365">
                  <c:v>0.90275521956117299</c:v>
                </c:pt>
                <c:pt idx="366">
                  <c:v>0.90254850426719424</c:v>
                </c:pt>
                <c:pt idx="367">
                  <c:v>0.90228272746065019</c:v>
                </c:pt>
                <c:pt idx="368">
                  <c:v>0.90219413519180225</c:v>
                </c:pt>
                <c:pt idx="369">
                  <c:v>0.90219413519180225</c:v>
                </c:pt>
                <c:pt idx="370">
                  <c:v>0.90192835838525831</c:v>
                </c:pt>
                <c:pt idx="371">
                  <c:v>0.90157398930986632</c:v>
                </c:pt>
                <c:pt idx="372">
                  <c:v>0.90119008947819157</c:v>
                </c:pt>
                <c:pt idx="373">
                  <c:v>0.90095384342793017</c:v>
                </c:pt>
                <c:pt idx="374">
                  <c:v>0.90086525115908223</c:v>
                </c:pt>
                <c:pt idx="375">
                  <c:v>0.8994182441012315</c:v>
                </c:pt>
                <c:pt idx="376">
                  <c:v>0.8989457520007087</c:v>
                </c:pt>
                <c:pt idx="377">
                  <c:v>0.89870950595044741</c:v>
                </c:pt>
                <c:pt idx="378">
                  <c:v>0.89865044443788211</c:v>
                </c:pt>
                <c:pt idx="379">
                  <c:v>0.89847325990018612</c:v>
                </c:pt>
                <c:pt idx="380">
                  <c:v>0.89811889082479401</c:v>
                </c:pt>
                <c:pt idx="381">
                  <c:v>0.89776452174940202</c:v>
                </c:pt>
                <c:pt idx="382">
                  <c:v>0.89752827569914073</c:v>
                </c:pt>
                <c:pt idx="383">
                  <c:v>0.89746921418657533</c:v>
                </c:pt>
                <c:pt idx="384">
                  <c:v>0.89741015267400992</c:v>
                </c:pt>
                <c:pt idx="385">
                  <c:v>0.89723296813631392</c:v>
                </c:pt>
                <c:pt idx="386">
                  <c:v>0.89693766057348734</c:v>
                </c:pt>
                <c:pt idx="387">
                  <c:v>0.89667188376694329</c:v>
                </c:pt>
                <c:pt idx="388">
                  <c:v>0.89664235301066064</c:v>
                </c:pt>
                <c:pt idx="389">
                  <c:v>0.89652422998552994</c:v>
                </c:pt>
                <c:pt idx="390">
                  <c:v>0.8960812686412899</c:v>
                </c:pt>
                <c:pt idx="391">
                  <c:v>0.8957268995658979</c:v>
                </c:pt>
                <c:pt idx="392">
                  <c:v>0.89534299973422315</c:v>
                </c:pt>
                <c:pt idx="393">
                  <c:v>0.89516581519652716</c:v>
                </c:pt>
                <c:pt idx="394">
                  <c:v>0.89490003838998311</c:v>
                </c:pt>
                <c:pt idx="395">
                  <c:v>0.89454566931459123</c:v>
                </c:pt>
                <c:pt idx="396">
                  <c:v>0.89433895402061248</c:v>
                </c:pt>
                <c:pt idx="397">
                  <c:v>0.89416176948291648</c:v>
                </c:pt>
                <c:pt idx="398">
                  <c:v>0.89365974662611114</c:v>
                </c:pt>
                <c:pt idx="399">
                  <c:v>0.89336443906328444</c:v>
                </c:pt>
                <c:pt idx="400">
                  <c:v>0.89312819301302304</c:v>
                </c:pt>
                <c:pt idx="401">
                  <c:v>0.89271476242506576</c:v>
                </c:pt>
                <c:pt idx="402">
                  <c:v>0.89259663939993505</c:v>
                </c:pt>
                <c:pt idx="403">
                  <c:v>0.89230133183710836</c:v>
                </c:pt>
                <c:pt idx="404">
                  <c:v>0.89224227032454295</c:v>
                </c:pt>
                <c:pt idx="405">
                  <c:v>0.89209461654312971</c:v>
                </c:pt>
                <c:pt idx="406">
                  <c:v>0.89168118595517232</c:v>
                </c:pt>
                <c:pt idx="407">
                  <c:v>0.89120869385464963</c:v>
                </c:pt>
                <c:pt idx="408">
                  <c:v>0.89097244780438822</c:v>
                </c:pt>
                <c:pt idx="409">
                  <c:v>0.89106104007323628</c:v>
                </c:pt>
                <c:pt idx="410">
                  <c:v>0.89103150931695352</c:v>
                </c:pt>
                <c:pt idx="411">
                  <c:v>0.89085432477925763</c:v>
                </c:pt>
                <c:pt idx="412">
                  <c:v>0.89032277116616965</c:v>
                </c:pt>
                <c:pt idx="413">
                  <c:v>0.8898798098219296</c:v>
                </c:pt>
                <c:pt idx="414">
                  <c:v>0.88982074830936431</c:v>
                </c:pt>
                <c:pt idx="415">
                  <c:v>0.88982074830936431</c:v>
                </c:pt>
                <c:pt idx="416">
                  <c:v>0.8896435637716682</c:v>
                </c:pt>
                <c:pt idx="417">
                  <c:v>0.88902341788973216</c:v>
                </c:pt>
                <c:pt idx="418">
                  <c:v>0.88840327200779612</c:v>
                </c:pt>
                <c:pt idx="419">
                  <c:v>0.88858045654549211</c:v>
                </c:pt>
                <c:pt idx="420">
                  <c:v>0.88872811032690546</c:v>
                </c:pt>
                <c:pt idx="421">
                  <c:v>0.88855092578920947</c:v>
                </c:pt>
                <c:pt idx="422">
                  <c:v>0.88837374125151347</c:v>
                </c:pt>
                <c:pt idx="423">
                  <c:v>0.88813749520125207</c:v>
                </c:pt>
                <c:pt idx="424">
                  <c:v>0.88781265688214273</c:v>
                </c:pt>
                <c:pt idx="425">
                  <c:v>0.88775359536957743</c:v>
                </c:pt>
                <c:pt idx="426">
                  <c:v>0.89176977822402037</c:v>
                </c:pt>
                <c:pt idx="427">
                  <c:v>0.89079526326669223</c:v>
                </c:pt>
                <c:pt idx="428">
                  <c:v>0.89017511738475619</c:v>
                </c:pt>
                <c:pt idx="429">
                  <c:v>0.88961403301538555</c:v>
                </c:pt>
                <c:pt idx="430">
                  <c:v>0.88908247940229745</c:v>
                </c:pt>
                <c:pt idx="431">
                  <c:v>0.88881670259575341</c:v>
                </c:pt>
                <c:pt idx="432">
                  <c:v>0.88872811032690546</c:v>
                </c:pt>
                <c:pt idx="433">
                  <c:v>0.88843280276407888</c:v>
                </c:pt>
                <c:pt idx="434">
                  <c:v>0.88790124915099078</c:v>
                </c:pt>
                <c:pt idx="435">
                  <c:v>0.88748781856303338</c:v>
                </c:pt>
                <c:pt idx="436">
                  <c:v>0.8870743879750761</c:v>
                </c:pt>
                <c:pt idx="437">
                  <c:v>0.88695626494994539</c:v>
                </c:pt>
                <c:pt idx="438">
                  <c:v>0.8867790804122494</c:v>
                </c:pt>
                <c:pt idx="439">
                  <c:v>0.88639518058057465</c:v>
                </c:pt>
                <c:pt idx="440">
                  <c:v>0.88598174999261725</c:v>
                </c:pt>
                <c:pt idx="441">
                  <c:v>0.88562738091722526</c:v>
                </c:pt>
                <c:pt idx="442">
                  <c:v>0.88553878864837721</c:v>
                </c:pt>
                <c:pt idx="443">
                  <c:v>0.88539113486696397</c:v>
                </c:pt>
                <c:pt idx="444">
                  <c:v>0.88497770427900657</c:v>
                </c:pt>
                <c:pt idx="445">
                  <c:v>0.88459380444733182</c:v>
                </c:pt>
                <c:pt idx="446">
                  <c:v>0.88418037385937454</c:v>
                </c:pt>
                <c:pt idx="447">
                  <c:v>0.88403272007796119</c:v>
                </c:pt>
                <c:pt idx="448">
                  <c:v>0.88403272007796119</c:v>
                </c:pt>
                <c:pt idx="449">
                  <c:v>0.8836192894900039</c:v>
                </c:pt>
                <c:pt idx="450">
                  <c:v>0.88196556713817442</c:v>
                </c:pt>
                <c:pt idx="451">
                  <c:v>0.88178838260047843</c:v>
                </c:pt>
                <c:pt idx="452">
                  <c:v>0.88042996781147564</c:v>
                </c:pt>
                <c:pt idx="453">
                  <c:v>0.87986888344210501</c:v>
                </c:pt>
                <c:pt idx="454">
                  <c:v>0.87904202226619021</c:v>
                </c:pt>
                <c:pt idx="455">
                  <c:v>0.87853999940938488</c:v>
                </c:pt>
                <c:pt idx="456">
                  <c:v>0.87836281487168888</c:v>
                </c:pt>
                <c:pt idx="457">
                  <c:v>0.87836281487168888</c:v>
                </c:pt>
                <c:pt idx="458">
                  <c:v>0.87818563033399288</c:v>
                </c:pt>
                <c:pt idx="459">
                  <c:v>0.87797891504001424</c:v>
                </c:pt>
                <c:pt idx="460">
                  <c:v>0.87765407672090479</c:v>
                </c:pt>
                <c:pt idx="461">
                  <c:v>0.87756548445205684</c:v>
                </c:pt>
                <c:pt idx="462">
                  <c:v>0.87765407672090479</c:v>
                </c:pt>
                <c:pt idx="463">
                  <c:v>0.87815609957771013</c:v>
                </c:pt>
                <c:pt idx="464">
                  <c:v>0.87824469184655818</c:v>
                </c:pt>
                <c:pt idx="465">
                  <c:v>0.87803797655257954</c:v>
                </c:pt>
                <c:pt idx="466">
                  <c:v>0.87780173050231824</c:v>
                </c:pt>
                <c:pt idx="467">
                  <c:v>0.87780173050231824</c:v>
                </c:pt>
                <c:pt idx="468">
                  <c:v>0.87777219974603549</c:v>
                </c:pt>
                <c:pt idx="469">
                  <c:v>0.8775359536957742</c:v>
                </c:pt>
                <c:pt idx="470">
                  <c:v>0.87721111537666474</c:v>
                </c:pt>
                <c:pt idx="471">
                  <c:v>0.87706346159525139</c:v>
                </c:pt>
                <c:pt idx="472">
                  <c:v>0.87706346159525139</c:v>
                </c:pt>
                <c:pt idx="473">
                  <c:v>0.87706346159525139</c:v>
                </c:pt>
                <c:pt idx="474">
                  <c:v>0.8768272155449901</c:v>
                </c:pt>
                <c:pt idx="475">
                  <c:v>0.87650237722588076</c:v>
                </c:pt>
                <c:pt idx="476">
                  <c:v>0.87611847739420601</c:v>
                </c:pt>
                <c:pt idx="477">
                  <c:v>0.87600035436907542</c:v>
                </c:pt>
                <c:pt idx="478">
                  <c:v>0.87602988512535807</c:v>
                </c:pt>
                <c:pt idx="479">
                  <c:v>0.87591176210022748</c:v>
                </c:pt>
                <c:pt idx="480">
                  <c:v>0.87549833151226997</c:v>
                </c:pt>
                <c:pt idx="481">
                  <c:v>0.87517349319316062</c:v>
                </c:pt>
                <c:pt idx="482">
                  <c:v>0.87496677789918209</c:v>
                </c:pt>
                <c:pt idx="483">
                  <c:v>0.87493724714289933</c:v>
                </c:pt>
                <c:pt idx="484">
                  <c:v>0.87357883235389666</c:v>
                </c:pt>
                <c:pt idx="485">
                  <c:v>0.87192511000206718</c:v>
                </c:pt>
                <c:pt idx="486">
                  <c:v>0.87133449487641379</c:v>
                </c:pt>
                <c:pt idx="487">
                  <c:v>0.87139355638897908</c:v>
                </c:pt>
                <c:pt idx="488">
                  <c:v>0.87216135605232847</c:v>
                </c:pt>
                <c:pt idx="489">
                  <c:v>0.87230900983374193</c:v>
                </c:pt>
                <c:pt idx="490">
                  <c:v>0.87210229453976318</c:v>
                </c:pt>
                <c:pt idx="491">
                  <c:v>0.87201370227091513</c:v>
                </c:pt>
                <c:pt idx="492">
                  <c:v>0.87177745622065383</c:v>
                </c:pt>
                <c:pt idx="493">
                  <c:v>0.87142308714526184</c:v>
                </c:pt>
                <c:pt idx="494">
                  <c:v>0.87112777958243504</c:v>
                </c:pt>
                <c:pt idx="495">
                  <c:v>0.87106871806986974</c:v>
                </c:pt>
                <c:pt idx="496">
                  <c:v>0.87103918731358709</c:v>
                </c:pt>
                <c:pt idx="497">
                  <c:v>0.8708620027758911</c:v>
                </c:pt>
                <c:pt idx="498">
                  <c:v>0.87050763370049911</c:v>
                </c:pt>
                <c:pt idx="499">
                  <c:v>0.87030091840652035</c:v>
                </c:pt>
                <c:pt idx="500">
                  <c:v>0.87009420311254171</c:v>
                </c:pt>
                <c:pt idx="501">
                  <c:v>0.87003514159997641</c:v>
                </c:pt>
                <c:pt idx="502">
                  <c:v>0.86968077252458431</c:v>
                </c:pt>
                <c:pt idx="503">
                  <c:v>0.86923781118034427</c:v>
                </c:pt>
                <c:pt idx="504">
                  <c:v>0.86991701857484571</c:v>
                </c:pt>
                <c:pt idx="505">
                  <c:v>0.86965124176830177</c:v>
                </c:pt>
                <c:pt idx="506">
                  <c:v>0.86938546496175773</c:v>
                </c:pt>
                <c:pt idx="507">
                  <c:v>0.86911968815521368</c:v>
                </c:pt>
                <c:pt idx="508">
                  <c:v>0.86888344210495227</c:v>
                </c:pt>
                <c:pt idx="509">
                  <c:v>0.86891297286123492</c:v>
                </c:pt>
                <c:pt idx="510">
                  <c:v>0.86876531907982169</c:v>
                </c:pt>
                <c:pt idx="511">
                  <c:v>0.86852907302956039</c:v>
                </c:pt>
                <c:pt idx="512">
                  <c:v>0.86829282697929888</c:v>
                </c:pt>
                <c:pt idx="513">
                  <c:v>0.86814517319788564</c:v>
                </c:pt>
                <c:pt idx="514">
                  <c:v>0.86784986563505895</c:v>
                </c:pt>
                <c:pt idx="515">
                  <c:v>0.86773174260992825</c:v>
                </c:pt>
                <c:pt idx="516">
                  <c:v>0.86749549655966696</c:v>
                </c:pt>
                <c:pt idx="517">
                  <c:v>0.86731831202197096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D6-408B-A9A9-C795D6619221}"/>
            </c:ext>
          </c:extLst>
        </c:ser>
        <c:ser>
          <c:idx val="5"/>
          <c:order val="5"/>
          <c:tx>
            <c:v>450-3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'G11E-V1.2-PreA-0.5C_0.5C循环 25℃'!$AX$3:$AX$509</c:f>
              <c:numCache>
                <c:formatCode>General</c:formatCode>
                <c:ptCount val="50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</c:numCache>
            </c:numRef>
          </c:xVal>
          <c:yVal>
            <c:numRef>
              <c:f>'G11E-V1.2-PreA-0.5C_0.5C循环 25℃'!$BB$3:$BB$509</c:f>
              <c:numCache>
                <c:formatCode>0.00%</c:formatCode>
                <c:ptCount val="507"/>
                <c:pt idx="0">
                  <c:v>1</c:v>
                </c:pt>
                <c:pt idx="1">
                  <c:v>1.0004952802703648</c:v>
                </c:pt>
                <c:pt idx="2">
                  <c:v>1.0000874024006525</c:v>
                </c:pt>
                <c:pt idx="3">
                  <c:v>1.0001456706677545</c:v>
                </c:pt>
                <c:pt idx="4">
                  <c:v>0.99997086586644923</c:v>
                </c:pt>
                <c:pt idx="5">
                  <c:v>1.0000582682671018</c:v>
                </c:pt>
                <c:pt idx="6">
                  <c:v>0.9998834634657966</c:v>
                </c:pt>
                <c:pt idx="7">
                  <c:v>0.99944645146253352</c:v>
                </c:pt>
                <c:pt idx="8">
                  <c:v>0.99918424426057573</c:v>
                </c:pt>
                <c:pt idx="9">
                  <c:v>0.99868896399021112</c:v>
                </c:pt>
                <c:pt idx="10">
                  <c:v>0.99877636639086353</c:v>
                </c:pt>
                <c:pt idx="11">
                  <c:v>0.99842675678825321</c:v>
                </c:pt>
                <c:pt idx="12">
                  <c:v>0.99813541545274442</c:v>
                </c:pt>
                <c:pt idx="13">
                  <c:v>0.99801887891854102</c:v>
                </c:pt>
                <c:pt idx="14">
                  <c:v>0.99766926931593058</c:v>
                </c:pt>
                <c:pt idx="15">
                  <c:v>0.99775667171658322</c:v>
                </c:pt>
                <c:pt idx="16">
                  <c:v>0.99746533038107454</c:v>
                </c:pt>
                <c:pt idx="17">
                  <c:v>0.99746533038107454</c:v>
                </c:pt>
                <c:pt idx="18">
                  <c:v>0.99755273278172718</c:v>
                </c:pt>
                <c:pt idx="19">
                  <c:v>0.99720312317911675</c:v>
                </c:pt>
                <c:pt idx="20">
                  <c:v>0.99627083090548885</c:v>
                </c:pt>
                <c:pt idx="21">
                  <c:v>0.99539680689896282</c:v>
                </c:pt>
                <c:pt idx="22">
                  <c:v>0.9950471972963526</c:v>
                </c:pt>
                <c:pt idx="23">
                  <c:v>0.9950471972963526</c:v>
                </c:pt>
                <c:pt idx="24">
                  <c:v>0.99493066076214898</c:v>
                </c:pt>
                <c:pt idx="25">
                  <c:v>0.9945227828924369</c:v>
                </c:pt>
                <c:pt idx="26">
                  <c:v>0.99402750262207207</c:v>
                </c:pt>
                <c:pt idx="27">
                  <c:v>0.99408577088917383</c:v>
                </c:pt>
                <c:pt idx="28">
                  <c:v>0.99385269782076691</c:v>
                </c:pt>
                <c:pt idx="29">
                  <c:v>0.99388183195431767</c:v>
                </c:pt>
                <c:pt idx="30">
                  <c:v>0.99335741755040197</c:v>
                </c:pt>
                <c:pt idx="31">
                  <c:v>0.99294953968069</c:v>
                </c:pt>
                <c:pt idx="32">
                  <c:v>0.99289127141358813</c:v>
                </c:pt>
                <c:pt idx="33">
                  <c:v>0.99289127141358813</c:v>
                </c:pt>
                <c:pt idx="34">
                  <c:v>0.9926873324787322</c:v>
                </c:pt>
                <c:pt idx="35">
                  <c:v>0.99219205220836726</c:v>
                </c:pt>
                <c:pt idx="36">
                  <c:v>0.99166763780445166</c:v>
                </c:pt>
                <c:pt idx="37">
                  <c:v>0.99128889406829046</c:v>
                </c:pt>
                <c:pt idx="38">
                  <c:v>0.99120149166763782</c:v>
                </c:pt>
                <c:pt idx="39">
                  <c:v>0.99096841859923102</c:v>
                </c:pt>
                <c:pt idx="40">
                  <c:v>0.99015266285980652</c:v>
                </c:pt>
                <c:pt idx="41">
                  <c:v>0.98942430952103488</c:v>
                </c:pt>
                <c:pt idx="42">
                  <c:v>0.98922037058617884</c:v>
                </c:pt>
                <c:pt idx="43">
                  <c:v>0.98924950471972961</c:v>
                </c:pt>
                <c:pt idx="44">
                  <c:v>0.98930777298683148</c:v>
                </c:pt>
                <c:pt idx="45">
                  <c:v>0.98878335858291577</c:v>
                </c:pt>
                <c:pt idx="46">
                  <c:v>0.98837548071320358</c:v>
                </c:pt>
                <c:pt idx="47">
                  <c:v>0.98831721244610193</c:v>
                </c:pt>
                <c:pt idx="48">
                  <c:v>0.98721011537116887</c:v>
                </c:pt>
                <c:pt idx="49">
                  <c:v>0.98607388416268493</c:v>
                </c:pt>
                <c:pt idx="50">
                  <c:v>0.98487938468709946</c:v>
                </c:pt>
                <c:pt idx="51">
                  <c:v>0.98418016548187859</c:v>
                </c:pt>
                <c:pt idx="52">
                  <c:v>0.98426756788253122</c:v>
                </c:pt>
                <c:pt idx="53">
                  <c:v>0.98543293322456593</c:v>
                </c:pt>
                <c:pt idx="54">
                  <c:v>0.98659829856660064</c:v>
                </c:pt>
                <c:pt idx="55">
                  <c:v>0.98619042069688856</c:v>
                </c:pt>
                <c:pt idx="56">
                  <c:v>0.98557860389232033</c:v>
                </c:pt>
                <c:pt idx="57">
                  <c:v>0.98575340869362549</c:v>
                </c:pt>
                <c:pt idx="58">
                  <c:v>0.98575340869362549</c:v>
                </c:pt>
                <c:pt idx="59">
                  <c:v>0.98549120149166769</c:v>
                </c:pt>
                <c:pt idx="60">
                  <c:v>0.98485025055354869</c:v>
                </c:pt>
                <c:pt idx="61">
                  <c:v>0.98418016548187859</c:v>
                </c:pt>
                <c:pt idx="62">
                  <c:v>0.98394709241347178</c:v>
                </c:pt>
                <c:pt idx="63">
                  <c:v>0.98385969001281914</c:v>
                </c:pt>
                <c:pt idx="64">
                  <c:v>0.98348094627665772</c:v>
                </c:pt>
                <c:pt idx="65">
                  <c:v>0.98298566600629311</c:v>
                </c:pt>
                <c:pt idx="66">
                  <c:v>0.98260692227013169</c:v>
                </c:pt>
                <c:pt idx="67">
                  <c:v>0.98251951986947905</c:v>
                </c:pt>
                <c:pt idx="68">
                  <c:v>0.98249038573592828</c:v>
                </c:pt>
                <c:pt idx="69">
                  <c:v>0.98266519053723345</c:v>
                </c:pt>
                <c:pt idx="70">
                  <c:v>0.98190770306491104</c:v>
                </c:pt>
                <c:pt idx="71">
                  <c:v>0.9811502155925883</c:v>
                </c:pt>
                <c:pt idx="72">
                  <c:v>0.98094627665773226</c:v>
                </c:pt>
                <c:pt idx="73">
                  <c:v>0.98068406945577447</c:v>
                </c:pt>
                <c:pt idx="74">
                  <c:v>0.98065493532222348</c:v>
                </c:pt>
                <c:pt idx="75">
                  <c:v>0.9798391795827992</c:v>
                </c:pt>
                <c:pt idx="76">
                  <c:v>0.97981004544924843</c:v>
                </c:pt>
                <c:pt idx="77">
                  <c:v>0.97940216757953613</c:v>
                </c:pt>
                <c:pt idx="78">
                  <c:v>0.97899428970982416</c:v>
                </c:pt>
                <c:pt idx="79">
                  <c:v>0.97797459503554363</c:v>
                </c:pt>
                <c:pt idx="80">
                  <c:v>0.97724624169677199</c:v>
                </c:pt>
                <c:pt idx="81">
                  <c:v>0.97809113156974725</c:v>
                </c:pt>
                <c:pt idx="82">
                  <c:v>0.97762498543293319</c:v>
                </c:pt>
                <c:pt idx="83">
                  <c:v>0.97707143689546672</c:v>
                </c:pt>
                <c:pt idx="84">
                  <c:v>0.97625568115604244</c:v>
                </c:pt>
                <c:pt idx="85">
                  <c:v>0.97581866915277948</c:v>
                </c:pt>
                <c:pt idx="86">
                  <c:v>0.97718797342967012</c:v>
                </c:pt>
                <c:pt idx="87">
                  <c:v>0.97660529075865288</c:v>
                </c:pt>
                <c:pt idx="88">
                  <c:v>0.97622654702249168</c:v>
                </c:pt>
                <c:pt idx="89">
                  <c:v>0.97581866915277948</c:v>
                </c:pt>
                <c:pt idx="90">
                  <c:v>0.97546905955016905</c:v>
                </c:pt>
                <c:pt idx="91">
                  <c:v>0.97541079128306718</c:v>
                </c:pt>
                <c:pt idx="92">
                  <c:v>0.97541079128306718</c:v>
                </c:pt>
                <c:pt idx="93">
                  <c:v>0.97523598648176202</c:v>
                </c:pt>
                <c:pt idx="94">
                  <c:v>0.97479897447849917</c:v>
                </c:pt>
                <c:pt idx="95">
                  <c:v>0.9743619624752361</c:v>
                </c:pt>
                <c:pt idx="96">
                  <c:v>0.97439109660878687</c:v>
                </c:pt>
                <c:pt idx="97">
                  <c:v>0.97427456007458346</c:v>
                </c:pt>
                <c:pt idx="98">
                  <c:v>0.97418715767393094</c:v>
                </c:pt>
                <c:pt idx="99">
                  <c:v>0.97372101153711688</c:v>
                </c:pt>
                <c:pt idx="100">
                  <c:v>0.97322573126675227</c:v>
                </c:pt>
                <c:pt idx="101">
                  <c:v>0.97308006059899776</c:v>
                </c:pt>
                <c:pt idx="102">
                  <c:v>0.97313832886609963</c:v>
                </c:pt>
                <c:pt idx="103">
                  <c:v>0.97284698753059096</c:v>
                </c:pt>
                <c:pt idx="104">
                  <c:v>0.97226430485957349</c:v>
                </c:pt>
                <c:pt idx="105">
                  <c:v>0.97171075632210713</c:v>
                </c:pt>
                <c:pt idx="106">
                  <c:v>0.97144854912014922</c:v>
                </c:pt>
                <c:pt idx="107">
                  <c:v>0.97130287845239482</c:v>
                </c:pt>
                <c:pt idx="108">
                  <c:v>0.97112807365108966</c:v>
                </c:pt>
                <c:pt idx="109">
                  <c:v>0.97042885444586879</c:v>
                </c:pt>
                <c:pt idx="110">
                  <c:v>0.96996270830905496</c:v>
                </c:pt>
                <c:pt idx="111">
                  <c:v>0.96987530590840232</c:v>
                </c:pt>
                <c:pt idx="112">
                  <c:v>0.97007924484325836</c:v>
                </c:pt>
                <c:pt idx="113">
                  <c:v>0.97016664724391088</c:v>
                </c:pt>
                <c:pt idx="114">
                  <c:v>0.96981703764130056</c:v>
                </c:pt>
                <c:pt idx="115">
                  <c:v>0.96938002563803771</c:v>
                </c:pt>
                <c:pt idx="116">
                  <c:v>0.96938002563803771</c:v>
                </c:pt>
                <c:pt idx="117">
                  <c:v>0.96938002563803771</c:v>
                </c:pt>
                <c:pt idx="118">
                  <c:v>0.96926348910383409</c:v>
                </c:pt>
                <c:pt idx="119">
                  <c:v>0.96876820883346937</c:v>
                </c:pt>
                <c:pt idx="120">
                  <c:v>0.96830206269665542</c:v>
                </c:pt>
                <c:pt idx="121">
                  <c:v>0.96821466029600278</c:v>
                </c:pt>
                <c:pt idx="122">
                  <c:v>0.96818552616245201</c:v>
                </c:pt>
                <c:pt idx="123">
                  <c:v>0.9680689896282485</c:v>
                </c:pt>
                <c:pt idx="124">
                  <c:v>0.96760284349143466</c:v>
                </c:pt>
                <c:pt idx="125">
                  <c:v>0.96713669735462071</c:v>
                </c:pt>
                <c:pt idx="126">
                  <c:v>0.96696189255331544</c:v>
                </c:pt>
                <c:pt idx="127">
                  <c:v>0.96678708775201028</c:v>
                </c:pt>
                <c:pt idx="128">
                  <c:v>0.966612282950705</c:v>
                </c:pt>
                <c:pt idx="129">
                  <c:v>0.96620440508099303</c:v>
                </c:pt>
                <c:pt idx="130">
                  <c:v>0.9657382589441792</c:v>
                </c:pt>
                <c:pt idx="131">
                  <c:v>0.96559258827642469</c:v>
                </c:pt>
                <c:pt idx="132">
                  <c:v>0.96567999067707733</c:v>
                </c:pt>
                <c:pt idx="133">
                  <c:v>0.96565085654352656</c:v>
                </c:pt>
                <c:pt idx="134">
                  <c:v>0.96533038107446689</c:v>
                </c:pt>
                <c:pt idx="135">
                  <c:v>0.96489336907120382</c:v>
                </c:pt>
                <c:pt idx="136">
                  <c:v>0.96468943013634789</c:v>
                </c:pt>
                <c:pt idx="137">
                  <c:v>0.96460202773569526</c:v>
                </c:pt>
                <c:pt idx="138">
                  <c:v>0.96439808880083899</c:v>
                </c:pt>
                <c:pt idx="139">
                  <c:v>0.96401934506467779</c:v>
                </c:pt>
                <c:pt idx="140">
                  <c:v>0.96358233306141472</c:v>
                </c:pt>
                <c:pt idx="141">
                  <c:v>0.96078545624053147</c:v>
                </c:pt>
                <c:pt idx="142">
                  <c:v>0.96349493066076219</c:v>
                </c:pt>
                <c:pt idx="143">
                  <c:v>0.96390280853047439</c:v>
                </c:pt>
                <c:pt idx="144">
                  <c:v>0.96396107679757614</c:v>
                </c:pt>
                <c:pt idx="145">
                  <c:v>0.96375713786271999</c:v>
                </c:pt>
                <c:pt idx="146">
                  <c:v>0.96262090665423605</c:v>
                </c:pt>
                <c:pt idx="147">
                  <c:v>0.96107679757604014</c:v>
                </c:pt>
                <c:pt idx="148">
                  <c:v>0.96063978557277707</c:v>
                </c:pt>
                <c:pt idx="149">
                  <c:v>0.960202773569514</c:v>
                </c:pt>
                <c:pt idx="150">
                  <c:v>0.96046498077147191</c:v>
                </c:pt>
                <c:pt idx="151">
                  <c:v>0.96069805383987894</c:v>
                </c:pt>
                <c:pt idx="152">
                  <c:v>0.96066891970632784</c:v>
                </c:pt>
                <c:pt idx="153">
                  <c:v>0.96034844423726851</c:v>
                </c:pt>
                <c:pt idx="154">
                  <c:v>0.95991143223400544</c:v>
                </c:pt>
                <c:pt idx="155">
                  <c:v>0.95964922503204764</c:v>
                </c:pt>
                <c:pt idx="156">
                  <c:v>0.9594452860971916</c:v>
                </c:pt>
                <c:pt idx="157">
                  <c:v>0.95801771355319909</c:v>
                </c:pt>
                <c:pt idx="158">
                  <c:v>0.95728936021442723</c:v>
                </c:pt>
                <c:pt idx="159">
                  <c:v>0.95664840927630812</c:v>
                </c:pt>
                <c:pt idx="160">
                  <c:v>0.95653187274210472</c:v>
                </c:pt>
                <c:pt idx="161">
                  <c:v>0.95711455541312196</c:v>
                </c:pt>
                <c:pt idx="162">
                  <c:v>0.95723109194732559</c:v>
                </c:pt>
                <c:pt idx="163">
                  <c:v>0.95679407994406251</c:v>
                </c:pt>
                <c:pt idx="164">
                  <c:v>0.95638620207435032</c:v>
                </c:pt>
                <c:pt idx="165">
                  <c:v>0.95609486073884165</c:v>
                </c:pt>
                <c:pt idx="166">
                  <c:v>0.95615312900594351</c:v>
                </c:pt>
                <c:pt idx="167">
                  <c:v>0.95606572660529088</c:v>
                </c:pt>
                <c:pt idx="168">
                  <c:v>0.95571611700268044</c:v>
                </c:pt>
                <c:pt idx="169">
                  <c:v>0.95516256846521375</c:v>
                </c:pt>
                <c:pt idx="170">
                  <c:v>0.95495862953035782</c:v>
                </c:pt>
                <c:pt idx="171">
                  <c:v>0.95498776366390881</c:v>
                </c:pt>
                <c:pt idx="172">
                  <c:v>0.95501689779745957</c:v>
                </c:pt>
                <c:pt idx="173">
                  <c:v>0.95472555646195101</c:v>
                </c:pt>
                <c:pt idx="174">
                  <c:v>0.9542011420580353</c:v>
                </c:pt>
                <c:pt idx="175">
                  <c:v>0.95388066658897563</c:v>
                </c:pt>
                <c:pt idx="176">
                  <c:v>0.95376413005477223</c:v>
                </c:pt>
                <c:pt idx="177">
                  <c:v>0.95370586178767047</c:v>
                </c:pt>
                <c:pt idx="178">
                  <c:v>0.9534145204521618</c:v>
                </c:pt>
                <c:pt idx="179">
                  <c:v>0.95280270364759356</c:v>
                </c:pt>
                <c:pt idx="180">
                  <c:v>0.95245309404498313</c:v>
                </c:pt>
                <c:pt idx="181">
                  <c:v>0.95242395991143236</c:v>
                </c:pt>
                <c:pt idx="182">
                  <c:v>0.9522491551101272</c:v>
                </c:pt>
                <c:pt idx="183">
                  <c:v>0.95192867964106753</c:v>
                </c:pt>
                <c:pt idx="184">
                  <c:v>0.95134599697005029</c:v>
                </c:pt>
                <c:pt idx="185">
                  <c:v>0.95099638736743985</c:v>
                </c:pt>
                <c:pt idx="186">
                  <c:v>0.95093811910033799</c:v>
                </c:pt>
                <c:pt idx="187">
                  <c:v>0.95085071669968546</c:v>
                </c:pt>
                <c:pt idx="188">
                  <c:v>0.95058850949772755</c:v>
                </c:pt>
                <c:pt idx="189">
                  <c:v>0.95012236336091371</c:v>
                </c:pt>
                <c:pt idx="190">
                  <c:v>0.94968535135765075</c:v>
                </c:pt>
                <c:pt idx="191">
                  <c:v>0.94965621722409965</c:v>
                </c:pt>
                <c:pt idx="192">
                  <c:v>0.94953968068989625</c:v>
                </c:pt>
                <c:pt idx="193">
                  <c:v>0.94945227828924372</c:v>
                </c:pt>
                <c:pt idx="194">
                  <c:v>0.94904440041953164</c:v>
                </c:pt>
                <c:pt idx="195">
                  <c:v>0.94854912014916681</c:v>
                </c:pt>
                <c:pt idx="196">
                  <c:v>0.94872392495047198</c:v>
                </c:pt>
                <c:pt idx="197">
                  <c:v>0.94881132735112461</c:v>
                </c:pt>
                <c:pt idx="198">
                  <c:v>0.94866565668337022</c:v>
                </c:pt>
                <c:pt idx="199">
                  <c:v>0.94822864468010715</c:v>
                </c:pt>
                <c:pt idx="200">
                  <c:v>0.94782076681039518</c:v>
                </c:pt>
                <c:pt idx="201">
                  <c:v>0.94805383987880198</c:v>
                </c:pt>
                <c:pt idx="202">
                  <c:v>0.94837431534786165</c:v>
                </c:pt>
                <c:pt idx="203">
                  <c:v>0.94849085188206506</c:v>
                </c:pt>
                <c:pt idx="204">
                  <c:v>0.94825777881365814</c:v>
                </c:pt>
                <c:pt idx="205">
                  <c:v>0.9479081692110477</c:v>
                </c:pt>
                <c:pt idx="206">
                  <c:v>0.9476459620090899</c:v>
                </c:pt>
                <c:pt idx="207">
                  <c:v>0.94744202307423386</c:v>
                </c:pt>
                <c:pt idx="208">
                  <c:v>0.94715068173872508</c:v>
                </c:pt>
                <c:pt idx="209">
                  <c:v>0.94668453560191124</c:v>
                </c:pt>
                <c:pt idx="210">
                  <c:v>0.94618925533154641</c:v>
                </c:pt>
                <c:pt idx="211">
                  <c:v>0.9459561822631396</c:v>
                </c:pt>
                <c:pt idx="212">
                  <c:v>0.9472672182729287</c:v>
                </c:pt>
                <c:pt idx="213">
                  <c:v>0.9459561822631396</c:v>
                </c:pt>
                <c:pt idx="214">
                  <c:v>0.9447616827875539</c:v>
                </c:pt>
                <c:pt idx="215">
                  <c:v>0.94493648758885906</c:v>
                </c:pt>
                <c:pt idx="216">
                  <c:v>0.94683020626966563</c:v>
                </c:pt>
                <c:pt idx="217">
                  <c:v>0.94677193800256387</c:v>
                </c:pt>
                <c:pt idx="218">
                  <c:v>0.94598531639669037</c:v>
                </c:pt>
                <c:pt idx="219">
                  <c:v>0.9455483043934273</c:v>
                </c:pt>
                <c:pt idx="220">
                  <c:v>0.94514042652371533</c:v>
                </c:pt>
                <c:pt idx="221">
                  <c:v>0.94493648758885906</c:v>
                </c:pt>
                <c:pt idx="222">
                  <c:v>0.94467428038690127</c:v>
                </c:pt>
                <c:pt idx="223">
                  <c:v>0.94435380491784182</c:v>
                </c:pt>
                <c:pt idx="224">
                  <c:v>0.94394592704812963</c:v>
                </c:pt>
                <c:pt idx="225">
                  <c:v>0.94315930544225612</c:v>
                </c:pt>
                <c:pt idx="226">
                  <c:v>0.94304276890805272</c:v>
                </c:pt>
                <c:pt idx="227">
                  <c:v>0.94269315930544229</c:v>
                </c:pt>
                <c:pt idx="228">
                  <c:v>0.94231441556928108</c:v>
                </c:pt>
                <c:pt idx="229">
                  <c:v>0.94202307423377241</c:v>
                </c:pt>
                <c:pt idx="230">
                  <c:v>0.94184826943246724</c:v>
                </c:pt>
                <c:pt idx="231">
                  <c:v>0.94161519636406021</c:v>
                </c:pt>
                <c:pt idx="232">
                  <c:v>0.94126558676144978</c:v>
                </c:pt>
                <c:pt idx="233">
                  <c:v>0.94088684302528858</c:v>
                </c:pt>
                <c:pt idx="234">
                  <c:v>0.94065376995688155</c:v>
                </c:pt>
                <c:pt idx="235">
                  <c:v>0.94053723342267814</c:v>
                </c:pt>
                <c:pt idx="236">
                  <c:v>0.94042069688847474</c:v>
                </c:pt>
                <c:pt idx="237">
                  <c:v>0.94010022141941507</c:v>
                </c:pt>
                <c:pt idx="238">
                  <c:v>0.93977974595035541</c:v>
                </c:pt>
                <c:pt idx="239">
                  <c:v>0.9395466728819486</c:v>
                </c:pt>
                <c:pt idx="240">
                  <c:v>0.93937186808064344</c:v>
                </c:pt>
                <c:pt idx="241">
                  <c:v>0.93916792914578717</c:v>
                </c:pt>
                <c:pt idx="242">
                  <c:v>0.93890572194382937</c:v>
                </c:pt>
                <c:pt idx="243">
                  <c:v>0.93858524647476993</c:v>
                </c:pt>
                <c:pt idx="244">
                  <c:v>0.9382356368721595</c:v>
                </c:pt>
                <c:pt idx="245">
                  <c:v>0.9380899662044051</c:v>
                </c:pt>
                <c:pt idx="246">
                  <c:v>0.9378277590024473</c:v>
                </c:pt>
                <c:pt idx="247">
                  <c:v>0.93747814939983687</c:v>
                </c:pt>
                <c:pt idx="248">
                  <c:v>0.93701200326302303</c:v>
                </c:pt>
                <c:pt idx="249">
                  <c:v>0.93657499125975996</c:v>
                </c:pt>
                <c:pt idx="250">
                  <c:v>0.93651672299265831</c:v>
                </c:pt>
                <c:pt idx="251">
                  <c:v>0.93645845472555655</c:v>
                </c:pt>
                <c:pt idx="252">
                  <c:v>0.93625451579070051</c:v>
                </c:pt>
                <c:pt idx="253">
                  <c:v>0.93599230858874272</c:v>
                </c:pt>
                <c:pt idx="254">
                  <c:v>0.93581750378743744</c:v>
                </c:pt>
                <c:pt idx="255">
                  <c:v>0.93564269898613228</c:v>
                </c:pt>
                <c:pt idx="256">
                  <c:v>0.93549702831837789</c:v>
                </c:pt>
                <c:pt idx="257">
                  <c:v>0.93526395524997086</c:v>
                </c:pt>
                <c:pt idx="258">
                  <c:v>0.93482694324670801</c:v>
                </c:pt>
                <c:pt idx="259">
                  <c:v>0.93450646777764834</c:v>
                </c:pt>
                <c:pt idx="260">
                  <c:v>0.93450646777764834</c:v>
                </c:pt>
                <c:pt idx="261">
                  <c:v>0.93447733364409757</c:v>
                </c:pt>
                <c:pt idx="262">
                  <c:v>0.93433166297634318</c:v>
                </c:pt>
                <c:pt idx="263">
                  <c:v>0.93406945577438527</c:v>
                </c:pt>
                <c:pt idx="264">
                  <c:v>0.93369071203822407</c:v>
                </c:pt>
                <c:pt idx="265">
                  <c:v>0.93307889523365584</c:v>
                </c:pt>
                <c:pt idx="266">
                  <c:v>0.93284582216524881</c:v>
                </c:pt>
                <c:pt idx="267">
                  <c:v>0.93264188323039277</c:v>
                </c:pt>
                <c:pt idx="268">
                  <c:v>0.93223400536068068</c:v>
                </c:pt>
                <c:pt idx="269">
                  <c:v>0.93185526162451937</c:v>
                </c:pt>
                <c:pt idx="270">
                  <c:v>0.93159305442256146</c:v>
                </c:pt>
                <c:pt idx="271">
                  <c:v>0.93153478615545982</c:v>
                </c:pt>
                <c:pt idx="272">
                  <c:v>0.93127257895350202</c:v>
                </c:pt>
                <c:pt idx="273">
                  <c:v>0.93086470108378983</c:v>
                </c:pt>
                <c:pt idx="274">
                  <c:v>0.93057335974828115</c:v>
                </c:pt>
                <c:pt idx="275">
                  <c:v>0.93036942081342511</c:v>
                </c:pt>
                <c:pt idx="276">
                  <c:v>0.93025288427922159</c:v>
                </c:pt>
                <c:pt idx="277">
                  <c:v>0.93010721361146731</c:v>
                </c:pt>
                <c:pt idx="278">
                  <c:v>0.9298450064095094</c:v>
                </c:pt>
                <c:pt idx="279">
                  <c:v>0.92946626267334809</c:v>
                </c:pt>
                <c:pt idx="280">
                  <c:v>0.92926232373849205</c:v>
                </c:pt>
                <c:pt idx="281">
                  <c:v>0.92914578720428853</c:v>
                </c:pt>
                <c:pt idx="282">
                  <c:v>0.9287961776016781</c:v>
                </c:pt>
                <c:pt idx="283">
                  <c:v>0.9285339703997203</c:v>
                </c:pt>
                <c:pt idx="284">
                  <c:v>0.92821349493066074</c:v>
                </c:pt>
                <c:pt idx="285">
                  <c:v>0.92798042186225382</c:v>
                </c:pt>
                <c:pt idx="286">
                  <c:v>0.92798042186225382</c:v>
                </c:pt>
                <c:pt idx="287">
                  <c:v>0.92795128772870294</c:v>
                </c:pt>
                <c:pt idx="288">
                  <c:v>0.9276308122596435</c:v>
                </c:pt>
                <c:pt idx="289">
                  <c:v>0.92745600745833823</c:v>
                </c:pt>
                <c:pt idx="290">
                  <c:v>0.92722293438993131</c:v>
                </c:pt>
                <c:pt idx="291">
                  <c:v>0.92701899545507516</c:v>
                </c:pt>
                <c:pt idx="292">
                  <c:v>0.92681505652021923</c:v>
                </c:pt>
                <c:pt idx="293">
                  <c:v>0.92640717865050692</c:v>
                </c:pt>
                <c:pt idx="294">
                  <c:v>0.9261741055821</c:v>
                </c:pt>
                <c:pt idx="295">
                  <c:v>0.9257953618459388</c:v>
                </c:pt>
                <c:pt idx="296">
                  <c:v>0.92786388532805042</c:v>
                </c:pt>
                <c:pt idx="297">
                  <c:v>0.92780561706094866</c:v>
                </c:pt>
                <c:pt idx="298">
                  <c:v>0.92731033679058394</c:v>
                </c:pt>
                <c:pt idx="299">
                  <c:v>0.92675678825311736</c:v>
                </c:pt>
                <c:pt idx="300">
                  <c:v>0.92535834984267573</c:v>
                </c:pt>
                <c:pt idx="301">
                  <c:v>0.92547488637687914</c:v>
                </c:pt>
                <c:pt idx="302">
                  <c:v>0.92518354504137057</c:v>
                </c:pt>
                <c:pt idx="303">
                  <c:v>0.92462999650390398</c:v>
                </c:pt>
                <c:pt idx="304">
                  <c:v>0.92419298450064102</c:v>
                </c:pt>
                <c:pt idx="305">
                  <c:v>0.92393077729868323</c:v>
                </c:pt>
                <c:pt idx="306">
                  <c:v>0.92381424076447971</c:v>
                </c:pt>
                <c:pt idx="307">
                  <c:v>0.92337722876121664</c:v>
                </c:pt>
                <c:pt idx="308">
                  <c:v>0.92288194849085192</c:v>
                </c:pt>
                <c:pt idx="309">
                  <c:v>0.92261974128889412</c:v>
                </c:pt>
                <c:pt idx="310">
                  <c:v>0.92250320475469072</c:v>
                </c:pt>
                <c:pt idx="311">
                  <c:v>0.92247407062113984</c:v>
                </c:pt>
                <c:pt idx="312">
                  <c:v>0.92206619275142765</c:v>
                </c:pt>
                <c:pt idx="313">
                  <c:v>0.92157091248106293</c:v>
                </c:pt>
                <c:pt idx="314">
                  <c:v>0.92125043701200326</c:v>
                </c:pt>
                <c:pt idx="315">
                  <c:v>0.92125043701200326</c:v>
                </c:pt>
                <c:pt idx="316">
                  <c:v>0.92116303461135063</c:v>
                </c:pt>
                <c:pt idx="317">
                  <c:v>0.92092996154294371</c:v>
                </c:pt>
                <c:pt idx="318">
                  <c:v>0.92052208367323163</c:v>
                </c:pt>
                <c:pt idx="319">
                  <c:v>0.92023074233772284</c:v>
                </c:pt>
                <c:pt idx="320">
                  <c:v>0.92008507166996856</c:v>
                </c:pt>
                <c:pt idx="321">
                  <c:v>0.91996853513576515</c:v>
                </c:pt>
                <c:pt idx="322">
                  <c:v>0.91964805966670549</c:v>
                </c:pt>
                <c:pt idx="323">
                  <c:v>0.91921104766344253</c:v>
                </c:pt>
                <c:pt idx="324">
                  <c:v>0.91883230392728121</c:v>
                </c:pt>
                <c:pt idx="325">
                  <c:v>0.91877403566017957</c:v>
                </c:pt>
                <c:pt idx="326">
                  <c:v>0.91874490152662869</c:v>
                </c:pt>
                <c:pt idx="327">
                  <c:v>0.91839529192401825</c:v>
                </c:pt>
                <c:pt idx="328">
                  <c:v>0.91804568232140782</c:v>
                </c:pt>
                <c:pt idx="329">
                  <c:v>0.91772520685234826</c:v>
                </c:pt>
                <c:pt idx="330">
                  <c:v>0.91766693858524651</c:v>
                </c:pt>
                <c:pt idx="331">
                  <c:v>0.91760867031814475</c:v>
                </c:pt>
                <c:pt idx="332">
                  <c:v>0.91746299965039046</c:v>
                </c:pt>
                <c:pt idx="333">
                  <c:v>0.91711339004778003</c:v>
                </c:pt>
                <c:pt idx="334">
                  <c:v>0.9167637804451696</c:v>
                </c:pt>
                <c:pt idx="335">
                  <c:v>0.91667637804451696</c:v>
                </c:pt>
                <c:pt idx="336">
                  <c:v>0.91667637804451696</c:v>
                </c:pt>
                <c:pt idx="337">
                  <c:v>0.91644330497611004</c:v>
                </c:pt>
                <c:pt idx="338">
                  <c:v>0.91603542710639796</c:v>
                </c:pt>
                <c:pt idx="339">
                  <c:v>0.91562754923668577</c:v>
                </c:pt>
                <c:pt idx="340">
                  <c:v>0.91562754923668577</c:v>
                </c:pt>
                <c:pt idx="341">
                  <c:v>0.91562754923668577</c:v>
                </c:pt>
                <c:pt idx="342">
                  <c:v>0.91551101270248225</c:v>
                </c:pt>
                <c:pt idx="343">
                  <c:v>0.91510313483277017</c:v>
                </c:pt>
                <c:pt idx="344">
                  <c:v>0.91475352523015974</c:v>
                </c:pt>
                <c:pt idx="345">
                  <c:v>0.91463698869595622</c:v>
                </c:pt>
                <c:pt idx="346">
                  <c:v>0.91460785456240534</c:v>
                </c:pt>
                <c:pt idx="347">
                  <c:v>0.91446218389465106</c:v>
                </c:pt>
                <c:pt idx="348">
                  <c:v>0.91405430602493887</c:v>
                </c:pt>
                <c:pt idx="349">
                  <c:v>0.91355902575457404</c:v>
                </c:pt>
                <c:pt idx="350">
                  <c:v>0.91332595268616712</c:v>
                </c:pt>
                <c:pt idx="351">
                  <c:v>0.91312201375131108</c:v>
                </c:pt>
                <c:pt idx="352">
                  <c:v>0.91297634308355669</c:v>
                </c:pt>
                <c:pt idx="353">
                  <c:v>0.91259759934739548</c:v>
                </c:pt>
                <c:pt idx="354">
                  <c:v>0.91227712387833593</c:v>
                </c:pt>
                <c:pt idx="355">
                  <c:v>0.91181097774152209</c:v>
                </c:pt>
                <c:pt idx="356">
                  <c:v>0.91172357534086945</c:v>
                </c:pt>
                <c:pt idx="357">
                  <c:v>0.91160703880666594</c:v>
                </c:pt>
                <c:pt idx="358">
                  <c:v>0.91149050227246253</c:v>
                </c:pt>
                <c:pt idx="359">
                  <c:v>0.91122829507050473</c:v>
                </c:pt>
                <c:pt idx="360">
                  <c:v>0.9109952220020977</c:v>
                </c:pt>
                <c:pt idx="361">
                  <c:v>0.9109952220020977</c:v>
                </c:pt>
                <c:pt idx="362">
                  <c:v>0.91093695373499595</c:v>
                </c:pt>
                <c:pt idx="363">
                  <c:v>0.91058734413238551</c:v>
                </c:pt>
                <c:pt idx="364">
                  <c:v>0.91023773452977508</c:v>
                </c:pt>
                <c:pt idx="365">
                  <c:v>0.909829856660063</c:v>
                </c:pt>
                <c:pt idx="366">
                  <c:v>0.90971332012585959</c:v>
                </c:pt>
                <c:pt idx="367">
                  <c:v>0.90962591772520696</c:v>
                </c:pt>
                <c:pt idx="368">
                  <c:v>0.90924717398904564</c:v>
                </c:pt>
                <c:pt idx="369">
                  <c:v>0.90883929611933345</c:v>
                </c:pt>
                <c:pt idx="370">
                  <c:v>0.9085188206502739</c:v>
                </c:pt>
                <c:pt idx="371">
                  <c:v>0.90840228411607038</c:v>
                </c:pt>
                <c:pt idx="372">
                  <c:v>0.90822747931476522</c:v>
                </c:pt>
                <c:pt idx="373">
                  <c:v>0.90779046731150215</c:v>
                </c:pt>
                <c:pt idx="374">
                  <c:v>0.90732432117468831</c:v>
                </c:pt>
                <c:pt idx="375">
                  <c:v>0.90665423610301843</c:v>
                </c:pt>
                <c:pt idx="376">
                  <c:v>0.90653769956881491</c:v>
                </c:pt>
                <c:pt idx="377">
                  <c:v>0.90645029716816228</c:v>
                </c:pt>
                <c:pt idx="378">
                  <c:v>0.90604241929845009</c:v>
                </c:pt>
                <c:pt idx="379">
                  <c:v>0.90575107796294141</c:v>
                </c:pt>
                <c:pt idx="380">
                  <c:v>0.90569280969583965</c:v>
                </c:pt>
                <c:pt idx="381">
                  <c:v>0.90557627316163614</c:v>
                </c:pt>
                <c:pt idx="382">
                  <c:v>0.90516839529192406</c:v>
                </c:pt>
                <c:pt idx="383">
                  <c:v>0.90478965155576285</c:v>
                </c:pt>
                <c:pt idx="384">
                  <c:v>0.90438177368605066</c:v>
                </c:pt>
                <c:pt idx="385">
                  <c:v>0.90411956648409286</c:v>
                </c:pt>
                <c:pt idx="386">
                  <c:v>0.90388649341568583</c:v>
                </c:pt>
                <c:pt idx="387">
                  <c:v>0.90356601794662628</c:v>
                </c:pt>
                <c:pt idx="388">
                  <c:v>0.90333294487821936</c:v>
                </c:pt>
                <c:pt idx="389">
                  <c:v>0.90307073767626156</c:v>
                </c:pt>
                <c:pt idx="390">
                  <c:v>0.90272112807365112</c:v>
                </c:pt>
                <c:pt idx="391">
                  <c:v>0.90237151847104069</c:v>
                </c:pt>
                <c:pt idx="392">
                  <c:v>0.90205104300198113</c:v>
                </c:pt>
                <c:pt idx="393">
                  <c:v>0.90178883580002334</c:v>
                </c:pt>
                <c:pt idx="394">
                  <c:v>0.90149749446451477</c:v>
                </c:pt>
                <c:pt idx="395">
                  <c:v>0.90135182379676027</c:v>
                </c:pt>
                <c:pt idx="396">
                  <c:v>0.90126442139610774</c:v>
                </c:pt>
                <c:pt idx="397">
                  <c:v>0.90108961659480247</c:v>
                </c:pt>
                <c:pt idx="398">
                  <c:v>0.90062347045798863</c:v>
                </c:pt>
                <c:pt idx="399">
                  <c:v>0.90018645845472556</c:v>
                </c:pt>
                <c:pt idx="400">
                  <c:v>0.90018645845472556</c:v>
                </c:pt>
                <c:pt idx="401">
                  <c:v>0.90012819018762391</c:v>
                </c:pt>
                <c:pt idx="402">
                  <c:v>0.90006992192052204</c:v>
                </c:pt>
                <c:pt idx="403">
                  <c:v>0.89972031231791172</c:v>
                </c:pt>
                <c:pt idx="404">
                  <c:v>0.89919589791399612</c:v>
                </c:pt>
                <c:pt idx="405">
                  <c:v>0.89905022724624184</c:v>
                </c:pt>
                <c:pt idx="406">
                  <c:v>0.8989628248455892</c:v>
                </c:pt>
                <c:pt idx="407">
                  <c:v>0.89887542244493657</c:v>
                </c:pt>
                <c:pt idx="408">
                  <c:v>0.89849667870877525</c:v>
                </c:pt>
                <c:pt idx="409">
                  <c:v>0.89776832537000362</c:v>
                </c:pt>
                <c:pt idx="410">
                  <c:v>0.89750611816804571</c:v>
                </c:pt>
                <c:pt idx="411">
                  <c:v>0.89773919123645263</c:v>
                </c:pt>
                <c:pt idx="412">
                  <c:v>0.89768092296935098</c:v>
                </c:pt>
                <c:pt idx="413">
                  <c:v>0.89759352056869834</c:v>
                </c:pt>
                <c:pt idx="414">
                  <c:v>0.89747698403449483</c:v>
                </c:pt>
                <c:pt idx="415">
                  <c:v>0.89709824029833363</c:v>
                </c:pt>
                <c:pt idx="416">
                  <c:v>0.89706910616478275</c:v>
                </c:pt>
                <c:pt idx="417">
                  <c:v>0.90024472672182732</c:v>
                </c:pt>
                <c:pt idx="418">
                  <c:v>0.89937070271530128</c:v>
                </c:pt>
                <c:pt idx="419">
                  <c:v>0.89864234937652954</c:v>
                </c:pt>
                <c:pt idx="420">
                  <c:v>0.89805966670551218</c:v>
                </c:pt>
                <c:pt idx="421">
                  <c:v>0.89759352056869834</c:v>
                </c:pt>
                <c:pt idx="422">
                  <c:v>0.89744784990094395</c:v>
                </c:pt>
                <c:pt idx="423">
                  <c:v>0.89721477683253703</c:v>
                </c:pt>
                <c:pt idx="424">
                  <c:v>0.89703997203123187</c:v>
                </c:pt>
                <c:pt idx="425">
                  <c:v>0.89651555762731616</c:v>
                </c:pt>
                <c:pt idx="426">
                  <c:v>0.89602027735695144</c:v>
                </c:pt>
                <c:pt idx="427">
                  <c:v>0.89578720428854453</c:v>
                </c:pt>
                <c:pt idx="428">
                  <c:v>0.89564153362079024</c:v>
                </c:pt>
                <c:pt idx="429">
                  <c:v>0.89537932641883233</c:v>
                </c:pt>
                <c:pt idx="430">
                  <c:v>0.89497144854912025</c:v>
                </c:pt>
                <c:pt idx="431">
                  <c:v>0.89459270481295894</c:v>
                </c:pt>
                <c:pt idx="432">
                  <c:v>0.8942430952103485</c:v>
                </c:pt>
                <c:pt idx="433">
                  <c:v>0.89421396107679763</c:v>
                </c:pt>
                <c:pt idx="434">
                  <c:v>0.89395175387483983</c:v>
                </c:pt>
                <c:pt idx="435">
                  <c:v>0.89357301013867851</c:v>
                </c:pt>
                <c:pt idx="436">
                  <c:v>0.8930777298683138</c:v>
                </c:pt>
                <c:pt idx="437">
                  <c:v>0.89281552266635589</c:v>
                </c:pt>
                <c:pt idx="438">
                  <c:v>0.89275725439925424</c:v>
                </c:pt>
                <c:pt idx="439">
                  <c:v>0.89252418133084732</c:v>
                </c:pt>
                <c:pt idx="440">
                  <c:v>0.89208716932758425</c:v>
                </c:pt>
                <c:pt idx="441">
                  <c:v>0.89173755972497382</c:v>
                </c:pt>
                <c:pt idx="442">
                  <c:v>0.89141708425591437</c:v>
                </c:pt>
                <c:pt idx="443">
                  <c:v>0.89144621838946514</c:v>
                </c:pt>
                <c:pt idx="444">
                  <c:v>0.89127141358815987</c:v>
                </c:pt>
                <c:pt idx="445">
                  <c:v>0.89092180398554943</c:v>
                </c:pt>
                <c:pt idx="446">
                  <c:v>0.89065959678359174</c:v>
                </c:pt>
                <c:pt idx="447">
                  <c:v>0.89022258478032867</c:v>
                </c:pt>
                <c:pt idx="448">
                  <c:v>0.88870760983568353</c:v>
                </c:pt>
                <c:pt idx="449">
                  <c:v>0.88812492716466618</c:v>
                </c:pt>
                <c:pt idx="450">
                  <c:v>0.88561939167929149</c:v>
                </c:pt>
                <c:pt idx="451">
                  <c:v>0.88643514741871576</c:v>
                </c:pt>
                <c:pt idx="452">
                  <c:v>0.88660995222002104</c:v>
                </c:pt>
                <c:pt idx="453">
                  <c:v>0.88719263489103839</c:v>
                </c:pt>
                <c:pt idx="454">
                  <c:v>0.88722176902458927</c:v>
                </c:pt>
                <c:pt idx="455">
                  <c:v>0.88701783008973323</c:v>
                </c:pt>
                <c:pt idx="456">
                  <c:v>0.88681389115487708</c:v>
                </c:pt>
                <c:pt idx="457">
                  <c:v>0.88675562288777543</c:v>
                </c:pt>
                <c:pt idx="458">
                  <c:v>0.88675562288777543</c:v>
                </c:pt>
                <c:pt idx="459">
                  <c:v>0.88649341568581763</c:v>
                </c:pt>
                <c:pt idx="460">
                  <c:v>0.8861438060832072</c:v>
                </c:pt>
                <c:pt idx="461">
                  <c:v>0.88593986714835105</c:v>
                </c:pt>
                <c:pt idx="462">
                  <c:v>0.8859981354154528</c:v>
                </c:pt>
                <c:pt idx="463">
                  <c:v>0.88591073301480028</c:v>
                </c:pt>
                <c:pt idx="464">
                  <c:v>0.88564852581284237</c:v>
                </c:pt>
                <c:pt idx="465">
                  <c:v>0.88529891621023193</c:v>
                </c:pt>
                <c:pt idx="466">
                  <c:v>0.88500757487472326</c:v>
                </c:pt>
                <c:pt idx="467">
                  <c:v>0.88500757487472326</c:v>
                </c:pt>
                <c:pt idx="468">
                  <c:v>0.88500757487472326</c:v>
                </c:pt>
                <c:pt idx="469">
                  <c:v>0.88471623353921458</c:v>
                </c:pt>
                <c:pt idx="470">
                  <c:v>0.88433748980305327</c:v>
                </c:pt>
                <c:pt idx="471">
                  <c:v>0.8840461484675447</c:v>
                </c:pt>
                <c:pt idx="472">
                  <c:v>0.88392961193334119</c:v>
                </c:pt>
                <c:pt idx="473">
                  <c:v>0.88343433166297636</c:v>
                </c:pt>
                <c:pt idx="474">
                  <c:v>0.88139494231441562</c:v>
                </c:pt>
                <c:pt idx="475">
                  <c:v>0.88066658897564398</c:v>
                </c:pt>
                <c:pt idx="476">
                  <c:v>0.88025871110593168</c:v>
                </c:pt>
                <c:pt idx="477">
                  <c:v>0.88119100337955947</c:v>
                </c:pt>
                <c:pt idx="478">
                  <c:v>0.88124927164666134</c:v>
                </c:pt>
                <c:pt idx="479">
                  <c:v>0.88113273511245782</c:v>
                </c:pt>
                <c:pt idx="480">
                  <c:v>0.88104533271180518</c:v>
                </c:pt>
                <c:pt idx="481">
                  <c:v>0.8808996620440509</c:v>
                </c:pt>
                <c:pt idx="482">
                  <c:v>0.88052091830788959</c:v>
                </c:pt>
                <c:pt idx="483">
                  <c:v>0.88028784523948267</c:v>
                </c:pt>
                <c:pt idx="484">
                  <c:v>0.8801130404381774</c:v>
                </c:pt>
                <c:pt idx="485">
                  <c:v>0.88008390630462652</c:v>
                </c:pt>
                <c:pt idx="486">
                  <c:v>0.87993823563687223</c:v>
                </c:pt>
                <c:pt idx="487">
                  <c:v>0.8795886260342618</c:v>
                </c:pt>
                <c:pt idx="488">
                  <c:v>0.87935555296585488</c:v>
                </c:pt>
                <c:pt idx="489">
                  <c:v>0.87918074816454961</c:v>
                </c:pt>
                <c:pt idx="490">
                  <c:v>0.87909334576389697</c:v>
                </c:pt>
                <c:pt idx="491">
                  <c:v>0.87868546789418489</c:v>
                </c:pt>
                <c:pt idx="492">
                  <c:v>0.87842326069222709</c:v>
                </c:pt>
                <c:pt idx="493">
                  <c:v>0.87874373616128654</c:v>
                </c:pt>
                <c:pt idx="494">
                  <c:v>0.87851066309287962</c:v>
                </c:pt>
                <c:pt idx="495">
                  <c:v>0.87816105349026918</c:v>
                </c:pt>
                <c:pt idx="496">
                  <c:v>0.87795711455541325</c:v>
                </c:pt>
                <c:pt idx="497">
                  <c:v>0.87778230975410798</c:v>
                </c:pt>
                <c:pt idx="498">
                  <c:v>0.8777531756205571</c:v>
                </c:pt>
                <c:pt idx="499">
                  <c:v>0.87763663908635359</c:v>
                </c:pt>
                <c:pt idx="500">
                  <c:v>0.87740356601794667</c:v>
                </c:pt>
                <c:pt idx="501">
                  <c:v>0.87714135881598887</c:v>
                </c:pt>
                <c:pt idx="502">
                  <c:v>0.87702482228178547</c:v>
                </c:pt>
                <c:pt idx="503">
                  <c:v>0.87679174921337844</c:v>
                </c:pt>
                <c:pt idx="504">
                  <c:v>0.87664607854562415</c:v>
                </c:pt>
                <c:pt idx="505">
                  <c:v>0.87638387134366624</c:v>
                </c:pt>
                <c:pt idx="506">
                  <c:v>0.87612166414170844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D6-408B-A9A9-C795D6619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297184"/>
        <c:axId val="1433677040"/>
      </c:scatterChart>
      <c:valAx>
        <c:axId val="1203297184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433677040"/>
        <c:crosses val="autoZero"/>
        <c:crossBetween val="midCat"/>
      </c:valAx>
      <c:valAx>
        <c:axId val="1433677040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Capacity Retention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203297184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84591111111111106"/>
          <c:y val="0.12519501312335962"/>
          <c:w val="0.1133223097112861"/>
          <c:h val="0.31730708661417323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G11E-V1.2-PreA-0.5C_0.5C</a:t>
            </a:r>
            <a:r>
              <a:rPr lang="zh-CN"/>
              <a:t>循环 </a:t>
            </a:r>
            <a:r>
              <a:rPr lang="en-US"/>
              <a:t>25℃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435-1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'G11E-V1.2-PreA-0.5C_0.5C循环 25℃'!$O$3:$O$500</c:f>
              <c:numCache>
                <c:formatCode>General</c:formatCode>
                <c:ptCount val="4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</c:numCache>
            </c:numRef>
          </c:xVal>
          <c:yVal>
            <c:numRef>
              <c:f>'G11E-V1.2-PreA-0.5C_0.5C循环 25℃'!$Q$3:$Q$500</c:f>
              <c:numCache>
                <c:formatCode>0.00%</c:formatCode>
                <c:ptCount val="498"/>
                <c:pt idx="0">
                  <c:v>1</c:v>
                </c:pt>
                <c:pt idx="1">
                  <c:v>1.0008409530506708</c:v>
                </c:pt>
                <c:pt idx="2">
                  <c:v>1.0006246583740313</c:v>
                </c:pt>
                <c:pt idx="3">
                  <c:v>1.0005954522754292</c:v>
                </c:pt>
                <c:pt idx="4">
                  <c:v>1.0005551930175465</c:v>
                </c:pt>
                <c:pt idx="5">
                  <c:v>1.0005683003037735</c:v>
                </c:pt>
                <c:pt idx="6">
                  <c:v>1.000341637176835</c:v>
                </c:pt>
                <c:pt idx="7">
                  <c:v>0.99983626488902733</c:v>
                </c:pt>
                <c:pt idx="8">
                  <c:v>0.99961362035170942</c:v>
                </c:pt>
                <c:pt idx="9">
                  <c:v>0.99923475619962621</c:v>
                </c:pt>
                <c:pt idx="10">
                  <c:v>0.99925955244633191</c:v>
                </c:pt>
                <c:pt idx="11">
                  <c:v>0.99905197965791559</c:v>
                </c:pt>
                <c:pt idx="12">
                  <c:v>0.99850636441481999</c:v>
                </c:pt>
                <c:pt idx="13">
                  <c:v>0.99834147997091316</c:v>
                </c:pt>
                <c:pt idx="14">
                  <c:v>0.99799831850146359</c:v>
                </c:pt>
                <c:pt idx="15">
                  <c:v>0.99787953779567906</c:v>
                </c:pt>
                <c:pt idx="16">
                  <c:v>0.99756608780527023</c:v>
                </c:pt>
                <c:pt idx="17">
                  <c:v>0.99740597187034541</c:v>
                </c:pt>
                <c:pt idx="18">
                  <c:v>0.99764905986155505</c:v>
                </c:pt>
                <c:pt idx="19">
                  <c:v>0.99719324746196925</c:v>
                </c:pt>
                <c:pt idx="20">
                  <c:v>0.99647200436498717</c:v>
                </c:pt>
                <c:pt idx="21">
                  <c:v>0.9955181721478531</c:v>
                </c:pt>
                <c:pt idx="22">
                  <c:v>0.99517261419696634</c:v>
                </c:pt>
                <c:pt idx="23">
                  <c:v>0.99499618751593422</c:v>
                </c:pt>
                <c:pt idx="24">
                  <c:v>0.99482466791594004</c:v>
                </c:pt>
                <c:pt idx="25">
                  <c:v>0.99437310234230214</c:v>
                </c:pt>
                <c:pt idx="26">
                  <c:v>0.99394070862016082</c:v>
                </c:pt>
                <c:pt idx="27">
                  <c:v>0.99389981356108037</c:v>
                </c:pt>
                <c:pt idx="28">
                  <c:v>0.99385485100459492</c:v>
                </c:pt>
                <c:pt idx="29">
                  <c:v>0.99387136553313726</c:v>
                </c:pt>
                <c:pt idx="30">
                  <c:v>0.99332993190561025</c:v>
                </c:pt>
                <c:pt idx="31">
                  <c:v>0.9929714786022289</c:v>
                </c:pt>
                <c:pt idx="32">
                  <c:v>0.99318095064294054</c:v>
                </c:pt>
                <c:pt idx="33">
                  <c:v>0.99323404819423622</c:v>
                </c:pt>
                <c:pt idx="34">
                  <c:v>0.99295420600302786</c:v>
                </c:pt>
                <c:pt idx="35">
                  <c:v>0.99258975334475652</c:v>
                </c:pt>
                <c:pt idx="36">
                  <c:v>0.9919122256557571</c:v>
                </c:pt>
                <c:pt idx="37">
                  <c:v>0.99180973939348493</c:v>
                </c:pt>
                <c:pt idx="38">
                  <c:v>0.99182106154558047</c:v>
                </c:pt>
                <c:pt idx="39">
                  <c:v>0.99145002263900595</c:v>
                </c:pt>
                <c:pt idx="40">
                  <c:v>0.99072365237595605</c:v>
                </c:pt>
                <c:pt idx="41">
                  <c:v>0.99039856233285306</c:v>
                </c:pt>
                <c:pt idx="42">
                  <c:v>0.99036475075121744</c:v>
                </c:pt>
                <c:pt idx="43">
                  <c:v>0.99058092315839597</c:v>
                </c:pt>
                <c:pt idx="44">
                  <c:v>0.99041450627057714</c:v>
                </c:pt>
                <c:pt idx="45">
                  <c:v>0.98989106255642278</c:v>
                </c:pt>
                <c:pt idx="46">
                  <c:v>0.98975081948457111</c:v>
                </c:pt>
                <c:pt idx="47">
                  <c:v>0.98919291208498883</c:v>
                </c:pt>
                <c:pt idx="48">
                  <c:v>0.98846766670098096</c:v>
                </c:pt>
                <c:pt idx="49">
                  <c:v>0.98694435224194954</c:v>
                </c:pt>
                <c:pt idx="50">
                  <c:v>0.98629100945235049</c:v>
                </c:pt>
                <c:pt idx="51">
                  <c:v>0.9863202237022497</c:v>
                </c:pt>
                <c:pt idx="52">
                  <c:v>0.98738343002796292</c:v>
                </c:pt>
                <c:pt idx="53">
                  <c:v>0.98858621101914068</c:v>
                </c:pt>
                <c:pt idx="54">
                  <c:v>0.98856054258361259</c:v>
                </c:pt>
                <c:pt idx="55">
                  <c:v>0.98798434367265353</c:v>
                </c:pt>
                <c:pt idx="56">
                  <c:v>0.98805797434211229</c:v>
                </c:pt>
                <c:pt idx="57">
                  <c:v>0.988162204982029</c:v>
                </c:pt>
                <c:pt idx="58">
                  <c:v>0.98795315680878248</c:v>
                </c:pt>
                <c:pt idx="59">
                  <c:v>0.9872804302339544</c:v>
                </c:pt>
                <c:pt idx="60">
                  <c:v>0.98666997142000257</c:v>
                </c:pt>
                <c:pt idx="61">
                  <c:v>0.98660996971980497</c:v>
                </c:pt>
                <c:pt idx="62">
                  <c:v>0.98658815684794932</c:v>
                </c:pt>
                <c:pt idx="63">
                  <c:v>0.98627658980724109</c:v>
                </c:pt>
                <c:pt idx="64">
                  <c:v>0.98575333357292716</c:v>
                </c:pt>
                <c:pt idx="65">
                  <c:v>0.98548043628710791</c:v>
                </c:pt>
                <c:pt idx="66">
                  <c:v>0.98555208619129708</c:v>
                </c:pt>
                <c:pt idx="67">
                  <c:v>0.98552418430027999</c:v>
                </c:pt>
                <c:pt idx="68">
                  <c:v>0.98558699004678496</c:v>
                </c:pt>
                <c:pt idx="69">
                  <c:v>0.9849126250611786</c:v>
                </c:pt>
                <c:pt idx="70">
                  <c:v>0.98433559471788434</c:v>
                </c:pt>
                <c:pt idx="71">
                  <c:v>0.98420871162247925</c:v>
                </c:pt>
                <c:pt idx="72">
                  <c:v>0.98399596276021084</c:v>
                </c:pt>
                <c:pt idx="73">
                  <c:v>0.9838647431745865</c:v>
                </c:pt>
                <c:pt idx="74">
                  <c:v>0.98301029157541331</c:v>
                </c:pt>
                <c:pt idx="75">
                  <c:v>0.98305808263209837</c:v>
                </c:pt>
                <c:pt idx="76">
                  <c:v>0.98274715954388503</c:v>
                </c:pt>
                <c:pt idx="77">
                  <c:v>0.98212495471037264</c:v>
                </c:pt>
                <c:pt idx="78">
                  <c:v>0.98106169947687505</c:v>
                </c:pt>
                <c:pt idx="79">
                  <c:v>0.98117981992756964</c:v>
                </c:pt>
                <c:pt idx="80">
                  <c:v>0.98172268003214247</c:v>
                </c:pt>
                <c:pt idx="81">
                  <c:v>0.98122524710800729</c:v>
                </c:pt>
                <c:pt idx="82">
                  <c:v>0.98060615607010371</c:v>
                </c:pt>
                <c:pt idx="83">
                  <c:v>0.97986959668529772</c:v>
                </c:pt>
                <c:pt idx="84">
                  <c:v>0.98105008387807302</c:v>
                </c:pt>
                <c:pt idx="85">
                  <c:v>0.98112347000860944</c:v>
                </c:pt>
                <c:pt idx="86">
                  <c:v>0.98045705253797288</c:v>
                </c:pt>
                <c:pt idx="87">
                  <c:v>0.98019947153997744</c:v>
                </c:pt>
                <c:pt idx="88">
                  <c:v>0.97977987535476174</c:v>
                </c:pt>
                <c:pt idx="89">
                  <c:v>0.97972360694877558</c:v>
                </c:pt>
                <c:pt idx="90">
                  <c:v>0.97977611760665817</c:v>
                </c:pt>
                <c:pt idx="91">
                  <c:v>0.97977040354717726</c:v>
                </c:pt>
                <c:pt idx="92">
                  <c:v>0.97951323011405211</c:v>
                </c:pt>
                <c:pt idx="93">
                  <c:v>0.97903068961027562</c:v>
                </c:pt>
                <c:pt idx="94">
                  <c:v>0.97899890770169395</c:v>
                </c:pt>
                <c:pt idx="95">
                  <c:v>0.97894620141267363</c:v>
                </c:pt>
                <c:pt idx="96">
                  <c:v>0.97901358003702266</c:v>
                </c:pt>
                <c:pt idx="97">
                  <c:v>0.97858622381667759</c:v>
                </c:pt>
                <c:pt idx="98">
                  <c:v>0.97819904534124136</c:v>
                </c:pt>
                <c:pt idx="99">
                  <c:v>0.97799866199713614</c:v>
                </c:pt>
                <c:pt idx="100">
                  <c:v>0.97821703525461401</c:v>
                </c:pt>
                <c:pt idx="101">
                  <c:v>0.97795624264544101</c:v>
                </c:pt>
                <c:pt idx="102">
                  <c:v>0.97740673923348309</c:v>
                </c:pt>
                <c:pt idx="103">
                  <c:v>0.97687753255206355</c:v>
                </c:pt>
                <c:pt idx="104">
                  <c:v>0.97669907619797769</c:v>
                </c:pt>
                <c:pt idx="105">
                  <c:v>0.976543573897384</c:v>
                </c:pt>
                <c:pt idx="106">
                  <c:v>0.97639421767503365</c:v>
                </c:pt>
                <c:pt idx="107">
                  <c:v>0.97579492613852659</c:v>
                </c:pt>
                <c:pt idx="108">
                  <c:v>0.97533315514053787</c:v>
                </c:pt>
                <c:pt idx="109">
                  <c:v>0.97529571623155709</c:v>
                </c:pt>
                <c:pt idx="110">
                  <c:v>0.97552577029821619</c:v>
                </c:pt>
                <c:pt idx="111">
                  <c:v>0.97577908816766878</c:v>
                </c:pt>
                <c:pt idx="112">
                  <c:v>0.97535178085510821</c:v>
                </c:pt>
                <c:pt idx="113">
                  <c:v>0.97500470676290407</c:v>
                </c:pt>
                <c:pt idx="114">
                  <c:v>0.9750742047245784</c:v>
                </c:pt>
                <c:pt idx="115">
                  <c:v>0.97518789902078229</c:v>
                </c:pt>
                <c:pt idx="116">
                  <c:v>0.97507647078525694</c:v>
                </c:pt>
                <c:pt idx="117">
                  <c:v>0.97456912588347733</c:v>
                </c:pt>
                <c:pt idx="118">
                  <c:v>0.97410612403958063</c:v>
                </c:pt>
                <c:pt idx="119">
                  <c:v>0.97409506272900204</c:v>
                </c:pt>
                <c:pt idx="120">
                  <c:v>0.97416780490704358</c:v>
                </c:pt>
                <c:pt idx="121">
                  <c:v>0.97414879608149529</c:v>
                </c:pt>
                <c:pt idx="122">
                  <c:v>0.97361725812901789</c:v>
                </c:pt>
                <c:pt idx="123">
                  <c:v>0.97313970621925328</c:v>
                </c:pt>
                <c:pt idx="124">
                  <c:v>0.97313151416536126</c:v>
                </c:pt>
                <c:pt idx="125">
                  <c:v>0.9731551529278355</c:v>
                </c:pt>
                <c:pt idx="126">
                  <c:v>0.97308175049470425</c:v>
                </c:pt>
                <c:pt idx="127">
                  <c:v>0.97263073920929011</c:v>
                </c:pt>
                <c:pt idx="128">
                  <c:v>0.97220768687397485</c:v>
                </c:pt>
                <c:pt idx="129">
                  <c:v>0.97219383781968383</c:v>
                </c:pt>
                <c:pt idx="130">
                  <c:v>0.97232445420930025</c:v>
                </c:pt>
                <c:pt idx="131">
                  <c:v>0.97228656697896221</c:v>
                </c:pt>
                <c:pt idx="132">
                  <c:v>0.97188560465961427</c:v>
                </c:pt>
                <c:pt idx="133">
                  <c:v>0.97154812464445572</c:v>
                </c:pt>
                <c:pt idx="134">
                  <c:v>0.97145903096381991</c:v>
                </c:pt>
                <c:pt idx="135">
                  <c:v>0.97176282981810136</c:v>
                </c:pt>
                <c:pt idx="136">
                  <c:v>0.97177054909674376</c:v>
                </c:pt>
                <c:pt idx="137">
                  <c:v>0.97135956068158769</c:v>
                </c:pt>
                <c:pt idx="138">
                  <c:v>0.97097398801174017</c:v>
                </c:pt>
                <c:pt idx="139">
                  <c:v>0.96896816565412203</c:v>
                </c:pt>
                <c:pt idx="140">
                  <c:v>0.97088601921014628</c:v>
                </c:pt>
                <c:pt idx="141">
                  <c:v>0.9711379921155272</c:v>
                </c:pt>
                <c:pt idx="142">
                  <c:v>0.9710199857829962</c:v>
                </c:pt>
                <c:pt idx="143">
                  <c:v>0.97078447849837324</c:v>
                </c:pt>
                <c:pt idx="144">
                  <c:v>0.96859027965772737</c:v>
                </c:pt>
                <c:pt idx="145">
                  <c:v>0.96775826042901247</c:v>
                </c:pt>
                <c:pt idx="146">
                  <c:v>0.96746441430886243</c:v>
                </c:pt>
                <c:pt idx="147">
                  <c:v>0.96687559718952065</c:v>
                </c:pt>
                <c:pt idx="148">
                  <c:v>0.96649792312685856</c:v>
                </c:pt>
                <c:pt idx="149">
                  <c:v>0.96693507720668437</c:v>
                </c:pt>
                <c:pt idx="150">
                  <c:v>0.96788807799148313</c:v>
                </c:pt>
                <c:pt idx="151">
                  <c:v>0.96757404925895862</c:v>
                </c:pt>
                <c:pt idx="152">
                  <c:v>0.9671666800198504</c:v>
                </c:pt>
                <c:pt idx="153">
                  <c:v>0.96714526656156763</c:v>
                </c:pt>
                <c:pt idx="154">
                  <c:v>0.96579136866780013</c:v>
                </c:pt>
                <c:pt idx="155">
                  <c:v>0.96501196606383388</c:v>
                </c:pt>
                <c:pt idx="156">
                  <c:v>0.96421518489380054</c:v>
                </c:pt>
                <c:pt idx="157">
                  <c:v>0.96384426825668701</c:v>
                </c:pt>
                <c:pt idx="158">
                  <c:v>0.96445815061554885</c:v>
                </c:pt>
                <c:pt idx="159">
                  <c:v>0.96508984355924066</c:v>
                </c:pt>
                <c:pt idx="160">
                  <c:v>0.96460036630137258</c:v>
                </c:pt>
                <c:pt idx="161">
                  <c:v>0.96412774592653794</c:v>
                </c:pt>
                <c:pt idx="162">
                  <c:v>0.9636696185584892</c:v>
                </c:pt>
                <c:pt idx="163">
                  <c:v>0.96378778791696829</c:v>
                </c:pt>
                <c:pt idx="164">
                  <c:v>0.96379976217285612</c:v>
                </c:pt>
                <c:pt idx="165">
                  <c:v>0.96350841850100954</c:v>
                </c:pt>
                <c:pt idx="166">
                  <c:v>0.96296986228146653</c:v>
                </c:pt>
                <c:pt idx="167">
                  <c:v>0.96260157851341488</c:v>
                </c:pt>
                <c:pt idx="168">
                  <c:v>0.96279103096769991</c:v>
                </c:pt>
                <c:pt idx="169">
                  <c:v>0.96290990133775589</c:v>
                </c:pt>
                <c:pt idx="170">
                  <c:v>0.96268234156810273</c:v>
                </c:pt>
                <c:pt idx="171">
                  <c:v>0.96214156004436813</c:v>
                </c:pt>
                <c:pt idx="172">
                  <c:v>0.96178935063479909</c:v>
                </c:pt>
                <c:pt idx="173">
                  <c:v>0.96175296324318349</c:v>
                </c:pt>
                <c:pt idx="174">
                  <c:v>0.96168652201803595</c:v>
                </c:pt>
                <c:pt idx="175">
                  <c:v>0.96136182323720831</c:v>
                </c:pt>
                <c:pt idx="176">
                  <c:v>0.96078687147475239</c:v>
                </c:pt>
                <c:pt idx="177">
                  <c:v>0.96038687915979559</c:v>
                </c:pt>
                <c:pt idx="178">
                  <c:v>0.96040537445360741</c:v>
                </c:pt>
                <c:pt idx="179">
                  <c:v>0.96027549168075732</c:v>
                </c:pt>
                <c:pt idx="180">
                  <c:v>0.9599853054931422</c:v>
                </c:pt>
                <c:pt idx="181">
                  <c:v>0.95931683389555955</c:v>
                </c:pt>
                <c:pt idx="182">
                  <c:v>0.95900857628159764</c:v>
                </c:pt>
                <c:pt idx="183">
                  <c:v>0.95905685641612715</c:v>
                </c:pt>
                <c:pt idx="184">
                  <c:v>0.95898677156103951</c:v>
                </c:pt>
                <c:pt idx="185">
                  <c:v>0.95875086486284378</c:v>
                </c:pt>
                <c:pt idx="186">
                  <c:v>0.95825347269519556</c:v>
                </c:pt>
                <c:pt idx="187">
                  <c:v>0.95786767178902077</c:v>
                </c:pt>
                <c:pt idx="188">
                  <c:v>0.95782884715948113</c:v>
                </c:pt>
                <c:pt idx="189">
                  <c:v>0.95781758206646761</c:v>
                </c:pt>
                <c:pt idx="190">
                  <c:v>0.95771721514152075</c:v>
                </c:pt>
                <c:pt idx="191">
                  <c:v>0.95729869492756259</c:v>
                </c:pt>
                <c:pt idx="192">
                  <c:v>0.95689971337348401</c:v>
                </c:pt>
                <c:pt idx="193">
                  <c:v>0.95722192600860301</c:v>
                </c:pt>
                <c:pt idx="194">
                  <c:v>0.95728314225211397</c:v>
                </c:pt>
                <c:pt idx="195">
                  <c:v>0.95707997116429633</c:v>
                </c:pt>
                <c:pt idx="196">
                  <c:v>0.95661452393117807</c:v>
                </c:pt>
                <c:pt idx="197">
                  <c:v>0.95624725907530195</c:v>
                </c:pt>
                <c:pt idx="198">
                  <c:v>0.95682517791001342</c:v>
                </c:pt>
                <c:pt idx="199">
                  <c:v>0.95728433234153509</c:v>
                </c:pt>
                <c:pt idx="200">
                  <c:v>0.95739990143614206</c:v>
                </c:pt>
                <c:pt idx="201">
                  <c:v>0.95708723397028417</c:v>
                </c:pt>
                <c:pt idx="202">
                  <c:v>0.95681448340781805</c:v>
                </c:pt>
                <c:pt idx="203">
                  <c:v>0.95647631053238025</c:v>
                </c:pt>
                <c:pt idx="204">
                  <c:v>0.95631983822739541</c:v>
                </c:pt>
                <c:pt idx="205">
                  <c:v>0.95603878149287369</c:v>
                </c:pt>
                <c:pt idx="206">
                  <c:v>0.95542021213800399</c:v>
                </c:pt>
                <c:pt idx="207">
                  <c:v>0.95497145876197098</c:v>
                </c:pt>
                <c:pt idx="208">
                  <c:v>0.95570960764977098</c:v>
                </c:pt>
                <c:pt idx="209">
                  <c:v>0.95411150503704945</c:v>
                </c:pt>
                <c:pt idx="210">
                  <c:v>0.95284504611054444</c:v>
                </c:pt>
                <c:pt idx="211">
                  <c:v>0.95332203558078821</c:v>
                </c:pt>
                <c:pt idx="212">
                  <c:v>0.95579096574916944</c:v>
                </c:pt>
                <c:pt idx="213">
                  <c:v>0.95564070473280716</c:v>
                </c:pt>
                <c:pt idx="214">
                  <c:v>0.95476264697634916</c:v>
                </c:pt>
                <c:pt idx="215">
                  <c:v>0.95421725996958084</c:v>
                </c:pt>
                <c:pt idx="216">
                  <c:v>0.95387801112288551</c:v>
                </c:pt>
                <c:pt idx="217">
                  <c:v>0.95365314128137602</c:v>
                </c:pt>
                <c:pt idx="218">
                  <c:v>0.95352744012409474</c:v>
                </c:pt>
                <c:pt idx="219">
                  <c:v>0.95317693433568318</c:v>
                </c:pt>
                <c:pt idx="220">
                  <c:v>0.95280642526343995</c:v>
                </c:pt>
                <c:pt idx="221">
                  <c:v>0.95254020389019523</c:v>
                </c:pt>
                <c:pt idx="222">
                  <c:v>0.95246916533331138</c:v>
                </c:pt>
                <c:pt idx="223">
                  <c:v>0.95236353267024099</c:v>
                </c:pt>
                <c:pt idx="224">
                  <c:v>0.95204540383512193</c:v>
                </c:pt>
                <c:pt idx="225">
                  <c:v>0.95113015170860526</c:v>
                </c:pt>
                <c:pt idx="226">
                  <c:v>0.9511419466359502</c:v>
                </c:pt>
                <c:pt idx="227">
                  <c:v>0.95082904278246749</c:v>
                </c:pt>
                <c:pt idx="228">
                  <c:v>0.95042077690064475</c:v>
                </c:pt>
                <c:pt idx="229">
                  <c:v>0.95013279156332897</c:v>
                </c:pt>
                <c:pt idx="230">
                  <c:v>0.95008264478169391</c:v>
                </c:pt>
                <c:pt idx="231">
                  <c:v>0.95004006240405059</c:v>
                </c:pt>
                <c:pt idx="232">
                  <c:v>0.94981498062880854</c:v>
                </c:pt>
                <c:pt idx="233">
                  <c:v>0.9494043671733331</c:v>
                </c:pt>
                <c:pt idx="234">
                  <c:v>0.9490299862348226</c:v>
                </c:pt>
                <c:pt idx="235">
                  <c:v>0.94882900784600688</c:v>
                </c:pt>
                <c:pt idx="236">
                  <c:v>0.94875560541287562</c:v>
                </c:pt>
                <c:pt idx="237">
                  <c:v>0.94852039157495915</c:v>
                </c:pt>
                <c:pt idx="238">
                  <c:v>0.9482408998895393</c:v>
                </c:pt>
                <c:pt idx="239">
                  <c:v>0.94797359439373974</c:v>
                </c:pt>
                <c:pt idx="240">
                  <c:v>0.94775879955582276</c:v>
                </c:pt>
                <c:pt idx="241">
                  <c:v>0.9476604296987402</c:v>
                </c:pt>
                <c:pt idx="242">
                  <c:v>0.94731955874386131</c:v>
                </c:pt>
                <c:pt idx="243">
                  <c:v>0.94679413426443759</c:v>
                </c:pt>
                <c:pt idx="244">
                  <c:v>0.94633689538780597</c:v>
                </c:pt>
                <c:pt idx="245">
                  <c:v>0.9460553332728453</c:v>
                </c:pt>
                <c:pt idx="246">
                  <c:v>0.94614079147483843</c:v>
                </c:pt>
                <c:pt idx="247">
                  <c:v>0.94607686900058907</c:v>
                </c:pt>
                <c:pt idx="248">
                  <c:v>0.94574648061417288</c:v>
                </c:pt>
                <c:pt idx="249">
                  <c:v>0.94566355746567266</c:v>
                </c:pt>
                <c:pt idx="250">
                  <c:v>0.94541634491797621</c:v>
                </c:pt>
                <c:pt idx="251">
                  <c:v>0.94541772248723766</c:v>
                </c:pt>
                <c:pt idx="252">
                  <c:v>0.94535305009362702</c:v>
                </c:pt>
                <c:pt idx="253">
                  <c:v>0.94485381573276528</c:v>
                </c:pt>
                <c:pt idx="254">
                  <c:v>0.94446464834076227</c:v>
                </c:pt>
                <c:pt idx="255">
                  <c:v>0.94438000526850951</c:v>
                </c:pt>
                <c:pt idx="256">
                  <c:v>0.9444085511120216</c:v>
                </c:pt>
                <c:pt idx="257">
                  <c:v>0.94444206109565332</c:v>
                </c:pt>
                <c:pt idx="258">
                  <c:v>0.94425982253957153</c:v>
                </c:pt>
                <c:pt idx="259">
                  <c:v>0.94390339075794649</c:v>
                </c:pt>
                <c:pt idx="260">
                  <c:v>0.94321669285936649</c:v>
                </c:pt>
                <c:pt idx="261">
                  <c:v>0.94288266899430773</c:v>
                </c:pt>
                <c:pt idx="262">
                  <c:v>0.94268611675998293</c:v>
                </c:pt>
                <c:pt idx="263">
                  <c:v>0.94224688409931878</c:v>
                </c:pt>
                <c:pt idx="264">
                  <c:v>0.94179428331091064</c:v>
                </c:pt>
                <c:pt idx="265">
                  <c:v>0.94152088064465222</c:v>
                </c:pt>
                <c:pt idx="266">
                  <c:v>0.94147679842828635</c:v>
                </c:pt>
                <c:pt idx="267">
                  <c:v>0.94137064408218218</c:v>
                </c:pt>
                <c:pt idx="268">
                  <c:v>0.94101375582790259</c:v>
                </c:pt>
                <c:pt idx="269">
                  <c:v>0.94065351739038949</c:v>
                </c:pt>
                <c:pt idx="270">
                  <c:v>0.94044481972293137</c:v>
                </c:pt>
                <c:pt idx="271">
                  <c:v>0.94033578796884321</c:v>
                </c:pt>
                <c:pt idx="272">
                  <c:v>0.94027029229419468</c:v>
                </c:pt>
                <c:pt idx="273">
                  <c:v>0.93994093097125142</c:v>
                </c:pt>
                <c:pt idx="274">
                  <c:v>0.93956871012655319</c:v>
                </c:pt>
                <c:pt idx="275">
                  <c:v>0.93937589118643994</c:v>
                </c:pt>
                <c:pt idx="276">
                  <c:v>0.93933990320839711</c:v>
                </c:pt>
                <c:pt idx="277">
                  <c:v>0.93904034302876638</c:v>
                </c:pt>
                <c:pt idx="278">
                  <c:v>0.93881140568985177</c:v>
                </c:pt>
                <c:pt idx="279">
                  <c:v>0.93844012224435513</c:v>
                </c:pt>
                <c:pt idx="280">
                  <c:v>0.93821356508428277</c:v>
                </c:pt>
                <c:pt idx="281">
                  <c:v>0.93829556713617623</c:v>
                </c:pt>
                <c:pt idx="282">
                  <c:v>0.93839542868068393</c:v>
                </c:pt>
                <c:pt idx="283">
                  <c:v>0.93809210260165199</c:v>
                </c:pt>
                <c:pt idx="284">
                  <c:v>0.93795758989187616</c:v>
                </c:pt>
                <c:pt idx="285">
                  <c:v>0.93776564314058508</c:v>
                </c:pt>
                <c:pt idx="286">
                  <c:v>0.93758514896214795</c:v>
                </c:pt>
                <c:pt idx="287">
                  <c:v>0.93740085627912006</c:v>
                </c:pt>
                <c:pt idx="288">
                  <c:v>0.93697971134739755</c:v>
                </c:pt>
                <c:pt idx="289">
                  <c:v>0.93680502904401008</c:v>
                </c:pt>
                <c:pt idx="290">
                  <c:v>0.93638221309631953</c:v>
                </c:pt>
                <c:pt idx="291">
                  <c:v>0.93806509735334953</c:v>
                </c:pt>
                <c:pt idx="292">
                  <c:v>0.93845255297289765</c:v>
                </c:pt>
                <c:pt idx="293">
                  <c:v>0.93784530577012326</c:v>
                </c:pt>
                <c:pt idx="294">
                  <c:v>0.9373352790914975</c:v>
                </c:pt>
                <c:pt idx="295">
                  <c:v>0.93710630099609593</c:v>
                </c:pt>
                <c:pt idx="296">
                  <c:v>0.93711703625477816</c:v>
                </c:pt>
                <c:pt idx="297">
                  <c:v>0.93705039939849299</c:v>
                </c:pt>
                <c:pt idx="298">
                  <c:v>0.93668483001247715</c:v>
                </c:pt>
                <c:pt idx="299">
                  <c:v>0.93632028768993425</c:v>
                </c:pt>
                <c:pt idx="300">
                  <c:v>0.93430651781734642</c:v>
                </c:pt>
                <c:pt idx="301">
                  <c:v>0.93485038868279746</c:v>
                </c:pt>
                <c:pt idx="302">
                  <c:v>0.9342765373454911</c:v>
                </c:pt>
                <c:pt idx="303">
                  <c:v>0.93366813265848525</c:v>
                </c:pt>
                <c:pt idx="304">
                  <c:v>0.93349757491158469</c:v>
                </c:pt>
                <c:pt idx="305">
                  <c:v>0.93363860865928461</c:v>
                </c:pt>
                <c:pt idx="306">
                  <c:v>0.93362494708483401</c:v>
                </c:pt>
                <c:pt idx="307">
                  <c:v>0.9331585869064063</c:v>
                </c:pt>
                <c:pt idx="308">
                  <c:v>0.93253252650922147</c:v>
                </c:pt>
                <c:pt idx="309">
                  <c:v>0.9323082598637199</c:v>
                </c:pt>
                <c:pt idx="310">
                  <c:v>0.93244814427848577</c:v>
                </c:pt>
                <c:pt idx="311">
                  <c:v>0.93243765355872565</c:v>
                </c:pt>
                <c:pt idx="312">
                  <c:v>0.93212907804416489</c:v>
                </c:pt>
                <c:pt idx="313">
                  <c:v>0.93167902046054718</c:v>
                </c:pt>
                <c:pt idx="314">
                  <c:v>0.93148506849009449</c:v>
                </c:pt>
                <c:pt idx="315">
                  <c:v>0.93145870719428703</c:v>
                </c:pt>
                <c:pt idx="316">
                  <c:v>0.9313061801172462</c:v>
                </c:pt>
                <c:pt idx="317">
                  <c:v>0.93081397217474748</c:v>
                </c:pt>
                <c:pt idx="318">
                  <c:v>0.93031395528933492</c:v>
                </c:pt>
                <c:pt idx="319">
                  <c:v>0.93014719604702512</c:v>
                </c:pt>
                <c:pt idx="320">
                  <c:v>0.9301319449695804</c:v>
                </c:pt>
                <c:pt idx="321">
                  <c:v>0.93007366319313534</c:v>
                </c:pt>
                <c:pt idx="322">
                  <c:v>0.92967482021111258</c:v>
                </c:pt>
                <c:pt idx="323">
                  <c:v>0.92925219174326223</c:v>
                </c:pt>
                <c:pt idx="324">
                  <c:v>0.92913050917560169</c:v>
                </c:pt>
                <c:pt idx="325">
                  <c:v>0.92916118250773638</c:v>
                </c:pt>
                <c:pt idx="326">
                  <c:v>0.92918654934526057</c:v>
                </c:pt>
                <c:pt idx="327">
                  <c:v>0.92891819233209583</c:v>
                </c:pt>
                <c:pt idx="328">
                  <c:v>0.92854795225266684</c:v>
                </c:pt>
                <c:pt idx="329">
                  <c:v>0.92835242708181509</c:v>
                </c:pt>
                <c:pt idx="330">
                  <c:v>0.92844434111135299</c:v>
                </c:pt>
                <c:pt idx="331">
                  <c:v>0.92848702130456506</c:v>
                </c:pt>
                <c:pt idx="332">
                  <c:v>0.9280049698786329</c:v>
                </c:pt>
                <c:pt idx="333">
                  <c:v>0.9274707175441198</c:v>
                </c:pt>
                <c:pt idx="334">
                  <c:v>0.92732223351059162</c:v>
                </c:pt>
                <c:pt idx="335">
                  <c:v>0.92760743110419508</c:v>
                </c:pt>
                <c:pt idx="336">
                  <c:v>0.9276269942179669</c:v>
                </c:pt>
                <c:pt idx="337">
                  <c:v>0.92732110863154982</c:v>
                </c:pt>
                <c:pt idx="338">
                  <c:v>0.926842203606416</c:v>
                </c:pt>
                <c:pt idx="339">
                  <c:v>0.9266576582331687</c:v>
                </c:pt>
                <c:pt idx="340">
                  <c:v>0.92687178466469855</c:v>
                </c:pt>
                <c:pt idx="341">
                  <c:v>0.92695280856090345</c:v>
                </c:pt>
                <c:pt idx="342">
                  <c:v>0.92648869814055945</c:v>
                </c:pt>
                <c:pt idx="343">
                  <c:v>0.92592010439007932</c:v>
                </c:pt>
                <c:pt idx="344">
                  <c:v>0.92552165267033193</c:v>
                </c:pt>
                <c:pt idx="345">
                  <c:v>0.92539952993261154</c:v>
                </c:pt>
                <c:pt idx="346">
                  <c:v>0.92524655453421334</c:v>
                </c:pt>
                <c:pt idx="347">
                  <c:v>0.92494370123043101</c:v>
                </c:pt>
                <c:pt idx="348">
                  <c:v>0.92451420937016582</c:v>
                </c:pt>
                <c:pt idx="349">
                  <c:v>0.9240590327717777</c:v>
                </c:pt>
                <c:pt idx="350">
                  <c:v>0.92388584215581537</c:v>
                </c:pt>
                <c:pt idx="351">
                  <c:v>0.92391506455701211</c:v>
                </c:pt>
                <c:pt idx="352">
                  <c:v>0.92383093501649582</c:v>
                </c:pt>
                <c:pt idx="353">
                  <c:v>0.92365189176899676</c:v>
                </c:pt>
                <c:pt idx="354">
                  <c:v>0.92339876953068178</c:v>
                </c:pt>
                <c:pt idx="355">
                  <c:v>0.92349592484445109</c:v>
                </c:pt>
                <c:pt idx="356">
                  <c:v>0.92359408276780108</c:v>
                </c:pt>
                <c:pt idx="357">
                  <c:v>0.92328968071751183</c:v>
                </c:pt>
                <c:pt idx="358">
                  <c:v>0.92291957105884137</c:v>
                </c:pt>
                <c:pt idx="359">
                  <c:v>0.92238407972712255</c:v>
                </c:pt>
                <c:pt idx="360">
                  <c:v>0.92235847650197367</c:v>
                </c:pt>
                <c:pt idx="361">
                  <c:v>0.92235513447003781</c:v>
                </c:pt>
                <c:pt idx="362">
                  <c:v>0.92194608606366402</c:v>
                </c:pt>
                <c:pt idx="363">
                  <c:v>0.9215006258117826</c:v>
                </c:pt>
                <c:pt idx="364">
                  <c:v>0.92112944833315225</c:v>
                </c:pt>
                <c:pt idx="365">
                  <c:v>0.92104428357786561</c:v>
                </c:pt>
                <c:pt idx="366">
                  <c:v>0.92101601487846529</c:v>
                </c:pt>
                <c:pt idx="367">
                  <c:v>0.92037509466611134</c:v>
                </c:pt>
                <c:pt idx="368">
                  <c:v>0.91977178453998354</c:v>
                </c:pt>
                <c:pt idx="369">
                  <c:v>0.91918888526255782</c:v>
                </c:pt>
                <c:pt idx="370">
                  <c:v>0.91921685236395412</c:v>
                </c:pt>
                <c:pt idx="371">
                  <c:v>0.91941794487093342</c:v>
                </c:pt>
                <c:pt idx="372">
                  <c:v>0.91928270669568846</c:v>
                </c:pt>
                <c:pt idx="373">
                  <c:v>0.91885250567254906</c:v>
                </c:pt>
                <c:pt idx="374">
                  <c:v>0.91852922521746994</c:v>
                </c:pt>
                <c:pt idx="375">
                  <c:v>0.9188490006146649</c:v>
                </c:pt>
                <c:pt idx="376">
                  <c:v>0.91828913690370539</c:v>
                </c:pt>
                <c:pt idx="377">
                  <c:v>0.91778908741310317</c:v>
                </c:pt>
                <c:pt idx="378">
                  <c:v>0.91729402651651282</c:v>
                </c:pt>
                <c:pt idx="379">
                  <c:v>0.91706645859556235</c:v>
                </c:pt>
                <c:pt idx="380">
                  <c:v>0.91684502045026017</c:v>
                </c:pt>
                <c:pt idx="381">
                  <c:v>0.91642879890217022</c:v>
                </c:pt>
                <c:pt idx="382">
                  <c:v>0.91635542907422851</c:v>
                </c:pt>
                <c:pt idx="383">
                  <c:v>0.91592818697204703</c:v>
                </c:pt>
                <c:pt idx="384">
                  <c:v>0.9155758715956116</c:v>
                </c:pt>
                <c:pt idx="385">
                  <c:v>0.91516736117486663</c:v>
                </c:pt>
                <c:pt idx="386">
                  <c:v>0.91466694487588129</c:v>
                </c:pt>
                <c:pt idx="387">
                  <c:v>0.91462053953975508</c:v>
                </c:pt>
                <c:pt idx="388">
                  <c:v>0.91411274631661821</c:v>
                </c:pt>
                <c:pt idx="389">
                  <c:v>0.91419059120683521</c:v>
                </c:pt>
                <c:pt idx="390">
                  <c:v>0.91425951042639375</c:v>
                </c:pt>
                <c:pt idx="391">
                  <c:v>0.91402284565753944</c:v>
                </c:pt>
                <c:pt idx="392">
                  <c:v>0.91332112491784201</c:v>
                </c:pt>
                <c:pt idx="393">
                  <c:v>0.9129210021821268</c:v>
                </c:pt>
                <c:pt idx="394">
                  <c:v>0.9132315584619568</c:v>
                </c:pt>
                <c:pt idx="395">
                  <c:v>0.91332114122043695</c:v>
                </c:pt>
                <c:pt idx="396">
                  <c:v>0.91328839745876134</c:v>
                </c:pt>
                <c:pt idx="397">
                  <c:v>0.91258576377375455</c:v>
                </c:pt>
                <c:pt idx="398">
                  <c:v>0.91202299004962162</c:v>
                </c:pt>
                <c:pt idx="399">
                  <c:v>0.9121196073777621</c:v>
                </c:pt>
                <c:pt idx="400">
                  <c:v>0.91223736102007358</c:v>
                </c:pt>
                <c:pt idx="401">
                  <c:v>0.91210059855221381</c:v>
                </c:pt>
                <c:pt idx="402">
                  <c:v>0.91114270698897215</c:v>
                </c:pt>
                <c:pt idx="403">
                  <c:v>0.91026268476983963</c:v>
                </c:pt>
                <c:pt idx="404">
                  <c:v>0.91079758105684794</c:v>
                </c:pt>
                <c:pt idx="405">
                  <c:v>0.91112995020853349</c:v>
                </c:pt>
                <c:pt idx="406">
                  <c:v>0.91109829056941272</c:v>
                </c:pt>
                <c:pt idx="407">
                  <c:v>0.91103136026642095</c:v>
                </c:pt>
                <c:pt idx="408">
                  <c:v>0.91066804878978624</c:v>
                </c:pt>
                <c:pt idx="409">
                  <c:v>0.91063365031473753</c:v>
                </c:pt>
                <c:pt idx="410">
                  <c:v>0.91245062341407845</c:v>
                </c:pt>
                <c:pt idx="411">
                  <c:v>0.91193168736738905</c:v>
                </c:pt>
                <c:pt idx="412">
                  <c:v>0.91153881113506674</c:v>
                </c:pt>
                <c:pt idx="413">
                  <c:v>0.91094767089596462</c:v>
                </c:pt>
                <c:pt idx="414">
                  <c:v>0.91046645090236777</c:v>
                </c:pt>
                <c:pt idx="415">
                  <c:v>0.91039187468241023</c:v>
                </c:pt>
                <c:pt idx="416">
                  <c:v>0.91052447183729601</c:v>
                </c:pt>
                <c:pt idx="417">
                  <c:v>0.91016342642133996</c:v>
                </c:pt>
                <c:pt idx="418">
                  <c:v>0.90955312248203879</c:v>
                </c:pt>
                <c:pt idx="419">
                  <c:v>0.90901129759223631</c:v>
                </c:pt>
                <c:pt idx="420">
                  <c:v>0.90892499980661046</c:v>
                </c:pt>
                <c:pt idx="421">
                  <c:v>0.90897535037068067</c:v>
                </c:pt>
                <c:pt idx="422">
                  <c:v>0.90870748243536015</c:v>
                </c:pt>
                <c:pt idx="423">
                  <c:v>0.90813791052919146</c:v>
                </c:pt>
                <c:pt idx="424">
                  <c:v>0.90762317240066559</c:v>
                </c:pt>
                <c:pt idx="425">
                  <c:v>0.90747252827332525</c:v>
                </c:pt>
                <c:pt idx="426">
                  <c:v>0.90761508631363996</c:v>
                </c:pt>
                <c:pt idx="427">
                  <c:v>0.9073273536665436</c:v>
                </c:pt>
                <c:pt idx="428">
                  <c:v>0.90676620205059411</c:v>
                </c:pt>
                <c:pt idx="429">
                  <c:v>0.90628042548174803</c:v>
                </c:pt>
                <c:pt idx="430">
                  <c:v>0.90621133508494389</c:v>
                </c:pt>
                <c:pt idx="431">
                  <c:v>0.90617346415720057</c:v>
                </c:pt>
                <c:pt idx="432">
                  <c:v>0.90589534188974474</c:v>
                </c:pt>
                <c:pt idx="433">
                  <c:v>0.90529478690213994</c:v>
                </c:pt>
                <c:pt idx="434">
                  <c:v>0.90484012383548829</c:v>
                </c:pt>
                <c:pt idx="435">
                  <c:v>0.90491329803229237</c:v>
                </c:pt>
                <c:pt idx="436">
                  <c:v>0.90502469366262794</c:v>
                </c:pt>
                <c:pt idx="437">
                  <c:v>0.90488265730534723</c:v>
                </c:pt>
                <c:pt idx="438">
                  <c:v>0.90439578031135137</c:v>
                </c:pt>
                <c:pt idx="439">
                  <c:v>0.90438961793051331</c:v>
                </c:pt>
                <c:pt idx="440">
                  <c:v>0.90210084773737542</c:v>
                </c:pt>
                <c:pt idx="441">
                  <c:v>0.90072195796576449</c:v>
                </c:pt>
                <c:pt idx="442">
                  <c:v>0.8997557520791698</c:v>
                </c:pt>
                <c:pt idx="443">
                  <c:v>0.89883927725804247</c:v>
                </c:pt>
                <c:pt idx="444">
                  <c:v>0.89840032989278762</c:v>
                </c:pt>
                <c:pt idx="445">
                  <c:v>0.89861971391114348</c:v>
                </c:pt>
                <c:pt idx="446">
                  <c:v>0.89854327919537758</c:v>
                </c:pt>
                <c:pt idx="447">
                  <c:v>0.89837710684648087</c:v>
                </c:pt>
                <c:pt idx="448">
                  <c:v>0.8981677407726355</c:v>
                </c:pt>
                <c:pt idx="449">
                  <c:v>0.89797413930797132</c:v>
                </c:pt>
                <c:pt idx="450">
                  <c:v>0.89924995592389712</c:v>
                </c:pt>
                <c:pt idx="451">
                  <c:v>0.90048764077056265</c:v>
                </c:pt>
                <c:pt idx="452">
                  <c:v>0.90006974820650465</c:v>
                </c:pt>
                <c:pt idx="453">
                  <c:v>0.89974392454663521</c:v>
                </c:pt>
                <c:pt idx="454">
                  <c:v>0.90001327601808345</c:v>
                </c:pt>
                <c:pt idx="455">
                  <c:v>0.90019148783324709</c:v>
                </c:pt>
                <c:pt idx="456">
                  <c:v>0.89989886440770794</c:v>
                </c:pt>
                <c:pt idx="457">
                  <c:v>0.89953415090791966</c:v>
                </c:pt>
                <c:pt idx="458">
                  <c:v>0.89909734733388225</c:v>
                </c:pt>
                <c:pt idx="459">
                  <c:v>0.8992883974424587</c:v>
                </c:pt>
                <c:pt idx="460">
                  <c:v>0.89957888522807783</c:v>
                </c:pt>
                <c:pt idx="461">
                  <c:v>0.89927380662010392</c:v>
                </c:pt>
                <c:pt idx="462">
                  <c:v>0.89872115680734777</c:v>
                </c:pt>
                <c:pt idx="463">
                  <c:v>0.89834601779817858</c:v>
                </c:pt>
                <c:pt idx="464">
                  <c:v>0.89835653297183093</c:v>
                </c:pt>
                <c:pt idx="465">
                  <c:v>0.89789956308801366</c:v>
                </c:pt>
                <c:pt idx="466">
                  <c:v>0.89445753918673054</c:v>
                </c:pt>
                <c:pt idx="467">
                  <c:v>0.89322783446022436</c:v>
                </c:pt>
                <c:pt idx="468">
                  <c:v>0.89265474119357668</c:v>
                </c:pt>
                <c:pt idx="469">
                  <c:v>0.89444496988613209</c:v>
                </c:pt>
                <c:pt idx="470">
                  <c:v>0.89488866130647671</c:v>
                </c:pt>
                <c:pt idx="471">
                  <c:v>0.89474776613083273</c:v>
                </c:pt>
                <c:pt idx="472">
                  <c:v>0.8947760103763408</c:v>
                </c:pt>
                <c:pt idx="473">
                  <c:v>0.89466729652285137</c:v>
                </c:pt>
                <c:pt idx="474">
                  <c:v>0.89431518492885109</c:v>
                </c:pt>
                <c:pt idx="475">
                  <c:v>0.8939997541731729</c:v>
                </c:pt>
                <c:pt idx="476">
                  <c:v>0.89405043078913926</c:v>
                </c:pt>
                <c:pt idx="477">
                  <c:v>0.89411253552406733</c:v>
                </c:pt>
                <c:pt idx="478">
                  <c:v>0.89397175446658694</c:v>
                </c:pt>
                <c:pt idx="479">
                  <c:v>0.89350373957478613</c:v>
                </c:pt>
                <c:pt idx="480">
                  <c:v>0.89327049835084171</c:v>
                </c:pt>
                <c:pt idx="481">
                  <c:v>0.89324191175084267</c:v>
                </c:pt>
                <c:pt idx="482">
                  <c:v>0.89332439472928316</c:v>
                </c:pt>
                <c:pt idx="483">
                  <c:v>0.89231924194368761</c:v>
                </c:pt>
                <c:pt idx="484">
                  <c:v>0.89293538221193069</c:v>
                </c:pt>
                <c:pt idx="485">
                  <c:v>0.89342055558476885</c:v>
                </c:pt>
                <c:pt idx="486">
                  <c:v>0.89303428190334455</c:v>
                </c:pt>
                <c:pt idx="487">
                  <c:v>0.89277282088778442</c:v>
                </c:pt>
                <c:pt idx="488">
                  <c:v>0.89245225481474111</c:v>
                </c:pt>
                <c:pt idx="489">
                  <c:v>0.89273084170614914</c:v>
                </c:pt>
                <c:pt idx="490">
                  <c:v>0.89279073743948034</c:v>
                </c:pt>
                <c:pt idx="491">
                  <c:v>0.89266467762511337</c:v>
                </c:pt>
                <c:pt idx="492">
                  <c:v>0.89246220754887262</c:v>
                </c:pt>
                <c:pt idx="493">
                  <c:v>0.89233054779318832</c:v>
                </c:pt>
                <c:pt idx="494">
                  <c:v>0.89207691202313677</c:v>
                </c:pt>
                <c:pt idx="495">
                  <c:v>0.89202686305707057</c:v>
                </c:pt>
                <c:pt idx="496">
                  <c:v>0.8917762677209512</c:v>
                </c:pt>
                <c:pt idx="497">
                  <c:v>0.89153593486826455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F5-40E0-9F93-8C9B0ADFB138}"/>
            </c:ext>
          </c:extLst>
        </c:ser>
        <c:ser>
          <c:idx val="1"/>
          <c:order val="1"/>
          <c:tx>
            <c:v>435-2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'G11E-V1.2-PreA-0.5C_0.5C循环 25℃'!$V$3:$V$509</c:f>
              <c:numCache>
                <c:formatCode>General</c:formatCode>
                <c:ptCount val="50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</c:numCache>
            </c:numRef>
          </c:xVal>
          <c:yVal>
            <c:numRef>
              <c:f>'G11E-V1.2-PreA-0.5C_0.5C循环 25℃'!$X$3:$X$509</c:f>
              <c:numCache>
                <c:formatCode>0.00%</c:formatCode>
                <c:ptCount val="507"/>
                <c:pt idx="0">
                  <c:v>1</c:v>
                </c:pt>
                <c:pt idx="1">
                  <c:v>1.0007394469273114</c:v>
                </c:pt>
                <c:pt idx="2">
                  <c:v>1.0004035364254282</c:v>
                </c:pt>
                <c:pt idx="3">
                  <c:v>1.0003512811424864</c:v>
                </c:pt>
                <c:pt idx="4">
                  <c:v>1.0002518125383293</c:v>
                </c:pt>
                <c:pt idx="5">
                  <c:v>1.0002505806026971</c:v>
                </c:pt>
                <c:pt idx="6">
                  <c:v>1.0002228090206309</c:v>
                </c:pt>
                <c:pt idx="7">
                  <c:v>0.99970351143834701</c:v>
                </c:pt>
                <c:pt idx="8">
                  <c:v>0.99955052298155933</c:v>
                </c:pt>
                <c:pt idx="9">
                  <c:v>0.99911533967985788</c:v>
                </c:pt>
                <c:pt idx="10">
                  <c:v>0.99920617657607547</c:v>
                </c:pt>
                <c:pt idx="11">
                  <c:v>0.99902274870310426</c:v>
                </c:pt>
                <c:pt idx="12">
                  <c:v>0.99846754550017613</c:v>
                </c:pt>
                <c:pt idx="13">
                  <c:v>0.99833541836399464</c:v>
                </c:pt>
                <c:pt idx="14">
                  <c:v>0.99818214435921282</c:v>
                </c:pt>
                <c:pt idx="15">
                  <c:v>0.9981568611239533</c:v>
                </c:pt>
                <c:pt idx="16">
                  <c:v>0.99796270480491367</c:v>
                </c:pt>
                <c:pt idx="17">
                  <c:v>0.99786522687820189</c:v>
                </c:pt>
                <c:pt idx="18">
                  <c:v>0.99808247179220255</c:v>
                </c:pt>
                <c:pt idx="19">
                  <c:v>0.99776827109639399</c:v>
                </c:pt>
                <c:pt idx="20">
                  <c:v>0.99727925791852534</c:v>
                </c:pt>
                <c:pt idx="21">
                  <c:v>0.99650188205906776</c:v>
                </c:pt>
                <c:pt idx="22">
                  <c:v>0.99581655871443164</c:v>
                </c:pt>
                <c:pt idx="23">
                  <c:v>0.99579435123899562</c:v>
                </c:pt>
                <c:pt idx="24">
                  <c:v>0.99574894094940092</c:v>
                </c:pt>
                <c:pt idx="25">
                  <c:v>0.99534178214370339</c:v>
                </c:pt>
                <c:pt idx="26">
                  <c:v>0.99494684479215811</c:v>
                </c:pt>
                <c:pt idx="27">
                  <c:v>0.99500164553150561</c:v>
                </c:pt>
                <c:pt idx="28">
                  <c:v>0.99500109891105959</c:v>
                </c:pt>
                <c:pt idx="29">
                  <c:v>0.99507742996917092</c:v>
                </c:pt>
                <c:pt idx="30">
                  <c:v>0.99469945416848227</c:v>
                </c:pt>
                <c:pt idx="31">
                  <c:v>0.99431461705741842</c:v>
                </c:pt>
                <c:pt idx="32">
                  <c:v>0.99414095492584942</c:v>
                </c:pt>
                <c:pt idx="33">
                  <c:v>0.99433653898486007</c:v>
                </c:pt>
                <c:pt idx="34">
                  <c:v>0.99431848419311153</c:v>
                </c:pt>
                <c:pt idx="35">
                  <c:v>0.99375743133555883</c:v>
                </c:pt>
                <c:pt idx="36">
                  <c:v>0.99346350454733956</c:v>
                </c:pt>
                <c:pt idx="37">
                  <c:v>0.99309307537221247</c:v>
                </c:pt>
                <c:pt idx="38">
                  <c:v>0.99303303686679967</c:v>
                </c:pt>
                <c:pt idx="39">
                  <c:v>0.99292242373235395</c:v>
                </c:pt>
                <c:pt idx="40">
                  <c:v>0.99240864130561557</c:v>
                </c:pt>
                <c:pt idx="41">
                  <c:v>0.99170426783050813</c:v>
                </c:pt>
                <c:pt idx="42">
                  <c:v>0.99149877117684093</c:v>
                </c:pt>
                <c:pt idx="43">
                  <c:v>0.99165035636919985</c:v>
                </c:pt>
                <c:pt idx="44">
                  <c:v>0.99184871432301158</c:v>
                </c:pt>
                <c:pt idx="45">
                  <c:v>0.99157903463875841</c:v>
                </c:pt>
                <c:pt idx="46">
                  <c:v>0.9911698362045307</c:v>
                </c:pt>
                <c:pt idx="47">
                  <c:v>0.99106378367947834</c:v>
                </c:pt>
                <c:pt idx="48">
                  <c:v>0.99037444634589489</c:v>
                </c:pt>
                <c:pt idx="49">
                  <c:v>0.98961753203985148</c:v>
                </c:pt>
                <c:pt idx="50">
                  <c:v>0.98808551809979006</c:v>
                </c:pt>
                <c:pt idx="51">
                  <c:v>0.98734319937550818</c:v>
                </c:pt>
                <c:pt idx="52">
                  <c:v>0.98739550360953465</c:v>
                </c:pt>
                <c:pt idx="53">
                  <c:v>0.98849126548254485</c:v>
                </c:pt>
                <c:pt idx="54">
                  <c:v>0.98968334677326164</c:v>
                </c:pt>
                <c:pt idx="55">
                  <c:v>0.98987361148106578</c:v>
                </c:pt>
                <c:pt idx="56">
                  <c:v>0.98928738144893735</c:v>
                </c:pt>
                <c:pt idx="57">
                  <c:v>0.98923776952457065</c:v>
                </c:pt>
                <c:pt idx="58">
                  <c:v>0.98936090597819126</c:v>
                </c:pt>
                <c:pt idx="59">
                  <c:v>0.98922497697442957</c:v>
                </c:pt>
                <c:pt idx="60">
                  <c:v>0.98863607094966965</c:v>
                </c:pt>
                <c:pt idx="61">
                  <c:v>0.98795964038542483</c:v>
                </c:pt>
                <c:pt idx="62">
                  <c:v>0.98779155051900025</c:v>
                </c:pt>
                <c:pt idx="63">
                  <c:v>0.98760681728376976</c:v>
                </c:pt>
                <c:pt idx="64">
                  <c:v>0.98751559693738855</c:v>
                </c:pt>
                <c:pt idx="65">
                  <c:v>0.98689926198815536</c:v>
                </c:pt>
                <c:pt idx="66">
                  <c:v>0.98646679547165594</c:v>
                </c:pt>
                <c:pt idx="67">
                  <c:v>0.98625478832372071</c:v>
                </c:pt>
                <c:pt idx="68">
                  <c:v>0.98629904826282433</c:v>
                </c:pt>
                <c:pt idx="69">
                  <c:v>0.9865036719554805</c:v>
                </c:pt>
                <c:pt idx="70">
                  <c:v>0.98591568784281625</c:v>
                </c:pt>
                <c:pt idx="71">
                  <c:v>0.9850859016886484</c:v>
                </c:pt>
                <c:pt idx="72">
                  <c:v>0.98473363336595354</c:v>
                </c:pt>
                <c:pt idx="73">
                  <c:v>0.98461814144006377</c:v>
                </c:pt>
                <c:pt idx="74">
                  <c:v>0.9846059934125384</c:v>
                </c:pt>
                <c:pt idx="75">
                  <c:v>0.98367179459465648</c:v>
                </c:pt>
                <c:pt idx="76">
                  <c:v>0.98364256263856265</c:v>
                </c:pt>
                <c:pt idx="77">
                  <c:v>0.98345404385278035</c:v>
                </c:pt>
                <c:pt idx="78">
                  <c:v>0.98322026978917154</c:v>
                </c:pt>
                <c:pt idx="79">
                  <c:v>0.98245017132430934</c:v>
                </c:pt>
                <c:pt idx="80">
                  <c:v>0.98150325338291367</c:v>
                </c:pt>
                <c:pt idx="81">
                  <c:v>0.98219625388933707</c:v>
                </c:pt>
                <c:pt idx="82">
                  <c:v>0.98231336935953684</c:v>
                </c:pt>
                <c:pt idx="83">
                  <c:v>0.98189737488304674</c:v>
                </c:pt>
                <c:pt idx="84">
                  <c:v>0.98115847457618144</c:v>
                </c:pt>
                <c:pt idx="85">
                  <c:v>0.98046861509769434</c:v>
                </c:pt>
                <c:pt idx="86">
                  <c:v>0.9820781757144712</c:v>
                </c:pt>
                <c:pt idx="87">
                  <c:v>0.98184901121134038</c:v>
                </c:pt>
                <c:pt idx="88">
                  <c:v>0.98126926719793772</c:v>
                </c:pt>
                <c:pt idx="89">
                  <c:v>0.98102144417301351</c:v>
                </c:pt>
                <c:pt idx="90">
                  <c:v>0.98065491476763589</c:v>
                </c:pt>
                <c:pt idx="91">
                  <c:v>0.98060969212386595</c:v>
                </c:pt>
                <c:pt idx="92">
                  <c:v>0.98064018864964841</c:v>
                </c:pt>
                <c:pt idx="93">
                  <c:v>0.98069064090096958</c:v>
                </c:pt>
                <c:pt idx="94">
                  <c:v>0.98041335748155622</c:v>
                </c:pt>
                <c:pt idx="95">
                  <c:v>0.97990180232917268</c:v>
                </c:pt>
                <c:pt idx="96">
                  <c:v>0.97987668226419566</c:v>
                </c:pt>
                <c:pt idx="97">
                  <c:v>0.9798571752569335</c:v>
                </c:pt>
                <c:pt idx="98">
                  <c:v>0.97991653660567424</c:v>
                </c:pt>
                <c:pt idx="99">
                  <c:v>0.97960443264799457</c:v>
                </c:pt>
                <c:pt idx="100">
                  <c:v>0.9791563262599261</c:v>
                </c:pt>
                <c:pt idx="101">
                  <c:v>0.97898649862999387</c:v>
                </c:pt>
                <c:pt idx="102">
                  <c:v>0.9791411351066337</c:v>
                </c:pt>
                <c:pt idx="103">
                  <c:v>0.97898130981501319</c:v>
                </c:pt>
                <c:pt idx="104">
                  <c:v>0.97853634445488114</c:v>
                </c:pt>
                <c:pt idx="105">
                  <c:v>0.97795505032379548</c:v>
                </c:pt>
                <c:pt idx="106">
                  <c:v>0.97759362814825745</c:v>
                </c:pt>
                <c:pt idx="107">
                  <c:v>0.97751230407950429</c:v>
                </c:pt>
                <c:pt idx="108">
                  <c:v>0.97737595899152252</c:v>
                </c:pt>
                <c:pt idx="109">
                  <c:v>0.976950525114195</c:v>
                </c:pt>
                <c:pt idx="110">
                  <c:v>0.97640907716607384</c:v>
                </c:pt>
                <c:pt idx="111">
                  <c:v>0.97627826355066583</c:v>
                </c:pt>
                <c:pt idx="112">
                  <c:v>0.9763749337844797</c:v>
                </c:pt>
                <c:pt idx="113">
                  <c:v>0.97673868113654205</c:v>
                </c:pt>
                <c:pt idx="114">
                  <c:v>0.9766124199720132</c:v>
                </c:pt>
                <c:pt idx="115">
                  <c:v>0.97617367955815515</c:v>
                </c:pt>
                <c:pt idx="116">
                  <c:v>0.97596753838187245</c:v>
                </c:pt>
                <c:pt idx="117">
                  <c:v>0.97615412359980824</c:v>
                </c:pt>
                <c:pt idx="118">
                  <c:v>0.97617999424808444</c:v>
                </c:pt>
                <c:pt idx="119">
                  <c:v>0.97586890194615561</c:v>
                </c:pt>
                <c:pt idx="120">
                  <c:v>0.97533920225836812</c:v>
                </c:pt>
                <c:pt idx="121">
                  <c:v>0.97514699582420339</c:v>
                </c:pt>
                <c:pt idx="122">
                  <c:v>0.97529611714529774</c:v>
                </c:pt>
                <c:pt idx="123">
                  <c:v>0.9753321940947387</c:v>
                </c:pt>
                <c:pt idx="124">
                  <c:v>0.97502958664749517</c:v>
                </c:pt>
                <c:pt idx="125">
                  <c:v>0.97452017718432538</c:v>
                </c:pt>
                <c:pt idx="126">
                  <c:v>0.97415286456159222</c:v>
                </c:pt>
                <c:pt idx="127">
                  <c:v>0.9743114987101511</c:v>
                </c:pt>
                <c:pt idx="128">
                  <c:v>0.97430246723501979</c:v>
                </c:pt>
                <c:pt idx="129">
                  <c:v>0.97401781667735554</c:v>
                </c:pt>
                <c:pt idx="130">
                  <c:v>0.97357730586593327</c:v>
                </c:pt>
                <c:pt idx="131">
                  <c:v>0.9733624269210277</c:v>
                </c:pt>
                <c:pt idx="132">
                  <c:v>0.973472477117999</c:v>
                </c:pt>
                <c:pt idx="133">
                  <c:v>0.97354991773403088</c:v>
                </c:pt>
                <c:pt idx="134">
                  <c:v>0.97346704354759483</c:v>
                </c:pt>
                <c:pt idx="135">
                  <c:v>0.973010990766773</c:v>
                </c:pt>
                <c:pt idx="136">
                  <c:v>0.97268561290661926</c:v>
                </c:pt>
                <c:pt idx="137">
                  <c:v>0.97260576552892186</c:v>
                </c:pt>
                <c:pt idx="138">
                  <c:v>0.972827236553237</c:v>
                </c:pt>
                <c:pt idx="139">
                  <c:v>0.97265106975783311</c:v>
                </c:pt>
                <c:pt idx="140">
                  <c:v>0.97225438648426621</c:v>
                </c:pt>
                <c:pt idx="141">
                  <c:v>0.97193356923350571</c:v>
                </c:pt>
                <c:pt idx="142">
                  <c:v>0.97033359487082049</c:v>
                </c:pt>
                <c:pt idx="143">
                  <c:v>0.97221037945910016</c:v>
                </c:pt>
                <c:pt idx="144">
                  <c:v>0.97249940298033299</c:v>
                </c:pt>
                <c:pt idx="145">
                  <c:v>0.97237422689818209</c:v>
                </c:pt>
                <c:pt idx="146">
                  <c:v>0.97213784211005483</c:v>
                </c:pt>
                <c:pt idx="147">
                  <c:v>0.96990951530683689</c:v>
                </c:pt>
                <c:pt idx="148">
                  <c:v>0.96902652748208951</c:v>
                </c:pt>
                <c:pt idx="149">
                  <c:v>0.96873150745297809</c:v>
                </c:pt>
                <c:pt idx="150">
                  <c:v>0.96907919069073734</c:v>
                </c:pt>
                <c:pt idx="151">
                  <c:v>0.96933123166746182</c:v>
                </c:pt>
                <c:pt idx="152">
                  <c:v>0.96941622706756925</c:v>
                </c:pt>
                <c:pt idx="153">
                  <c:v>0.96932481091684908</c:v>
                </c:pt>
                <c:pt idx="154">
                  <c:v>0.96892802158259861</c:v>
                </c:pt>
                <c:pt idx="155">
                  <c:v>0.96852510520424362</c:v>
                </c:pt>
                <c:pt idx="156">
                  <c:v>0.96843245711789117</c:v>
                </c:pt>
                <c:pt idx="157">
                  <c:v>0.96750711844634418</c:v>
                </c:pt>
                <c:pt idx="158">
                  <c:v>0.96645038690488649</c:v>
                </c:pt>
                <c:pt idx="159">
                  <c:v>0.96567317421571131</c:v>
                </c:pt>
                <c:pt idx="160">
                  <c:v>0.96512980085825784</c:v>
                </c:pt>
                <c:pt idx="161">
                  <c:v>0.96550138854239009</c:v>
                </c:pt>
                <c:pt idx="162">
                  <c:v>0.96642946031616739</c:v>
                </c:pt>
                <c:pt idx="163">
                  <c:v>0.96611476195099744</c:v>
                </c:pt>
                <c:pt idx="164">
                  <c:v>0.96561517533882868</c:v>
                </c:pt>
                <c:pt idx="165">
                  <c:v>0.96514160622819012</c:v>
                </c:pt>
                <c:pt idx="166">
                  <c:v>0.96513419829736879</c:v>
                </c:pt>
                <c:pt idx="167">
                  <c:v>0.96518695124967191</c:v>
                </c:pt>
                <c:pt idx="168">
                  <c:v>0.96514451065921703</c:v>
                </c:pt>
                <c:pt idx="169">
                  <c:v>0.96463652893601826</c:v>
                </c:pt>
                <c:pt idx="170">
                  <c:v>0.96412957518559872</c:v>
                </c:pt>
                <c:pt idx="171">
                  <c:v>0.96418604026182664</c:v>
                </c:pt>
                <c:pt idx="172">
                  <c:v>0.96434078279915014</c:v>
                </c:pt>
                <c:pt idx="173">
                  <c:v>0.96431493662641643</c:v>
                </c:pt>
                <c:pt idx="174">
                  <c:v>0.96387064842295644</c:v>
                </c:pt>
                <c:pt idx="175">
                  <c:v>0.96341748375613334</c:v>
                </c:pt>
                <c:pt idx="176">
                  <c:v>0.9631827633048865</c:v>
                </c:pt>
                <c:pt idx="177">
                  <c:v>0.96319461762590353</c:v>
                </c:pt>
                <c:pt idx="178">
                  <c:v>0.96313336350188694</c:v>
                </c:pt>
                <c:pt idx="179">
                  <c:v>0.96264501932217617</c:v>
                </c:pt>
                <c:pt idx="180">
                  <c:v>0.96210625552520079</c:v>
                </c:pt>
                <c:pt idx="181">
                  <c:v>0.96192357007701446</c:v>
                </c:pt>
                <c:pt idx="182">
                  <c:v>0.96188577983960843</c:v>
                </c:pt>
                <c:pt idx="183">
                  <c:v>0.96175621447686077</c:v>
                </c:pt>
                <c:pt idx="184">
                  <c:v>0.96134266755460673</c:v>
                </c:pt>
                <c:pt idx="185">
                  <c:v>0.96072101325416703</c:v>
                </c:pt>
                <c:pt idx="186">
                  <c:v>0.96052259819075647</c:v>
                </c:pt>
                <c:pt idx="187">
                  <c:v>0.96057300149099301</c:v>
                </c:pt>
                <c:pt idx="188">
                  <c:v>0.96049973803419086</c:v>
                </c:pt>
                <c:pt idx="189">
                  <c:v>0.96022761079570162</c:v>
                </c:pt>
                <c:pt idx="190">
                  <c:v>0.95971093209645042</c:v>
                </c:pt>
                <c:pt idx="191">
                  <c:v>0.95943610438978721</c:v>
                </c:pt>
                <c:pt idx="192">
                  <c:v>0.95943325706835925</c:v>
                </c:pt>
                <c:pt idx="193">
                  <c:v>0.9593588677366085</c:v>
                </c:pt>
                <c:pt idx="194">
                  <c:v>0.95924963339104907</c:v>
                </c:pt>
                <c:pt idx="195">
                  <c:v>0.95881879857737373</c:v>
                </c:pt>
                <c:pt idx="196">
                  <c:v>0.95850431233357092</c:v>
                </c:pt>
                <c:pt idx="197">
                  <c:v>0.95881862724857736</c:v>
                </c:pt>
                <c:pt idx="198">
                  <c:v>0.95889227415554301</c:v>
                </c:pt>
                <c:pt idx="199">
                  <c:v>0.95873397450606301</c:v>
                </c:pt>
                <c:pt idx="200">
                  <c:v>0.95823912799059818</c:v>
                </c:pt>
                <c:pt idx="201">
                  <c:v>0.95788231537553825</c:v>
                </c:pt>
                <c:pt idx="202">
                  <c:v>0.95846601626828931</c:v>
                </c:pt>
                <c:pt idx="203">
                  <c:v>0.95891279281855613</c:v>
                </c:pt>
                <c:pt idx="204">
                  <c:v>0.95909267989639901</c:v>
                </c:pt>
                <c:pt idx="205">
                  <c:v>0.95878419016047467</c:v>
                </c:pt>
                <c:pt idx="206">
                  <c:v>0.95853263869459737</c:v>
                </c:pt>
                <c:pt idx="207">
                  <c:v>0.95822225618339707</c:v>
                </c:pt>
                <c:pt idx="208">
                  <c:v>0.95805123741040321</c:v>
                </c:pt>
                <c:pt idx="209">
                  <c:v>0.95784756010538485</c:v>
                </c:pt>
                <c:pt idx="210">
                  <c:v>0.9572680608474059</c:v>
                </c:pt>
                <c:pt idx="211">
                  <c:v>0.95676755232314137</c:v>
                </c:pt>
                <c:pt idx="212">
                  <c:v>0.95657040998793363</c:v>
                </c:pt>
                <c:pt idx="213">
                  <c:v>0.95739245371220116</c:v>
                </c:pt>
                <c:pt idx="214">
                  <c:v>0.95588346309898764</c:v>
                </c:pt>
                <c:pt idx="215">
                  <c:v>0.9546663759624916</c:v>
                </c:pt>
                <c:pt idx="216">
                  <c:v>0.95481915229791203</c:v>
                </c:pt>
                <c:pt idx="217">
                  <c:v>0.95753654938859722</c:v>
                </c:pt>
                <c:pt idx="218">
                  <c:v>0.95759487460604487</c:v>
                </c:pt>
                <c:pt idx="219">
                  <c:v>0.95665770608902301</c:v>
                </c:pt>
                <c:pt idx="220">
                  <c:v>0.95619382113464546</c:v>
                </c:pt>
                <c:pt idx="221">
                  <c:v>0.95579787212734946</c:v>
                </c:pt>
                <c:pt idx="222">
                  <c:v>0.95559313421549563</c:v>
                </c:pt>
                <c:pt idx="223">
                  <c:v>0.95544917723383938</c:v>
                </c:pt>
                <c:pt idx="224">
                  <c:v>0.95516523646690366</c:v>
                </c:pt>
                <c:pt idx="225">
                  <c:v>0.95398399784145294</c:v>
                </c:pt>
                <c:pt idx="226">
                  <c:v>0.95395781716964034</c:v>
                </c:pt>
                <c:pt idx="227">
                  <c:v>0.95388465977352177</c:v>
                </c:pt>
                <c:pt idx="228">
                  <c:v>0.95352353946300616</c:v>
                </c:pt>
                <c:pt idx="229">
                  <c:v>0.95318955437045527</c:v>
                </c:pt>
                <c:pt idx="230">
                  <c:v>0.95288464622222979</c:v>
                </c:pt>
                <c:pt idx="231">
                  <c:v>0.9528242732177381</c:v>
                </c:pt>
                <c:pt idx="232">
                  <c:v>0.95266988149652176</c:v>
                </c:pt>
                <c:pt idx="233">
                  <c:v>0.95235601529979208</c:v>
                </c:pt>
                <c:pt idx="234">
                  <c:v>0.95200147891017173</c:v>
                </c:pt>
                <c:pt idx="235">
                  <c:v>0.95179295544776588</c:v>
                </c:pt>
                <c:pt idx="236">
                  <c:v>0.95179103819694755</c:v>
                </c:pt>
                <c:pt idx="237">
                  <c:v>0.95174868735014806</c:v>
                </c:pt>
                <c:pt idx="238">
                  <c:v>0.95138218242031292</c:v>
                </c:pt>
                <c:pt idx="239">
                  <c:v>0.95106314372563072</c:v>
                </c:pt>
                <c:pt idx="240">
                  <c:v>0.9508396412312996</c:v>
                </c:pt>
                <c:pt idx="241">
                  <c:v>0.95066333574115569</c:v>
                </c:pt>
                <c:pt idx="242">
                  <c:v>0.9505426713173134</c:v>
                </c:pt>
                <c:pt idx="243">
                  <c:v>0.95030222358915406</c:v>
                </c:pt>
                <c:pt idx="244">
                  <c:v>0.94996068371252762</c:v>
                </c:pt>
                <c:pt idx="245">
                  <c:v>0.94971211826281843</c:v>
                </c:pt>
                <c:pt idx="246">
                  <c:v>0.949591168290982</c:v>
                </c:pt>
                <c:pt idx="247">
                  <c:v>0.9492641424109759</c:v>
                </c:pt>
                <c:pt idx="248">
                  <c:v>0.9488578402492609</c:v>
                </c:pt>
                <c:pt idx="249">
                  <c:v>0.94838036321035879</c:v>
                </c:pt>
                <c:pt idx="250">
                  <c:v>0.94797538272793125</c:v>
                </c:pt>
                <c:pt idx="251">
                  <c:v>0.94790618221116119</c:v>
                </c:pt>
                <c:pt idx="252">
                  <c:v>0.94795732793618248</c:v>
                </c:pt>
                <c:pt idx="253">
                  <c:v>0.9478014432068822</c:v>
                </c:pt>
                <c:pt idx="254">
                  <c:v>0.94751497330056911</c:v>
                </c:pt>
                <c:pt idx="255">
                  <c:v>0.94741997556215007</c:v>
                </c:pt>
                <c:pt idx="256">
                  <c:v>0.94718418634555346</c:v>
                </c:pt>
                <c:pt idx="257">
                  <c:v>0.94715480753620551</c:v>
                </c:pt>
                <c:pt idx="258">
                  <c:v>0.94704155104318477</c:v>
                </c:pt>
                <c:pt idx="259">
                  <c:v>0.94660480946528613</c:v>
                </c:pt>
                <c:pt idx="260">
                  <c:v>0.94620950498060563</c:v>
                </c:pt>
                <c:pt idx="261">
                  <c:v>0.9462078406437251</c:v>
                </c:pt>
                <c:pt idx="262">
                  <c:v>0.94626420781778364</c:v>
                </c:pt>
                <c:pt idx="263">
                  <c:v>0.94622871828135946</c:v>
                </c:pt>
                <c:pt idx="264">
                  <c:v>0.94601374143428429</c:v>
                </c:pt>
                <c:pt idx="265">
                  <c:v>0.94569411532658543</c:v>
                </c:pt>
                <c:pt idx="266">
                  <c:v>0.94494726046845268</c:v>
                </c:pt>
                <c:pt idx="267">
                  <c:v>0.94467059709611234</c:v>
                </c:pt>
                <c:pt idx="268">
                  <c:v>0.9445044081634778</c:v>
                </c:pt>
                <c:pt idx="269">
                  <c:v>0.94403517938235149</c:v>
                </c:pt>
                <c:pt idx="270">
                  <c:v>0.94360726531673123</c:v>
                </c:pt>
                <c:pt idx="271">
                  <c:v>0.94337096211374505</c:v>
                </c:pt>
                <c:pt idx="272">
                  <c:v>0.94329791077831016</c:v>
                </c:pt>
                <c:pt idx="273">
                  <c:v>0.94321078600601727</c:v>
                </c:pt>
                <c:pt idx="274">
                  <c:v>0.94283733002215153</c:v>
                </c:pt>
                <c:pt idx="275">
                  <c:v>0.94251050810499848</c:v>
                </c:pt>
                <c:pt idx="276">
                  <c:v>0.94229334477613902</c:v>
                </c:pt>
                <c:pt idx="277">
                  <c:v>0.94215717101695362</c:v>
                </c:pt>
                <c:pt idx="278">
                  <c:v>0.94208191688270615</c:v>
                </c:pt>
                <c:pt idx="279">
                  <c:v>0.94189400998548278</c:v>
                </c:pt>
                <c:pt idx="280">
                  <c:v>0.94150092461664303</c:v>
                </c:pt>
                <c:pt idx="281">
                  <c:v>0.94123797570653933</c:v>
                </c:pt>
                <c:pt idx="282">
                  <c:v>0.94119887194835983</c:v>
                </c:pt>
                <c:pt idx="283">
                  <c:v>0.94099827040316497</c:v>
                </c:pt>
                <c:pt idx="284">
                  <c:v>0.94070782730047531</c:v>
                </c:pt>
                <c:pt idx="285">
                  <c:v>0.94032361839499856</c:v>
                </c:pt>
                <c:pt idx="286">
                  <c:v>0.94008040493055234</c:v>
                </c:pt>
                <c:pt idx="287">
                  <c:v>0.94007045154332536</c:v>
                </c:pt>
                <c:pt idx="288">
                  <c:v>0.94021670922596357</c:v>
                </c:pt>
                <c:pt idx="289">
                  <c:v>0.93996049109000923</c:v>
                </c:pt>
                <c:pt idx="290">
                  <c:v>0.93984672876911302</c:v>
                </c:pt>
                <c:pt idx="291">
                  <c:v>0.93970465640421863</c:v>
                </c:pt>
                <c:pt idx="292">
                  <c:v>0.93951428563573092</c:v>
                </c:pt>
                <c:pt idx="293">
                  <c:v>0.93936087293620907</c:v>
                </c:pt>
                <c:pt idx="294">
                  <c:v>0.93904465708741258</c:v>
                </c:pt>
                <c:pt idx="295">
                  <c:v>0.93881579444930441</c:v>
                </c:pt>
                <c:pt idx="296">
                  <c:v>0.93845916132155494</c:v>
                </c:pt>
                <c:pt idx="297">
                  <c:v>0.94037960211889349</c:v>
                </c:pt>
                <c:pt idx="298">
                  <c:v>0.94066561514841573</c:v>
                </c:pt>
                <c:pt idx="299">
                  <c:v>0.94017924532912223</c:v>
                </c:pt>
                <c:pt idx="300">
                  <c:v>0.93846189442378536</c:v>
                </c:pt>
                <c:pt idx="301">
                  <c:v>0.93882463012009687</c:v>
                </c:pt>
                <c:pt idx="302">
                  <c:v>0.93849427556632958</c:v>
                </c:pt>
                <c:pt idx="303">
                  <c:v>0.9381000887980836</c:v>
                </c:pt>
                <c:pt idx="304">
                  <c:v>0.93756984248984998</c:v>
                </c:pt>
                <c:pt idx="305">
                  <c:v>0.93715153915386373</c:v>
                </c:pt>
                <c:pt idx="306">
                  <c:v>0.93693350286399335</c:v>
                </c:pt>
                <c:pt idx="307">
                  <c:v>0.9369306392255371</c:v>
                </c:pt>
                <c:pt idx="308">
                  <c:v>0.93645835916012965</c:v>
                </c:pt>
                <c:pt idx="309">
                  <c:v>0.93587820722102089</c:v>
                </c:pt>
                <c:pt idx="310">
                  <c:v>0.93561658814871884</c:v>
                </c:pt>
                <c:pt idx="311">
                  <c:v>0.93572545536114282</c:v>
                </c:pt>
                <c:pt idx="312">
                  <c:v>0.93575542974202164</c:v>
                </c:pt>
                <c:pt idx="313">
                  <c:v>0.93543018241809373</c:v>
                </c:pt>
                <c:pt idx="314">
                  <c:v>0.93481255026511545</c:v>
                </c:pt>
                <c:pt idx="315">
                  <c:v>0.93446407565148648</c:v>
                </c:pt>
                <c:pt idx="316">
                  <c:v>0.93453107336944408</c:v>
                </c:pt>
                <c:pt idx="317">
                  <c:v>0.93459864218339006</c:v>
                </c:pt>
                <c:pt idx="318">
                  <c:v>0.93434731915590807</c:v>
                </c:pt>
                <c:pt idx="319">
                  <c:v>0.93398013706940097</c:v>
                </c:pt>
                <c:pt idx="320">
                  <c:v>0.9336948501476352</c:v>
                </c:pt>
                <c:pt idx="321">
                  <c:v>0.93359499809331448</c:v>
                </c:pt>
                <c:pt idx="322">
                  <c:v>0.93356794446049096</c:v>
                </c:pt>
                <c:pt idx="323">
                  <c:v>0.93318955257558223</c:v>
                </c:pt>
                <c:pt idx="324">
                  <c:v>0.93272406039392297</c:v>
                </c:pt>
                <c:pt idx="325">
                  <c:v>0.93228562184508734</c:v>
                </c:pt>
                <c:pt idx="326">
                  <c:v>0.93230344819844058</c:v>
                </c:pt>
                <c:pt idx="327">
                  <c:v>0.93231503328849175</c:v>
                </c:pt>
                <c:pt idx="328">
                  <c:v>0.93213558677041131</c:v>
                </c:pt>
                <c:pt idx="329">
                  <c:v>0.9316627111334731</c:v>
                </c:pt>
                <c:pt idx="330">
                  <c:v>0.93131844631313043</c:v>
                </c:pt>
                <c:pt idx="331">
                  <c:v>0.93139190557427132</c:v>
                </c:pt>
                <c:pt idx="332">
                  <c:v>0.93149028909605047</c:v>
                </c:pt>
                <c:pt idx="333">
                  <c:v>0.93134400693786989</c:v>
                </c:pt>
                <c:pt idx="334">
                  <c:v>0.93099081670307937</c:v>
                </c:pt>
                <c:pt idx="335">
                  <c:v>0.93067989572994714</c:v>
                </c:pt>
                <c:pt idx="336">
                  <c:v>0.93063097727928068</c:v>
                </c:pt>
                <c:pt idx="337">
                  <c:v>0.93075511723013815</c:v>
                </c:pt>
                <c:pt idx="338">
                  <c:v>0.93054836416529652</c:v>
                </c:pt>
                <c:pt idx="339">
                  <c:v>0.93009085916896128</c:v>
                </c:pt>
                <c:pt idx="340">
                  <c:v>0.92964537982243955</c:v>
                </c:pt>
                <c:pt idx="341">
                  <c:v>0.92972210248922882</c:v>
                </c:pt>
                <c:pt idx="342">
                  <c:v>0.92986043825465592</c:v>
                </c:pt>
                <c:pt idx="343">
                  <c:v>0.92981541141522495</c:v>
                </c:pt>
                <c:pt idx="344">
                  <c:v>0.92949073518728553</c:v>
                </c:pt>
                <c:pt idx="345">
                  <c:v>0.92904892717211807</c:v>
                </c:pt>
                <c:pt idx="346">
                  <c:v>0.92897121732512034</c:v>
                </c:pt>
                <c:pt idx="347">
                  <c:v>0.92914998668652882</c:v>
                </c:pt>
                <c:pt idx="348">
                  <c:v>0.9290776696173646</c:v>
                </c:pt>
                <c:pt idx="349">
                  <c:v>0.92857314710415295</c:v>
                </c:pt>
                <c:pt idx="350">
                  <c:v>0.92805584019931442</c:v>
                </c:pt>
                <c:pt idx="351">
                  <c:v>0.92768868258834969</c:v>
                </c:pt>
                <c:pt idx="352">
                  <c:v>0.92762264757505841</c:v>
                </c:pt>
                <c:pt idx="353">
                  <c:v>0.92748141553711838</c:v>
                </c:pt>
                <c:pt idx="354">
                  <c:v>0.92714535818198085</c:v>
                </c:pt>
                <c:pt idx="355">
                  <c:v>0.92670796392295263</c:v>
                </c:pt>
                <c:pt idx="356">
                  <c:v>0.92625355916198326</c:v>
                </c:pt>
                <c:pt idx="357">
                  <c:v>0.92619708592724115</c:v>
                </c:pt>
                <c:pt idx="358">
                  <c:v>0.92616691574202348</c:v>
                </c:pt>
                <c:pt idx="359">
                  <c:v>0.92607615227243301</c:v>
                </c:pt>
                <c:pt idx="360">
                  <c:v>0.9258807640177612</c:v>
                </c:pt>
                <c:pt idx="361">
                  <c:v>0.9256642696870595</c:v>
                </c:pt>
                <c:pt idx="362">
                  <c:v>0.92576128257846646</c:v>
                </c:pt>
                <c:pt idx="363">
                  <c:v>0.92582240616625722</c:v>
                </c:pt>
                <c:pt idx="364">
                  <c:v>0.92551393274736105</c:v>
                </c:pt>
                <c:pt idx="365">
                  <c:v>0.92519480430902368</c:v>
                </c:pt>
                <c:pt idx="366">
                  <c:v>0.92469047760015088</c:v>
                </c:pt>
                <c:pt idx="367">
                  <c:v>0.92461324094697217</c:v>
                </c:pt>
                <c:pt idx="368">
                  <c:v>0.92463975611786375</c:v>
                </c:pt>
                <c:pt idx="369">
                  <c:v>0.92427416494161008</c:v>
                </c:pt>
                <c:pt idx="370">
                  <c:v>0.92381657836013364</c:v>
                </c:pt>
                <c:pt idx="371">
                  <c:v>0.92343607342006773</c:v>
                </c:pt>
                <c:pt idx="372">
                  <c:v>0.92332492182368997</c:v>
                </c:pt>
                <c:pt idx="373">
                  <c:v>0.92327623996993291</c:v>
                </c:pt>
                <c:pt idx="374">
                  <c:v>0.92275651814491488</c:v>
                </c:pt>
                <c:pt idx="375">
                  <c:v>0.92157297065996813</c:v>
                </c:pt>
                <c:pt idx="376">
                  <c:v>0.92153451958291821</c:v>
                </c:pt>
                <c:pt idx="377">
                  <c:v>0.92148808132054427</c:v>
                </c:pt>
                <c:pt idx="378">
                  <c:v>0.92141957427747456</c:v>
                </c:pt>
                <c:pt idx="379">
                  <c:v>0.92111918594607178</c:v>
                </c:pt>
                <c:pt idx="380">
                  <c:v>0.92078306332282145</c:v>
                </c:pt>
                <c:pt idx="381">
                  <c:v>0.92078650621578029</c:v>
                </c:pt>
                <c:pt idx="382">
                  <c:v>0.92093942124594075</c:v>
                </c:pt>
                <c:pt idx="383">
                  <c:v>0.92047578104698691</c:v>
                </c:pt>
                <c:pt idx="384">
                  <c:v>0.92004547653672941</c:v>
                </c:pt>
                <c:pt idx="385">
                  <c:v>0.91964718603588069</c:v>
                </c:pt>
                <c:pt idx="386">
                  <c:v>0.91934193523006225</c:v>
                </c:pt>
                <c:pt idx="387">
                  <c:v>0.9190964863327471</c:v>
                </c:pt>
                <c:pt idx="388">
                  <c:v>0.9188540642441706</c:v>
                </c:pt>
                <c:pt idx="389">
                  <c:v>0.91853891716072389</c:v>
                </c:pt>
                <c:pt idx="390">
                  <c:v>0.91846664904264452</c:v>
                </c:pt>
                <c:pt idx="391">
                  <c:v>0.91792090971609608</c:v>
                </c:pt>
                <c:pt idx="392">
                  <c:v>0.91762310763366961</c:v>
                </c:pt>
                <c:pt idx="393">
                  <c:v>0.917262468675487</c:v>
                </c:pt>
                <c:pt idx="394">
                  <c:v>0.91688521898255515</c:v>
                </c:pt>
                <c:pt idx="395">
                  <c:v>0.91679022124413601</c:v>
                </c:pt>
                <c:pt idx="396">
                  <c:v>0.9164786394313601</c:v>
                </c:pt>
                <c:pt idx="397">
                  <c:v>0.91660616516557758</c:v>
                </c:pt>
                <c:pt idx="398">
                  <c:v>0.91649458116795146</c:v>
                </c:pt>
                <c:pt idx="399">
                  <c:v>0.91603826731467786</c:v>
                </c:pt>
                <c:pt idx="400">
                  <c:v>0.9154770186527863</c:v>
                </c:pt>
                <c:pt idx="401">
                  <c:v>0.91542331931284526</c:v>
                </c:pt>
                <c:pt idx="402">
                  <c:v>0.91557488002966181</c:v>
                </c:pt>
                <c:pt idx="403">
                  <c:v>0.9157086225516391</c:v>
                </c:pt>
                <c:pt idx="404">
                  <c:v>0.915394119990808</c:v>
                </c:pt>
                <c:pt idx="405">
                  <c:v>0.91466023717012679</c:v>
                </c:pt>
                <c:pt idx="406">
                  <c:v>0.91447693167486732</c:v>
                </c:pt>
                <c:pt idx="407">
                  <c:v>0.91455813336590863</c:v>
                </c:pt>
                <c:pt idx="408">
                  <c:v>0.91459074294684828</c:v>
                </c:pt>
                <c:pt idx="409">
                  <c:v>0.91419796760154515</c:v>
                </c:pt>
                <c:pt idx="410">
                  <c:v>0.91321432818809301</c:v>
                </c:pt>
                <c:pt idx="411">
                  <c:v>0.91282690482805284</c:v>
                </c:pt>
                <c:pt idx="412">
                  <c:v>0.91337973390337202</c:v>
                </c:pt>
                <c:pt idx="413">
                  <c:v>0.91349077943906609</c:v>
                </c:pt>
                <c:pt idx="414">
                  <c:v>0.91346761741747806</c:v>
                </c:pt>
                <c:pt idx="415">
                  <c:v>0.91342118731361832</c:v>
                </c:pt>
                <c:pt idx="416">
                  <c:v>0.91296661122385236</c:v>
                </c:pt>
                <c:pt idx="417">
                  <c:v>0.91302950520920723</c:v>
                </c:pt>
                <c:pt idx="418">
                  <c:v>0.9158227112131001</c:v>
                </c:pt>
                <c:pt idx="419">
                  <c:v>0.91508035985476188</c:v>
                </c:pt>
                <c:pt idx="420">
                  <c:v>0.91467304603729593</c:v>
                </c:pt>
                <c:pt idx="421">
                  <c:v>0.91405136726131386</c:v>
                </c:pt>
                <c:pt idx="422">
                  <c:v>0.91353563494970069</c:v>
                </c:pt>
                <c:pt idx="423">
                  <c:v>0.91338901829244112</c:v>
                </c:pt>
                <c:pt idx="424">
                  <c:v>0.91352554286773358</c:v>
                </c:pt>
                <c:pt idx="425">
                  <c:v>0.91321162771991915</c:v>
                </c:pt>
                <c:pt idx="426">
                  <c:v>0.91262190584374703</c:v>
                </c:pt>
                <c:pt idx="427">
                  <c:v>0.91214589733738649</c:v>
                </c:pt>
                <c:pt idx="428">
                  <c:v>0.91197367926281692</c:v>
                </c:pt>
                <c:pt idx="429">
                  <c:v>0.91199577251905528</c:v>
                </c:pt>
                <c:pt idx="430">
                  <c:v>0.91178160336487801</c:v>
                </c:pt>
                <c:pt idx="431">
                  <c:v>0.91127814145850206</c:v>
                </c:pt>
                <c:pt idx="432">
                  <c:v>0.9108002891279503</c:v>
                </c:pt>
                <c:pt idx="433">
                  <c:v>0.9105097889156617</c:v>
                </c:pt>
                <c:pt idx="434">
                  <c:v>0.91058983209769795</c:v>
                </c:pt>
                <c:pt idx="435">
                  <c:v>0.91041356740012447</c:v>
                </c:pt>
                <c:pt idx="436">
                  <c:v>0.90993495632775956</c:v>
                </c:pt>
                <c:pt idx="437">
                  <c:v>0.90946376950324426</c:v>
                </c:pt>
                <c:pt idx="438">
                  <c:v>0.90918914575943399</c:v>
                </c:pt>
                <c:pt idx="439">
                  <c:v>0.90923484975553714</c:v>
                </c:pt>
                <c:pt idx="440">
                  <c:v>0.90906361070266195</c:v>
                </c:pt>
                <c:pt idx="441">
                  <c:v>0.90853431078206626</c:v>
                </c:pt>
                <c:pt idx="442">
                  <c:v>0.90804320902458291</c:v>
                </c:pt>
                <c:pt idx="443">
                  <c:v>0.9078597729930975</c:v>
                </c:pt>
                <c:pt idx="444">
                  <c:v>0.90805231392634134</c:v>
                </c:pt>
                <c:pt idx="445">
                  <c:v>0.90795927423131118</c:v>
                </c:pt>
                <c:pt idx="446">
                  <c:v>0.9075587727731359</c:v>
                </c:pt>
                <c:pt idx="447">
                  <c:v>0.90725689143364918</c:v>
                </c:pt>
                <c:pt idx="448">
                  <c:v>0.90655042122041274</c:v>
                </c:pt>
                <c:pt idx="449">
                  <c:v>0.90434479140347812</c:v>
                </c:pt>
                <c:pt idx="450">
                  <c:v>0.90079422237526507</c:v>
                </c:pt>
                <c:pt idx="451">
                  <c:v>0.90189881176055353</c:v>
                </c:pt>
                <c:pt idx="452">
                  <c:v>0.90195936425235601</c:v>
                </c:pt>
                <c:pt idx="453">
                  <c:v>0.90226807426816158</c:v>
                </c:pt>
                <c:pt idx="454">
                  <c:v>0.90351543765055875</c:v>
                </c:pt>
                <c:pt idx="455">
                  <c:v>0.90370841914356503</c:v>
                </c:pt>
                <c:pt idx="456">
                  <c:v>0.90348168587764233</c:v>
                </c:pt>
                <c:pt idx="457">
                  <c:v>0.90345951919477685</c:v>
                </c:pt>
                <c:pt idx="458">
                  <c:v>0.90351663695213447</c:v>
                </c:pt>
                <c:pt idx="459">
                  <c:v>0.9035729306995659</c:v>
                </c:pt>
                <c:pt idx="460">
                  <c:v>0.903382143846858</c:v>
                </c:pt>
                <c:pt idx="461">
                  <c:v>0.90295282651680908</c:v>
                </c:pt>
                <c:pt idx="462">
                  <c:v>0.90282695696095805</c:v>
                </c:pt>
                <c:pt idx="463">
                  <c:v>0.90299512025400985</c:v>
                </c:pt>
                <c:pt idx="464">
                  <c:v>0.9030909175268127</c:v>
                </c:pt>
                <c:pt idx="465">
                  <c:v>0.90277707580562538</c:v>
                </c:pt>
                <c:pt idx="466">
                  <c:v>0.9023409461162859</c:v>
                </c:pt>
                <c:pt idx="467">
                  <c:v>0.90217824902769483</c:v>
                </c:pt>
                <c:pt idx="468">
                  <c:v>0.90243650679217935</c:v>
                </c:pt>
                <c:pt idx="469">
                  <c:v>0.90256105466874281</c:v>
                </c:pt>
                <c:pt idx="470">
                  <c:v>0.90209366155329351</c:v>
                </c:pt>
                <c:pt idx="471">
                  <c:v>0.90164929992320642</c:v>
                </c:pt>
                <c:pt idx="472">
                  <c:v>0.90133202346757435</c:v>
                </c:pt>
                <c:pt idx="473">
                  <c:v>0.9014132659511862</c:v>
                </c:pt>
                <c:pt idx="474">
                  <c:v>0.9001392568616714</c:v>
                </c:pt>
                <c:pt idx="475">
                  <c:v>0.8973488900206924</c:v>
                </c:pt>
                <c:pt idx="476">
                  <c:v>0.89643971336561801</c:v>
                </c:pt>
                <c:pt idx="477">
                  <c:v>0.89627695100891414</c:v>
                </c:pt>
                <c:pt idx="478">
                  <c:v>0.89781889386066027</c:v>
                </c:pt>
                <c:pt idx="479">
                  <c:v>0.89814419013567282</c:v>
                </c:pt>
                <c:pt idx="480">
                  <c:v>0.89800648257583282</c:v>
                </c:pt>
                <c:pt idx="481">
                  <c:v>0.89805748144760011</c:v>
                </c:pt>
                <c:pt idx="482">
                  <c:v>0.89785088339452679</c:v>
                </c:pt>
                <c:pt idx="483">
                  <c:v>0.89748446004983273</c:v>
                </c:pt>
                <c:pt idx="484">
                  <c:v>0.8972306731510864</c:v>
                </c:pt>
                <c:pt idx="485">
                  <c:v>0.8972999960455682</c:v>
                </c:pt>
                <c:pt idx="486">
                  <c:v>0.89733683173682222</c:v>
                </c:pt>
                <c:pt idx="487">
                  <c:v>0.89711054718917616</c:v>
                </c:pt>
                <c:pt idx="488">
                  <c:v>0.89671109817932237</c:v>
                </c:pt>
                <c:pt idx="489">
                  <c:v>0.89650681714425928</c:v>
                </c:pt>
                <c:pt idx="490">
                  <c:v>0.89652718895401806</c:v>
                </c:pt>
                <c:pt idx="491">
                  <c:v>0.89652838009707969</c:v>
                </c:pt>
                <c:pt idx="492">
                  <c:v>0.89556365211935895</c:v>
                </c:pt>
                <c:pt idx="493">
                  <c:v>0.89632139859384263</c:v>
                </c:pt>
                <c:pt idx="494">
                  <c:v>0.89668021820337629</c:v>
                </c:pt>
                <c:pt idx="495">
                  <c:v>0.89630064333392012</c:v>
                </c:pt>
                <c:pt idx="496">
                  <c:v>0.89601108950926933</c:v>
                </c:pt>
                <c:pt idx="497">
                  <c:v>0.89574468138917862</c:v>
                </c:pt>
                <c:pt idx="498">
                  <c:v>0.89601963963206777</c:v>
                </c:pt>
                <c:pt idx="499">
                  <c:v>0.89606154991910469</c:v>
                </c:pt>
                <c:pt idx="500">
                  <c:v>0.89593979225437037</c:v>
                </c:pt>
                <c:pt idx="501">
                  <c:v>0.89572181307409893</c:v>
                </c:pt>
                <c:pt idx="502">
                  <c:v>0.89557412765148958</c:v>
                </c:pt>
                <c:pt idx="503">
                  <c:v>0.89537213100038016</c:v>
                </c:pt>
                <c:pt idx="504">
                  <c:v>0.8952751181089732</c:v>
                </c:pt>
                <c:pt idx="505">
                  <c:v>0.89508621587302728</c:v>
                </c:pt>
                <c:pt idx="506">
                  <c:v>0.89485231127319254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F5-40E0-9F93-8C9B0ADFB138}"/>
            </c:ext>
          </c:extLst>
        </c:ser>
        <c:ser>
          <c:idx val="2"/>
          <c:order val="2"/>
          <c:tx>
            <c:v>435-3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'G11E-V1.2-PreA-0.5C_0.5C循环 25℃'!$AC$3:$AC$512</c:f>
              <c:numCache>
                <c:formatCode>General</c:formatCode>
                <c:ptCount val="5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</c:numCache>
            </c:numRef>
          </c:xVal>
          <c:yVal>
            <c:numRef>
              <c:f>'G11E-V1.2-PreA-0.5C_0.5C循环 25℃'!$AE$3:$AE$512</c:f>
              <c:numCache>
                <c:formatCode>0.00%</c:formatCode>
                <c:ptCount val="510"/>
                <c:pt idx="0">
                  <c:v>1</c:v>
                </c:pt>
                <c:pt idx="1">
                  <c:v>1.0006854357669646</c:v>
                </c:pt>
                <c:pt idx="2">
                  <c:v>1.0002997129106117</c:v>
                </c:pt>
                <c:pt idx="3">
                  <c:v>1.0003061865118137</c:v>
                </c:pt>
                <c:pt idx="4">
                  <c:v>1.0002236851590904</c:v>
                </c:pt>
                <c:pt idx="5">
                  <c:v>1.0003848333538976</c:v>
                </c:pt>
                <c:pt idx="6">
                  <c:v>1.0001600116083365</c:v>
                </c:pt>
                <c:pt idx="7">
                  <c:v>0.99966604124486169</c:v>
                </c:pt>
                <c:pt idx="8">
                  <c:v>0.99940798669923692</c:v>
                </c:pt>
                <c:pt idx="9">
                  <c:v>0.99905481304383859</c:v>
                </c:pt>
                <c:pt idx="10">
                  <c:v>0.99921317742540616</c:v>
                </c:pt>
                <c:pt idx="11">
                  <c:v>0.99891800262454289</c:v>
                </c:pt>
                <c:pt idx="12">
                  <c:v>0.9986266658620514</c:v>
                </c:pt>
                <c:pt idx="13">
                  <c:v>0.99858078236040204</c:v>
                </c:pt>
                <c:pt idx="14">
                  <c:v>0.99830744978649522</c:v>
                </c:pt>
                <c:pt idx="15">
                  <c:v>0.9983798206945893</c:v>
                </c:pt>
                <c:pt idx="16">
                  <c:v>0.99828233781440234</c:v>
                </c:pt>
                <c:pt idx="17">
                  <c:v>0.99833262764765862</c:v>
                </c:pt>
                <c:pt idx="18">
                  <c:v>0.99849214508796447</c:v>
                </c:pt>
                <c:pt idx="19">
                  <c:v>0.99813654177308198</c:v>
                </c:pt>
                <c:pt idx="20">
                  <c:v>0.99728993310290892</c:v>
                </c:pt>
                <c:pt idx="21">
                  <c:v>0.99654722326118761</c:v>
                </c:pt>
                <c:pt idx="22">
                  <c:v>0.9962050695528738</c:v>
                </c:pt>
                <c:pt idx="23">
                  <c:v>0.99616450659368816</c:v>
                </c:pt>
                <c:pt idx="24">
                  <c:v>0.99618588759714921</c:v>
                </c:pt>
                <c:pt idx="25">
                  <c:v>0.99580882915360114</c:v>
                </c:pt>
                <c:pt idx="26">
                  <c:v>0.99548299122643369</c:v>
                </c:pt>
                <c:pt idx="27">
                  <c:v>0.99562974265928006</c:v>
                </c:pt>
                <c:pt idx="28">
                  <c:v>0.99551543335764836</c:v>
                </c:pt>
                <c:pt idx="29">
                  <c:v>0.99569591999472296</c:v>
                </c:pt>
                <c:pt idx="30">
                  <c:v>0.99522135396258649</c:v>
                </c:pt>
                <c:pt idx="31">
                  <c:v>0.99482435583900009</c:v>
                </c:pt>
                <c:pt idx="32">
                  <c:v>0.99490040829892279</c:v>
                </c:pt>
                <c:pt idx="33">
                  <c:v>0.99503529146289893</c:v>
                </c:pt>
                <c:pt idx="34">
                  <c:v>0.99494349975119878</c:v>
                </c:pt>
                <c:pt idx="35">
                  <c:v>0.99437943165257092</c:v>
                </c:pt>
                <c:pt idx="36">
                  <c:v>0.99388892046531085</c:v>
                </c:pt>
                <c:pt idx="37">
                  <c:v>0.99368115575294247</c:v>
                </c:pt>
                <c:pt idx="38">
                  <c:v>0.993646209837039</c:v>
                </c:pt>
                <c:pt idx="39">
                  <c:v>0.99346245345482798</c:v>
                </c:pt>
                <c:pt idx="40">
                  <c:v>0.9928081749821982</c:v>
                </c:pt>
                <c:pt idx="41">
                  <c:v>0.99219688912823822</c:v>
                </c:pt>
                <c:pt idx="42">
                  <c:v>0.99209555997354582</c:v>
                </c:pt>
                <c:pt idx="43">
                  <c:v>0.99225709526664374</c:v>
                </c:pt>
                <c:pt idx="44">
                  <c:v>0.99242352282324531</c:v>
                </c:pt>
                <c:pt idx="45">
                  <c:v>0.99196131922800967</c:v>
                </c:pt>
                <c:pt idx="46">
                  <c:v>0.99157871786638407</c:v>
                </c:pt>
                <c:pt idx="47">
                  <c:v>0.9916380015577988</c:v>
                </c:pt>
                <c:pt idx="48">
                  <c:v>0.99039028493325076</c:v>
                </c:pt>
                <c:pt idx="49">
                  <c:v>0.98917149361076562</c:v>
                </c:pt>
                <c:pt idx="50">
                  <c:v>0.98795594732501524</c:v>
                </c:pt>
                <c:pt idx="51">
                  <c:v>0.98717835745646154</c:v>
                </c:pt>
                <c:pt idx="52">
                  <c:v>0.98748418157838602</c:v>
                </c:pt>
                <c:pt idx="53">
                  <c:v>0.9890155671248162</c:v>
                </c:pt>
                <c:pt idx="54">
                  <c:v>0.99059802493721771</c:v>
                </c:pt>
                <c:pt idx="55">
                  <c:v>0.990211560828819</c:v>
                </c:pt>
                <c:pt idx="56">
                  <c:v>0.98957889397139787</c:v>
                </c:pt>
                <c:pt idx="57">
                  <c:v>0.98998053727447266</c:v>
                </c:pt>
                <c:pt idx="58">
                  <c:v>0.98999565881621177</c:v>
                </c:pt>
                <c:pt idx="59">
                  <c:v>0.989756860351516</c:v>
                </c:pt>
                <c:pt idx="60">
                  <c:v>0.98904193098925341</c:v>
                </c:pt>
                <c:pt idx="61">
                  <c:v>0.9884230596560224</c:v>
                </c:pt>
                <c:pt idx="62">
                  <c:v>0.98837713497370383</c:v>
                </c:pt>
                <c:pt idx="63">
                  <c:v>0.98834173607043885</c:v>
                </c:pt>
                <c:pt idx="64">
                  <c:v>0.98815525352792533</c:v>
                </c:pt>
                <c:pt idx="65">
                  <c:v>0.9875708174702994</c:v>
                </c:pt>
                <c:pt idx="66">
                  <c:v>0.98723064043410824</c:v>
                </c:pt>
                <c:pt idx="67">
                  <c:v>0.98734233064517729</c:v>
                </c:pt>
                <c:pt idx="68">
                  <c:v>0.98739914349643854</c:v>
                </c:pt>
                <c:pt idx="69">
                  <c:v>0.98777863159947099</c:v>
                </c:pt>
                <c:pt idx="70">
                  <c:v>0.98697094689784826</c:v>
                </c:pt>
                <c:pt idx="71">
                  <c:v>0.98619570432744019</c:v>
                </c:pt>
                <c:pt idx="72">
                  <c:v>0.98612288043198459</c:v>
                </c:pt>
                <c:pt idx="73">
                  <c:v>0.98593750976754002</c:v>
                </c:pt>
                <c:pt idx="74">
                  <c:v>0.98599919017390358</c:v>
                </c:pt>
                <c:pt idx="75">
                  <c:v>0.98516862549246009</c:v>
                </c:pt>
                <c:pt idx="76">
                  <c:v>0.9851413885978354</c:v>
                </c:pt>
                <c:pt idx="77">
                  <c:v>0.98490412205403488</c:v>
                </c:pt>
                <c:pt idx="78">
                  <c:v>0.98467272787366555</c:v>
                </c:pt>
                <c:pt idx="79">
                  <c:v>0.98370475153515569</c:v>
                </c:pt>
                <c:pt idx="80">
                  <c:v>0.98286612367867809</c:v>
                </c:pt>
                <c:pt idx="81">
                  <c:v>0.98422086062640535</c:v>
                </c:pt>
                <c:pt idx="82">
                  <c:v>0.98398467301613834</c:v>
                </c:pt>
                <c:pt idx="83">
                  <c:v>0.98348340543807711</c:v>
                </c:pt>
                <c:pt idx="84">
                  <c:v>0.98266560676409298</c:v>
                </c:pt>
                <c:pt idx="85">
                  <c:v>0.98196209268333912</c:v>
                </c:pt>
                <c:pt idx="86">
                  <c:v>0.98429216083709958</c:v>
                </c:pt>
                <c:pt idx="87">
                  <c:v>0.98355183947419333</c:v>
                </c:pt>
                <c:pt idx="88">
                  <c:v>0.98309723783049663</c:v>
                </c:pt>
                <c:pt idx="89">
                  <c:v>0.9827750320383547</c:v>
                </c:pt>
                <c:pt idx="90">
                  <c:v>0.98245278506554368</c:v>
                </c:pt>
                <c:pt idx="91">
                  <c:v>0.98250310784333539</c:v>
                </c:pt>
                <c:pt idx="92">
                  <c:v>0.98256266332716691</c:v>
                </c:pt>
                <c:pt idx="93">
                  <c:v>0.98251769403637446</c:v>
                </c:pt>
                <c:pt idx="94">
                  <c:v>0.98217033509147056</c:v>
                </c:pt>
                <c:pt idx="95">
                  <c:v>0.9817275522998411</c:v>
                </c:pt>
                <c:pt idx="96">
                  <c:v>0.9817810212807615</c:v>
                </c:pt>
                <c:pt idx="97">
                  <c:v>0.98179268364628569</c:v>
                </c:pt>
                <c:pt idx="98">
                  <c:v>0.98183583275149855</c:v>
                </c:pt>
                <c:pt idx="99">
                  <c:v>0.98146276059673132</c:v>
                </c:pt>
                <c:pt idx="100">
                  <c:v>0.98100735181191767</c:v>
                </c:pt>
                <c:pt idx="101">
                  <c:v>0.98091423408266865</c:v>
                </c:pt>
                <c:pt idx="102">
                  <c:v>0.98102495242994403</c:v>
                </c:pt>
                <c:pt idx="103">
                  <c:v>0.98095424522088659</c:v>
                </c:pt>
                <c:pt idx="104">
                  <c:v>0.98038620730574555</c:v>
                </c:pt>
                <c:pt idx="105">
                  <c:v>0.97980815425184931</c:v>
                </c:pt>
                <c:pt idx="106">
                  <c:v>0.97955497549746073</c:v>
                </c:pt>
                <c:pt idx="107">
                  <c:v>0.97946967385923023</c:v>
                </c:pt>
                <c:pt idx="108">
                  <c:v>0.97931207543811027</c:v>
                </c:pt>
                <c:pt idx="109">
                  <c:v>0.97879291074120423</c:v>
                </c:pt>
                <c:pt idx="110">
                  <c:v>0.97832334404231147</c:v>
                </c:pt>
                <c:pt idx="111">
                  <c:v>0.97821802036270433</c:v>
                </c:pt>
                <c:pt idx="112">
                  <c:v>0.97835947596148853</c:v>
                </c:pt>
                <c:pt idx="113">
                  <c:v>0.97880530612264061</c:v>
                </c:pt>
                <c:pt idx="114">
                  <c:v>0.97867937563615381</c:v>
                </c:pt>
                <c:pt idx="115">
                  <c:v>0.9781437551438259</c:v>
                </c:pt>
                <c:pt idx="116">
                  <c:v>0.97800652468170413</c:v>
                </c:pt>
                <c:pt idx="117">
                  <c:v>0.97824840346045772</c:v>
                </c:pt>
                <c:pt idx="118">
                  <c:v>0.97826498279788732</c:v>
                </c:pt>
                <c:pt idx="119">
                  <c:v>0.97793524917941133</c:v>
                </c:pt>
                <c:pt idx="120">
                  <c:v>0.97739473642357966</c:v>
                </c:pt>
                <c:pt idx="121">
                  <c:v>0.97717490577512855</c:v>
                </c:pt>
                <c:pt idx="122">
                  <c:v>0.97737096694130365</c:v>
                </c:pt>
                <c:pt idx="123">
                  <c:v>0.97744790066754772</c:v>
                </c:pt>
                <c:pt idx="124">
                  <c:v>0.97716309515919508</c:v>
                </c:pt>
                <c:pt idx="125">
                  <c:v>0.97664108075997869</c:v>
                </c:pt>
                <c:pt idx="126">
                  <c:v>0.97627669772641779</c:v>
                </c:pt>
                <c:pt idx="127">
                  <c:v>0.97641517184475013</c:v>
                </c:pt>
                <c:pt idx="128">
                  <c:v>0.97642988981593082</c:v>
                </c:pt>
                <c:pt idx="129">
                  <c:v>0.97623246145153741</c:v>
                </c:pt>
                <c:pt idx="130">
                  <c:v>0.97571713479300304</c:v>
                </c:pt>
                <c:pt idx="131">
                  <c:v>0.97542761821609114</c:v>
                </c:pt>
                <c:pt idx="132">
                  <c:v>0.97559281858874991</c:v>
                </c:pt>
                <c:pt idx="133">
                  <c:v>0.97574789675291329</c:v>
                </c:pt>
                <c:pt idx="134">
                  <c:v>0.97567784019842962</c:v>
                </c:pt>
                <c:pt idx="135">
                  <c:v>0.9752109420069025</c:v>
                </c:pt>
                <c:pt idx="136">
                  <c:v>0.97485563519283858</c:v>
                </c:pt>
                <c:pt idx="137">
                  <c:v>0.97481769956034947</c:v>
                </c:pt>
                <c:pt idx="138">
                  <c:v>0.97555851509128633</c:v>
                </c:pt>
                <c:pt idx="139">
                  <c:v>0.9767606282427358</c:v>
                </c:pt>
                <c:pt idx="140">
                  <c:v>0.97648932175775471</c:v>
                </c:pt>
                <c:pt idx="141">
                  <c:v>0.97617261770302122</c:v>
                </c:pt>
                <c:pt idx="142">
                  <c:v>0.97167256712904126</c:v>
                </c:pt>
                <c:pt idx="143">
                  <c:v>0.97466361796838119</c:v>
                </c:pt>
                <c:pt idx="144">
                  <c:v>0.9750034573230848</c:v>
                </c:pt>
                <c:pt idx="145">
                  <c:v>0.97493475973068544</c:v>
                </c:pt>
                <c:pt idx="146">
                  <c:v>0.97471598330736631</c:v>
                </c:pt>
                <c:pt idx="147">
                  <c:v>0.972263336773594</c:v>
                </c:pt>
                <c:pt idx="148">
                  <c:v>0.97107206237428412</c:v>
                </c:pt>
                <c:pt idx="149">
                  <c:v>0.97078158216971244</c:v>
                </c:pt>
                <c:pt idx="150">
                  <c:v>0.97147827673164289</c:v>
                </c:pt>
                <c:pt idx="151">
                  <c:v>0.97158719960174023</c:v>
                </c:pt>
                <c:pt idx="152">
                  <c:v>0.97240716437892538</c:v>
                </c:pt>
                <c:pt idx="153">
                  <c:v>0.97243005259488002</c:v>
                </c:pt>
                <c:pt idx="154">
                  <c:v>0.97205111631281538</c:v>
                </c:pt>
                <c:pt idx="155">
                  <c:v>0.97163435146800159</c:v>
                </c:pt>
                <c:pt idx="156">
                  <c:v>0.97142826692693729</c:v>
                </c:pt>
                <c:pt idx="157">
                  <c:v>0.97106016939701234</c:v>
                </c:pt>
                <c:pt idx="158">
                  <c:v>0.96943757690438503</c:v>
                </c:pt>
                <c:pt idx="159">
                  <c:v>0.9686126786830267</c:v>
                </c:pt>
                <c:pt idx="160">
                  <c:v>0.9680429358881798</c:v>
                </c:pt>
                <c:pt idx="161">
                  <c:v>0.96827657853308868</c:v>
                </c:pt>
                <c:pt idx="162">
                  <c:v>0.96911212607550834</c:v>
                </c:pt>
                <c:pt idx="163">
                  <c:v>0.96915616468317645</c:v>
                </c:pt>
                <c:pt idx="164">
                  <c:v>0.96869117727470144</c:v>
                </c:pt>
                <c:pt idx="165">
                  <c:v>0.96818030636457697</c:v>
                </c:pt>
                <c:pt idx="166">
                  <c:v>0.96797945176850431</c:v>
                </c:pt>
                <c:pt idx="167">
                  <c:v>0.96811912012624424</c:v>
                </c:pt>
                <c:pt idx="168">
                  <c:v>0.96810763895566454</c:v>
                </c:pt>
                <c:pt idx="169">
                  <c:v>0.96772718722497231</c:v>
                </c:pt>
                <c:pt idx="170">
                  <c:v>0.96720794016672784</c:v>
                </c:pt>
                <c:pt idx="171">
                  <c:v>0.96702246243254331</c:v>
                </c:pt>
                <c:pt idx="172">
                  <c:v>0.96722495601925118</c:v>
                </c:pt>
                <c:pt idx="173">
                  <c:v>0.96728914021030366</c:v>
                </c:pt>
                <c:pt idx="174">
                  <c:v>0.96695336950571942</c:v>
                </c:pt>
                <c:pt idx="175">
                  <c:v>0.96639659038554415</c:v>
                </c:pt>
                <c:pt idx="176">
                  <c:v>0.96614881453495782</c:v>
                </c:pt>
                <c:pt idx="177">
                  <c:v>0.96613719335010273</c:v>
                </c:pt>
                <c:pt idx="178">
                  <c:v>0.96615107947176493</c:v>
                </c:pt>
                <c:pt idx="179">
                  <c:v>0.96580969996003252</c:v>
                </c:pt>
                <c:pt idx="180">
                  <c:v>0.96523709099060773</c:v>
                </c:pt>
                <c:pt idx="181">
                  <c:v>0.96485640864816791</c:v>
                </c:pt>
                <c:pt idx="182">
                  <c:v>0.96487180198232381</c:v>
                </c:pt>
                <c:pt idx="183">
                  <c:v>0.96483044011815533</c:v>
                </c:pt>
                <c:pt idx="184">
                  <c:v>0.96453768674064233</c:v>
                </c:pt>
                <c:pt idx="185">
                  <c:v>0.96388377065790187</c:v>
                </c:pt>
                <c:pt idx="186">
                  <c:v>0.9634575260230327</c:v>
                </c:pt>
                <c:pt idx="187">
                  <c:v>0.96354950716581123</c:v>
                </c:pt>
                <c:pt idx="188">
                  <c:v>0.96351167860306208</c:v>
                </c:pt>
                <c:pt idx="189">
                  <c:v>0.96338169593872369</c:v>
                </c:pt>
                <c:pt idx="190">
                  <c:v>0.9628544927751852</c:v>
                </c:pt>
                <c:pt idx="191">
                  <c:v>0.96242781986135606</c:v>
                </c:pt>
                <c:pt idx="192">
                  <c:v>0.96239978406174842</c:v>
                </c:pt>
                <c:pt idx="193">
                  <c:v>0.96235525128604971</c:v>
                </c:pt>
                <c:pt idx="194">
                  <c:v>0.96232643305372678</c:v>
                </c:pt>
                <c:pt idx="195">
                  <c:v>0.96202522940288915</c:v>
                </c:pt>
                <c:pt idx="196">
                  <c:v>0.96155735934756847</c:v>
                </c:pt>
                <c:pt idx="197">
                  <c:v>0.96176075067286537</c:v>
                </c:pt>
                <c:pt idx="198">
                  <c:v>0.96196143231012743</c:v>
                </c:pt>
                <c:pt idx="199">
                  <c:v>0.96187734138357217</c:v>
                </c:pt>
                <c:pt idx="200">
                  <c:v>0.96153244504268798</c:v>
                </c:pt>
                <c:pt idx="201">
                  <c:v>0.96104278217721395</c:v>
                </c:pt>
                <c:pt idx="202">
                  <c:v>0.96114187110350047</c:v>
                </c:pt>
                <c:pt idx="203">
                  <c:v>0.96181403845884117</c:v>
                </c:pt>
                <c:pt idx="204">
                  <c:v>0.96212885643892421</c:v>
                </c:pt>
                <c:pt idx="205">
                  <c:v>0.9619956534462526</c:v>
                </c:pt>
                <c:pt idx="206">
                  <c:v>0.96169450744835172</c:v>
                </c:pt>
                <c:pt idx="207">
                  <c:v>0.96151154997112376</c:v>
                </c:pt>
                <c:pt idx="208">
                  <c:v>0.96111031023860738</c:v>
                </c:pt>
                <c:pt idx="209">
                  <c:v>0.9609149656160767</c:v>
                </c:pt>
                <c:pt idx="210">
                  <c:v>0.96055451121835966</c:v>
                </c:pt>
                <c:pt idx="211">
                  <c:v>0.95990486145295062</c:v>
                </c:pt>
                <c:pt idx="212">
                  <c:v>0.9596232845090652</c:v>
                </c:pt>
                <c:pt idx="213">
                  <c:v>0.96026492051624313</c:v>
                </c:pt>
                <c:pt idx="214">
                  <c:v>0.95894284807534447</c:v>
                </c:pt>
                <c:pt idx="215">
                  <c:v>0.9577730205685665</c:v>
                </c:pt>
                <c:pt idx="216">
                  <c:v>0.95834746619583866</c:v>
                </c:pt>
                <c:pt idx="217">
                  <c:v>0.96143212069632455</c:v>
                </c:pt>
                <c:pt idx="218">
                  <c:v>0.96128936378839291</c:v>
                </c:pt>
                <c:pt idx="219">
                  <c:v>0.96021841930455554</c:v>
                </c:pt>
                <c:pt idx="220">
                  <c:v>0.9597007947646784</c:v>
                </c:pt>
                <c:pt idx="221">
                  <c:v>0.95938672627277533</c:v>
                </c:pt>
                <c:pt idx="222">
                  <c:v>0.95913518650902174</c:v>
                </c:pt>
                <c:pt idx="223">
                  <c:v>0.9589319022534647</c:v>
                </c:pt>
                <c:pt idx="224">
                  <c:v>0.95859469022545762</c:v>
                </c:pt>
                <c:pt idx="225">
                  <c:v>0.95739634098717519</c:v>
                </c:pt>
                <c:pt idx="226">
                  <c:v>0.95731472090077352</c:v>
                </c:pt>
                <c:pt idx="227">
                  <c:v>0.95723823192575697</c:v>
                </c:pt>
                <c:pt idx="228">
                  <c:v>0.95686428674080215</c:v>
                </c:pt>
                <c:pt idx="229">
                  <c:v>0.95653692512887356</c:v>
                </c:pt>
                <c:pt idx="230">
                  <c:v>0.9562154605887776</c:v>
                </c:pt>
                <c:pt idx="231">
                  <c:v>0.95608338594644271</c:v>
                </c:pt>
                <c:pt idx="232">
                  <c:v>0.95589120399930849</c:v>
                </c:pt>
                <c:pt idx="233">
                  <c:v>0.95558994269553388</c:v>
                </c:pt>
                <c:pt idx="234">
                  <c:v>0.95521389729644868</c:v>
                </c:pt>
                <c:pt idx="235">
                  <c:v>0.95496668150296371</c:v>
                </c:pt>
                <c:pt idx="236">
                  <c:v>0.95500162741886707</c:v>
                </c:pt>
                <c:pt idx="237">
                  <c:v>0.95495981256733709</c:v>
                </c:pt>
                <c:pt idx="238">
                  <c:v>0.95461658816162343</c:v>
                </c:pt>
                <c:pt idx="239">
                  <c:v>0.95425660322353545</c:v>
                </c:pt>
                <c:pt idx="240">
                  <c:v>0.95398827821900622</c:v>
                </c:pt>
                <c:pt idx="241">
                  <c:v>0.95388792092810748</c:v>
                </c:pt>
                <c:pt idx="242">
                  <c:v>0.95375106932814258</c:v>
                </c:pt>
                <c:pt idx="243">
                  <c:v>0.95350634084707864</c:v>
                </c:pt>
                <c:pt idx="244">
                  <c:v>0.95323028211286909</c:v>
                </c:pt>
                <c:pt idx="245">
                  <c:v>0.95290444418570164</c:v>
                </c:pt>
                <c:pt idx="246">
                  <c:v>0.95274626099907878</c:v>
                </c:pt>
                <c:pt idx="247">
                  <c:v>0.95264094555560552</c:v>
                </c:pt>
                <c:pt idx="248">
                  <c:v>0.95228849667998572</c:v>
                </c:pt>
                <c:pt idx="249">
                  <c:v>0.95171989870774321</c:v>
                </c:pt>
                <c:pt idx="250">
                  <c:v>0.95127980089574715</c:v>
                </c:pt>
                <c:pt idx="251">
                  <c:v>0.95117295353137876</c:v>
                </c:pt>
                <c:pt idx="252">
                  <c:v>0.95124727640319406</c:v>
                </c:pt>
                <c:pt idx="253">
                  <c:v>0.95115263498918368</c:v>
                </c:pt>
                <c:pt idx="254">
                  <c:v>0.95079367133169246</c:v>
                </c:pt>
                <c:pt idx="255">
                  <c:v>0.95070053713017566</c:v>
                </c:pt>
                <c:pt idx="256">
                  <c:v>0.95044510991124731</c:v>
                </c:pt>
                <c:pt idx="257">
                  <c:v>0.95044689715229169</c:v>
                </c:pt>
                <c:pt idx="258">
                  <c:v>0.9503717918477611</c:v>
                </c:pt>
                <c:pt idx="259">
                  <c:v>0.94985127642490452</c:v>
                </c:pt>
                <c:pt idx="260">
                  <c:v>0.94948784878286951</c:v>
                </c:pt>
                <c:pt idx="261">
                  <c:v>0.9493569683799421</c:v>
                </c:pt>
                <c:pt idx="262">
                  <c:v>0.9494474587824947</c:v>
                </c:pt>
                <c:pt idx="263">
                  <c:v>0.94948256118494112</c:v>
                </c:pt>
                <c:pt idx="264">
                  <c:v>0.94929934838756391</c:v>
                </c:pt>
                <c:pt idx="265">
                  <c:v>0.9489854281460699</c:v>
                </c:pt>
                <c:pt idx="266">
                  <c:v>0.94835902898650482</c:v>
                </c:pt>
                <c:pt idx="267">
                  <c:v>0.94776634032276641</c:v>
                </c:pt>
                <c:pt idx="268">
                  <c:v>0.94762688610450652</c:v>
                </c:pt>
                <c:pt idx="269">
                  <c:v>0.94731136805304661</c:v>
                </c:pt>
                <c:pt idx="270">
                  <c:v>0.94682350066475074</c:v>
                </c:pt>
                <c:pt idx="271">
                  <c:v>0.94646372163000902</c:v>
                </c:pt>
                <c:pt idx="272">
                  <c:v>0.94638025664962588</c:v>
                </c:pt>
                <c:pt idx="273">
                  <c:v>0.94640750178038446</c:v>
                </c:pt>
                <c:pt idx="274">
                  <c:v>0.94606132883875438</c:v>
                </c:pt>
                <c:pt idx="275">
                  <c:v>0.94563932581281518</c:v>
                </c:pt>
                <c:pt idx="276">
                  <c:v>0.94537203856115037</c:v>
                </c:pt>
                <c:pt idx="277">
                  <c:v>0.94525067089281367</c:v>
                </c:pt>
                <c:pt idx="278">
                  <c:v>0.94517696573103671</c:v>
                </c:pt>
                <c:pt idx="279">
                  <c:v>0.9451184891807386</c:v>
                </c:pt>
                <c:pt idx="280">
                  <c:v>0.94468151286346969</c:v>
                </c:pt>
                <c:pt idx="281">
                  <c:v>0.94438588507524501</c:v>
                </c:pt>
                <c:pt idx="282">
                  <c:v>0.94433629531336549</c:v>
                </c:pt>
                <c:pt idx="283">
                  <c:v>0.94430640638364294</c:v>
                </c:pt>
                <c:pt idx="284">
                  <c:v>0.94371314942666906</c:v>
                </c:pt>
                <c:pt idx="285">
                  <c:v>0.94349785688796639</c:v>
                </c:pt>
                <c:pt idx="286">
                  <c:v>0.94311262819964425</c:v>
                </c:pt>
                <c:pt idx="287">
                  <c:v>0.94308832336866832</c:v>
                </c:pt>
                <c:pt idx="288">
                  <c:v>0.94321331493589677</c:v>
                </c:pt>
                <c:pt idx="289">
                  <c:v>0.94313872850779845</c:v>
                </c:pt>
                <c:pt idx="290">
                  <c:v>0.94290795203746758</c:v>
                </c:pt>
                <c:pt idx="291">
                  <c:v>0.94285722568911756</c:v>
                </c:pt>
                <c:pt idx="292">
                  <c:v>0.94262818704302787</c:v>
                </c:pt>
                <c:pt idx="293">
                  <c:v>0.9424296056198963</c:v>
                </c:pt>
                <c:pt idx="294">
                  <c:v>0.94223889794072035</c:v>
                </c:pt>
                <c:pt idx="295">
                  <c:v>0.94183782293088081</c:v>
                </c:pt>
                <c:pt idx="296">
                  <c:v>0.94168852653267643</c:v>
                </c:pt>
                <c:pt idx="297">
                  <c:v>0.94121868804136677</c:v>
                </c:pt>
                <c:pt idx="298">
                  <c:v>0.94420027556291897</c:v>
                </c:pt>
                <c:pt idx="299">
                  <c:v>0.94416618620493542</c:v>
                </c:pt>
                <c:pt idx="300">
                  <c:v>0.94217707752008129</c:v>
                </c:pt>
                <c:pt idx="301">
                  <c:v>0.94242216015490055</c:v>
                </c:pt>
                <c:pt idx="302">
                  <c:v>0.94209899073509895</c:v>
                </c:pt>
                <c:pt idx="303">
                  <c:v>0.94165800342064754</c:v>
                </c:pt>
                <c:pt idx="304">
                  <c:v>0.94127246999537317</c:v>
                </c:pt>
                <c:pt idx="305">
                  <c:v>0.94065437285872366</c:v>
                </c:pt>
                <c:pt idx="306">
                  <c:v>0.940298621293432</c:v>
                </c:pt>
                <c:pt idx="307">
                  <c:v>0.94004748510023672</c:v>
                </c:pt>
                <c:pt idx="308">
                  <c:v>0.94001398874389008</c:v>
                </c:pt>
                <c:pt idx="309">
                  <c:v>0.93953817905554293</c:v>
                </c:pt>
                <c:pt idx="310">
                  <c:v>0.93891583207382945</c:v>
                </c:pt>
                <c:pt idx="311">
                  <c:v>0.93865592439808965</c:v>
                </c:pt>
                <c:pt idx="312">
                  <c:v>0.938795666881034</c:v>
                </c:pt>
                <c:pt idx="313">
                  <c:v>0.938854777613638</c:v>
                </c:pt>
                <c:pt idx="314">
                  <c:v>0.93850162866664133</c:v>
                </c:pt>
                <c:pt idx="315">
                  <c:v>0.93774040399603709</c:v>
                </c:pt>
                <c:pt idx="316">
                  <c:v>0.93743821200913813</c:v>
                </c:pt>
                <c:pt idx="317">
                  <c:v>0.93754499348443565</c:v>
                </c:pt>
                <c:pt idx="318">
                  <c:v>0.9375762166678413</c:v>
                </c:pt>
                <c:pt idx="319">
                  <c:v>0.93737734698002506</c:v>
                </c:pt>
                <c:pt idx="320">
                  <c:v>0.93699177237408149</c:v>
                </c:pt>
                <c:pt idx="321">
                  <c:v>0.93668206903311602</c:v>
                </c:pt>
                <c:pt idx="322">
                  <c:v>0.93656535478040159</c:v>
                </c:pt>
                <c:pt idx="323">
                  <c:v>0.93653931212518449</c:v>
                </c:pt>
                <c:pt idx="324">
                  <c:v>0.93621994779921891</c:v>
                </c:pt>
                <c:pt idx="325">
                  <c:v>0.93570334453993875</c:v>
                </c:pt>
                <c:pt idx="326">
                  <c:v>0.93521856570183459</c:v>
                </c:pt>
                <c:pt idx="327">
                  <c:v>0.93525601540242687</c:v>
                </c:pt>
                <c:pt idx="328">
                  <c:v>0.9352838700070899</c:v>
                </c:pt>
                <c:pt idx="329">
                  <c:v>0.93508540388983219</c:v>
                </c:pt>
                <c:pt idx="330">
                  <c:v>0.93469220262394825</c:v>
                </c:pt>
                <c:pt idx="331">
                  <c:v>0.93428742135387854</c:v>
                </c:pt>
                <c:pt idx="332">
                  <c:v>0.93430960126232265</c:v>
                </c:pt>
                <c:pt idx="333">
                  <c:v>0.93442102791710868</c:v>
                </c:pt>
                <c:pt idx="334">
                  <c:v>0.93435271742300008</c:v>
                </c:pt>
                <c:pt idx="335">
                  <c:v>0.93399744355347136</c:v>
                </c:pt>
                <c:pt idx="336">
                  <c:v>0.9336082203402345</c:v>
                </c:pt>
                <c:pt idx="337">
                  <c:v>0.93351972308207232</c:v>
                </c:pt>
                <c:pt idx="338">
                  <c:v>0.93363058967975698</c:v>
                </c:pt>
                <c:pt idx="339">
                  <c:v>0.93351404014971939</c:v>
                </c:pt>
                <c:pt idx="340">
                  <c:v>0.93297287673931395</c:v>
                </c:pt>
                <c:pt idx="341">
                  <c:v>0.93257472555698928</c:v>
                </c:pt>
                <c:pt idx="342">
                  <c:v>0.93249847542985431</c:v>
                </c:pt>
                <c:pt idx="343">
                  <c:v>0.93273767746510838</c:v>
                </c:pt>
                <c:pt idx="344">
                  <c:v>0.93276325066069654</c:v>
                </c:pt>
                <c:pt idx="345">
                  <c:v>0.93245149652240367</c:v>
                </c:pt>
                <c:pt idx="346">
                  <c:v>0.93194107859964082</c:v>
                </c:pt>
                <c:pt idx="347">
                  <c:v>0.93172688970287332</c:v>
                </c:pt>
                <c:pt idx="348">
                  <c:v>0.93191328164791465</c:v>
                </c:pt>
                <c:pt idx="349">
                  <c:v>0.93203091834761975</c:v>
                </c:pt>
                <c:pt idx="350">
                  <c:v>0.93153385943395306</c:v>
                </c:pt>
                <c:pt idx="351">
                  <c:v>0.93097069731004822</c:v>
                </c:pt>
                <c:pt idx="352">
                  <c:v>0.930553586547613</c:v>
                </c:pt>
                <c:pt idx="353">
                  <c:v>0.93037160093417859</c:v>
                </c:pt>
                <c:pt idx="354">
                  <c:v>0.930255372613361</c:v>
                </c:pt>
                <c:pt idx="355">
                  <c:v>0.93002120285588608</c:v>
                </c:pt>
                <c:pt idx="356">
                  <c:v>0.92955600954406492</c:v>
                </c:pt>
                <c:pt idx="357">
                  <c:v>0.92909423422778936</c:v>
                </c:pt>
                <c:pt idx="358">
                  <c:v>0.92885448037156759</c:v>
                </c:pt>
                <c:pt idx="359">
                  <c:v>0.92895566951198472</c:v>
                </c:pt>
                <c:pt idx="360">
                  <c:v>0.92883387356468794</c:v>
                </c:pt>
                <c:pt idx="361">
                  <c:v>0.92864987833459545</c:v>
                </c:pt>
                <c:pt idx="362">
                  <c:v>0.92841386368313927</c:v>
                </c:pt>
                <c:pt idx="363">
                  <c:v>0.92841129400937972</c:v>
                </c:pt>
                <c:pt idx="364">
                  <c:v>0.92853168981392276</c:v>
                </c:pt>
                <c:pt idx="365">
                  <c:v>0.92840136946809682</c:v>
                </c:pt>
                <c:pt idx="366">
                  <c:v>0.92789824875992044</c:v>
                </c:pt>
                <c:pt idx="367">
                  <c:v>0.92753840383610775</c:v>
                </c:pt>
                <c:pt idx="368">
                  <c:v>0.9272540183705813</c:v>
                </c:pt>
                <c:pt idx="369">
                  <c:v>0.9273668698765225</c:v>
                </c:pt>
                <c:pt idx="370">
                  <c:v>0.92719699961597379</c:v>
                </c:pt>
                <c:pt idx="371">
                  <c:v>0.9265782600608844</c:v>
                </c:pt>
                <c:pt idx="372">
                  <c:v>0.92618401280600204</c:v>
                </c:pt>
                <c:pt idx="373">
                  <c:v>0.92596780605644269</c:v>
                </c:pt>
                <c:pt idx="374">
                  <c:v>0.92595471883976332</c:v>
                </c:pt>
                <c:pt idx="375">
                  <c:v>0.9246380493026668</c:v>
                </c:pt>
                <c:pt idx="376">
                  <c:v>0.92429867117145847</c:v>
                </c:pt>
                <c:pt idx="377">
                  <c:v>0.92412694778079474</c:v>
                </c:pt>
                <c:pt idx="378">
                  <c:v>0.92411054963830974</c:v>
                </c:pt>
                <c:pt idx="379">
                  <c:v>0.92407237515793927</c:v>
                </c:pt>
                <c:pt idx="380">
                  <c:v>0.9238915096587077</c:v>
                </c:pt>
                <c:pt idx="381">
                  <c:v>0.9235865091501676</c:v>
                </c:pt>
                <c:pt idx="382">
                  <c:v>0.92335031330376693</c:v>
                </c:pt>
                <c:pt idx="383">
                  <c:v>0.92364580107771621</c:v>
                </c:pt>
                <c:pt idx="384">
                  <c:v>0.92340401289643492</c:v>
                </c:pt>
                <c:pt idx="385">
                  <c:v>0.92288990518570957</c:v>
                </c:pt>
                <c:pt idx="386">
                  <c:v>0.92246977176215317</c:v>
                </c:pt>
                <c:pt idx="387">
                  <c:v>0.9220308681895647</c:v>
                </c:pt>
                <c:pt idx="388">
                  <c:v>0.92178027558120312</c:v>
                </c:pt>
                <c:pt idx="389">
                  <c:v>0.92159354595467424</c:v>
                </c:pt>
                <c:pt idx="390">
                  <c:v>0.92120831726635211</c:v>
                </c:pt>
                <c:pt idx="391">
                  <c:v>0.92117736587536347</c:v>
                </c:pt>
                <c:pt idx="392">
                  <c:v>0.92068547101761744</c:v>
                </c:pt>
                <c:pt idx="393">
                  <c:v>0.92035818353089338</c:v>
                </c:pt>
                <c:pt idx="394">
                  <c:v>0.91996475988939563</c:v>
                </c:pt>
                <c:pt idx="395">
                  <c:v>0.91954017071742933</c:v>
                </c:pt>
                <c:pt idx="396">
                  <c:v>0.91949564617786439</c:v>
                </c:pt>
                <c:pt idx="397">
                  <c:v>0.91901043906080038</c:v>
                </c:pt>
                <c:pt idx="398">
                  <c:v>0.91902298269264604</c:v>
                </c:pt>
                <c:pt idx="399">
                  <c:v>0.91909725614765825</c:v>
                </c:pt>
                <c:pt idx="400">
                  <c:v>0.91893868586274463</c:v>
                </c:pt>
                <c:pt idx="401">
                  <c:v>0.9182125224139176</c:v>
                </c:pt>
                <c:pt idx="402">
                  <c:v>0.91774640665510576</c:v>
                </c:pt>
                <c:pt idx="403">
                  <c:v>0.91801506110498898</c:v>
                </c:pt>
                <c:pt idx="404">
                  <c:v>0.91818003086589994</c:v>
                </c:pt>
                <c:pt idx="405">
                  <c:v>0.91819619016050347</c:v>
                </c:pt>
                <c:pt idx="406">
                  <c:v>0.91756165370069964</c:v>
                </c:pt>
                <c:pt idx="407">
                  <c:v>0.91687859817641626</c:v>
                </c:pt>
                <c:pt idx="408">
                  <c:v>0.91688639779516723</c:v>
                </c:pt>
                <c:pt idx="409">
                  <c:v>0.91701773942159004</c:v>
                </c:pt>
                <c:pt idx="410">
                  <c:v>0.91697992733110856</c:v>
                </c:pt>
                <c:pt idx="411">
                  <c:v>0.91632513821818051</c:v>
                </c:pt>
                <c:pt idx="412">
                  <c:v>0.91535247551951282</c:v>
                </c:pt>
                <c:pt idx="413">
                  <c:v>0.91550868203401314</c:v>
                </c:pt>
                <c:pt idx="414">
                  <c:v>0.91612009966611463</c:v>
                </c:pt>
                <c:pt idx="415">
                  <c:v>0.91605444120710389</c:v>
                </c:pt>
                <c:pt idx="416">
                  <c:v>0.91594992466861358</c:v>
                </c:pt>
                <c:pt idx="417">
                  <c:v>0.91583008068503813</c:v>
                </c:pt>
                <c:pt idx="418">
                  <c:v>0.91535900677365178</c:v>
                </c:pt>
                <c:pt idx="419">
                  <c:v>0.9155683610598524</c:v>
                </c:pt>
                <c:pt idx="420">
                  <c:v>0.91905786271947865</c:v>
                </c:pt>
                <c:pt idx="421">
                  <c:v>0.91811237102636511</c:v>
                </c:pt>
                <c:pt idx="422">
                  <c:v>0.91762396828936921</c:v>
                </c:pt>
                <c:pt idx="423">
                  <c:v>0.91699828567344854</c:v>
                </c:pt>
                <c:pt idx="424">
                  <c:v>0.91647384161474799</c:v>
                </c:pt>
                <c:pt idx="425">
                  <c:v>0.91636096540040535</c:v>
                </c:pt>
                <c:pt idx="426">
                  <c:v>0.9164142202418456</c:v>
                </c:pt>
                <c:pt idx="427">
                  <c:v>0.91605405410881324</c:v>
                </c:pt>
                <c:pt idx="428">
                  <c:v>0.91537094093159299</c:v>
                </c:pt>
                <c:pt idx="429">
                  <c:v>0.9148502854944609</c:v>
                </c:pt>
                <c:pt idx="430">
                  <c:v>0.91469284355988401</c:v>
                </c:pt>
                <c:pt idx="431">
                  <c:v>0.91491026102111872</c:v>
                </c:pt>
                <c:pt idx="432">
                  <c:v>0.91459968464996577</c:v>
                </c:pt>
                <c:pt idx="433">
                  <c:v>0.91405072162080925</c:v>
                </c:pt>
                <c:pt idx="434">
                  <c:v>0.91356095168559526</c:v>
                </c:pt>
                <c:pt idx="435">
                  <c:v>0.91332030009078446</c:v>
                </c:pt>
                <c:pt idx="436">
                  <c:v>0.91344685652344348</c:v>
                </c:pt>
                <c:pt idx="437">
                  <c:v>0.91321063596864116</c:v>
                </c:pt>
                <c:pt idx="438">
                  <c:v>0.91273024698987626</c:v>
                </c:pt>
                <c:pt idx="439">
                  <c:v>0.91216586591816251</c:v>
                </c:pt>
                <c:pt idx="440">
                  <c:v>0.91195702227226028</c:v>
                </c:pt>
                <c:pt idx="441">
                  <c:v>0.91201263264798016</c:v>
                </c:pt>
                <c:pt idx="442">
                  <c:v>0.91177290350016005</c:v>
                </c:pt>
                <c:pt idx="443">
                  <c:v>0.911201365228135</c:v>
                </c:pt>
                <c:pt idx="444">
                  <c:v>0.91072246698959614</c:v>
                </c:pt>
                <c:pt idx="445">
                  <c:v>0.91047455936086807</c:v>
                </c:pt>
                <c:pt idx="446">
                  <c:v>0.91063893612014235</c:v>
                </c:pt>
                <c:pt idx="447">
                  <c:v>0.91061642676634458</c:v>
                </c:pt>
                <c:pt idx="448">
                  <c:v>0.9102092158367906</c:v>
                </c:pt>
                <c:pt idx="449">
                  <c:v>0.90982453896943605</c:v>
                </c:pt>
                <c:pt idx="450">
                  <c:v>0.90344616394694843</c:v>
                </c:pt>
                <c:pt idx="451">
                  <c:v>0.90446385358934545</c:v>
                </c:pt>
                <c:pt idx="452">
                  <c:v>0.90436333981190364</c:v>
                </c:pt>
                <c:pt idx="453">
                  <c:v>0.90408579033746828</c:v>
                </c:pt>
                <c:pt idx="454">
                  <c:v>0.90403209074480029</c:v>
                </c:pt>
                <c:pt idx="455">
                  <c:v>0.90450687915255068</c:v>
                </c:pt>
                <c:pt idx="456">
                  <c:v>0.90571885919234618</c:v>
                </c:pt>
                <c:pt idx="457">
                  <c:v>0.90613692534630741</c:v>
                </c:pt>
                <c:pt idx="458">
                  <c:v>0.90589278163074638</c:v>
                </c:pt>
                <c:pt idx="459">
                  <c:v>0.90579203724155699</c:v>
                </c:pt>
                <c:pt idx="460">
                  <c:v>0.90588301357600653</c:v>
                </c:pt>
                <c:pt idx="461">
                  <c:v>0.90597844565886598</c:v>
                </c:pt>
                <c:pt idx="462">
                  <c:v>0.90585590845952335</c:v>
                </c:pt>
                <c:pt idx="463">
                  <c:v>0.90537423464387878</c:v>
                </c:pt>
                <c:pt idx="464">
                  <c:v>0.90505780238156219</c:v>
                </c:pt>
                <c:pt idx="465">
                  <c:v>0.90542011814552803</c:v>
                </c:pt>
                <c:pt idx="466">
                  <c:v>0.90551601968801676</c:v>
                </c:pt>
                <c:pt idx="467">
                  <c:v>0.90515491463572606</c:v>
                </c:pt>
                <c:pt idx="468">
                  <c:v>0.90479345542967993</c:v>
                </c:pt>
                <c:pt idx="469">
                  <c:v>0.90441375318716766</c:v>
                </c:pt>
                <c:pt idx="470">
                  <c:v>0.90465723801202103</c:v>
                </c:pt>
                <c:pt idx="471">
                  <c:v>0.90486361905390367</c:v>
                </c:pt>
                <c:pt idx="472">
                  <c:v>0.90455225201390144</c:v>
                </c:pt>
                <c:pt idx="473">
                  <c:v>0.9039964694659216</c:v>
                </c:pt>
                <c:pt idx="474">
                  <c:v>0.90360437184197284</c:v>
                </c:pt>
                <c:pt idx="475">
                  <c:v>0.90364133561066828</c:v>
                </c:pt>
                <c:pt idx="476">
                  <c:v>0.9033682089401075</c:v>
                </c:pt>
                <c:pt idx="477">
                  <c:v>0.89964505639943859</c:v>
                </c:pt>
                <c:pt idx="478">
                  <c:v>0.8983301411588509</c:v>
                </c:pt>
                <c:pt idx="479">
                  <c:v>0.89765691134224435</c:v>
                </c:pt>
                <c:pt idx="480">
                  <c:v>0.89968500164858578</c:v>
                </c:pt>
                <c:pt idx="481">
                  <c:v>0.90019978472228634</c:v>
                </c:pt>
                <c:pt idx="482">
                  <c:v>0.9001950654175932</c:v>
                </c:pt>
                <c:pt idx="483">
                  <c:v>0.90002213131525433</c:v>
                </c:pt>
                <c:pt idx="484">
                  <c:v>0.90015115858806671</c:v>
                </c:pt>
                <c:pt idx="485">
                  <c:v>0.89965582102637365</c:v>
                </c:pt>
                <c:pt idx="486">
                  <c:v>0.89933301399646115</c:v>
                </c:pt>
                <c:pt idx="487">
                  <c:v>0.89924116463182402</c:v>
                </c:pt>
                <c:pt idx="488">
                  <c:v>0.89942861080199754</c:v>
                </c:pt>
                <c:pt idx="489">
                  <c:v>0.89945140842047999</c:v>
                </c:pt>
                <c:pt idx="490">
                  <c:v>0.89887104924910721</c:v>
                </c:pt>
                <c:pt idx="491">
                  <c:v>0.89867680003237782</c:v>
                </c:pt>
                <c:pt idx="492">
                  <c:v>0.89840751140018882</c:v>
                </c:pt>
                <c:pt idx="493">
                  <c:v>0.89870309800774439</c:v>
                </c:pt>
                <c:pt idx="494">
                  <c:v>0.89840643246665508</c:v>
                </c:pt>
                <c:pt idx="495">
                  <c:v>0.89736505570332048</c:v>
                </c:pt>
                <c:pt idx="496">
                  <c:v>0.8991229102220808</c:v>
                </c:pt>
                <c:pt idx="497">
                  <c:v>0.89882023230328478</c:v>
                </c:pt>
                <c:pt idx="498">
                  <c:v>0.89854226278602334</c:v>
                </c:pt>
                <c:pt idx="499">
                  <c:v>0.89830140528786651</c:v>
                </c:pt>
                <c:pt idx="500">
                  <c:v>0.89811115059605195</c:v>
                </c:pt>
                <c:pt idx="501">
                  <c:v>0.89846197695330432</c:v>
                </c:pt>
                <c:pt idx="502">
                  <c:v>0.89841938790519305</c:v>
                </c:pt>
                <c:pt idx="503">
                  <c:v>0.89821192792977678</c:v>
                </c:pt>
                <c:pt idx="504">
                  <c:v>0.89800220301755307</c:v>
                </c:pt>
                <c:pt idx="505">
                  <c:v>0.8978312208789353</c:v>
                </c:pt>
                <c:pt idx="506">
                  <c:v>0.89765521469867238</c:v>
                </c:pt>
                <c:pt idx="507">
                  <c:v>0.89751857723818729</c:v>
                </c:pt>
                <c:pt idx="508">
                  <c:v>0.89737741814022154</c:v>
                </c:pt>
                <c:pt idx="509">
                  <c:v>0.89711340063369316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F5-40E0-9F93-8C9B0ADFB138}"/>
            </c:ext>
          </c:extLst>
        </c:ser>
        <c:ser>
          <c:idx val="3"/>
          <c:order val="3"/>
          <c:tx>
            <c:v>450-1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'G11E-V1.2-PreA-0.5C_0.5C循环 25℃'!$AJ$3:$AJ$521</c:f>
              <c:numCache>
                <c:formatCode>General</c:formatCode>
                <c:ptCount val="5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</c:numCache>
            </c:numRef>
          </c:xVal>
          <c:yVal>
            <c:numRef>
              <c:f>'G11E-V1.2-PreA-0.5C_0.5C循环 25℃'!$AL$3:$AL$521</c:f>
              <c:numCache>
                <c:formatCode>0.00%</c:formatCode>
                <c:ptCount val="519"/>
                <c:pt idx="0">
                  <c:v>1</c:v>
                </c:pt>
                <c:pt idx="1">
                  <c:v>1.0005845832339595</c:v>
                </c:pt>
                <c:pt idx="2">
                  <c:v>0.99993599607847805</c:v>
                </c:pt>
                <c:pt idx="3">
                  <c:v>1.0000834561734102</c:v>
                </c:pt>
                <c:pt idx="4">
                  <c:v>0.9996811585780726</c:v>
                </c:pt>
                <c:pt idx="5">
                  <c:v>0.99983110505106565</c:v>
                </c:pt>
                <c:pt idx="6">
                  <c:v>0.99969021029428129</c:v>
                </c:pt>
                <c:pt idx="7">
                  <c:v>0.99925059265177452</c:v>
                </c:pt>
                <c:pt idx="8">
                  <c:v>0.99904142812875585</c:v>
                </c:pt>
                <c:pt idx="9">
                  <c:v>0.99854247868036439</c:v>
                </c:pt>
                <c:pt idx="10">
                  <c:v>0.99844894698801467</c:v>
                </c:pt>
                <c:pt idx="11">
                  <c:v>0.9981552049838327</c:v>
                </c:pt>
                <c:pt idx="12">
                  <c:v>0.99786773580273258</c:v>
                </c:pt>
                <c:pt idx="13">
                  <c:v>0.99771248343145913</c:v>
                </c:pt>
                <c:pt idx="14">
                  <c:v>0.9973091945350645</c:v>
                </c:pt>
                <c:pt idx="15">
                  <c:v>0.997373759110463</c:v>
                </c:pt>
                <c:pt idx="16">
                  <c:v>0.99716935608268509</c:v>
                </c:pt>
                <c:pt idx="17">
                  <c:v>0.99717368693074537</c:v>
                </c:pt>
                <c:pt idx="18">
                  <c:v>0.99729469878846111</c:v>
                </c:pt>
                <c:pt idx="19">
                  <c:v>0.99686454725850659</c:v>
                </c:pt>
                <c:pt idx="20">
                  <c:v>0.99605632000576194</c:v>
                </c:pt>
                <c:pt idx="21">
                  <c:v>0.99511281266041607</c:v>
                </c:pt>
                <c:pt idx="22">
                  <c:v>0.99478747902910736</c:v>
                </c:pt>
                <c:pt idx="23">
                  <c:v>0.99481166027456247</c:v>
                </c:pt>
                <c:pt idx="24">
                  <c:v>0.994952278767118</c:v>
                </c:pt>
                <c:pt idx="25">
                  <c:v>0.99459063264053416</c:v>
                </c:pt>
                <c:pt idx="26">
                  <c:v>0.99373219030146143</c:v>
                </c:pt>
                <c:pt idx="27">
                  <c:v>0.9935489946159678</c:v>
                </c:pt>
                <c:pt idx="28">
                  <c:v>0.99327272226156016</c:v>
                </c:pt>
                <c:pt idx="29">
                  <c:v>0.99335794977620318</c:v>
                </c:pt>
                <c:pt idx="30">
                  <c:v>0.99297955716209174</c:v>
                </c:pt>
                <c:pt idx="31">
                  <c:v>0.99239039119209838</c:v>
                </c:pt>
                <c:pt idx="32">
                  <c:v>0.99217087488591105</c:v>
                </c:pt>
                <c:pt idx="33">
                  <c:v>0.99228969288063185</c:v>
                </c:pt>
                <c:pt idx="34">
                  <c:v>0.9922127370420214</c:v>
                </c:pt>
                <c:pt idx="35">
                  <c:v>0.99194535389545246</c:v>
                </c:pt>
                <c:pt idx="36">
                  <c:v>0.99117846877203419</c:v>
                </c:pt>
                <c:pt idx="37">
                  <c:v>0.9907225352891802</c:v>
                </c:pt>
                <c:pt idx="38">
                  <c:v>0.99071115157786205</c:v>
                </c:pt>
                <c:pt idx="39">
                  <c:v>0.99033297022463151</c:v>
                </c:pt>
                <c:pt idx="40">
                  <c:v>0.98959140390525813</c:v>
                </c:pt>
                <c:pt idx="41">
                  <c:v>0.98885580976848209</c:v>
                </c:pt>
                <c:pt idx="42">
                  <c:v>0.98855854945808985</c:v>
                </c:pt>
                <c:pt idx="43">
                  <c:v>0.98833562047613266</c:v>
                </c:pt>
                <c:pt idx="44">
                  <c:v>0.9883287463720819</c:v>
                </c:pt>
                <c:pt idx="45">
                  <c:v>0.98809353175735326</c:v>
                </c:pt>
                <c:pt idx="46">
                  <c:v>0.9875673134044769</c:v>
                </c:pt>
                <c:pt idx="47">
                  <c:v>0.9872567030314896</c:v>
                </c:pt>
                <c:pt idx="48">
                  <c:v>0.98669821864175122</c:v>
                </c:pt>
                <c:pt idx="49">
                  <c:v>0.98582677563307908</c:v>
                </c:pt>
                <c:pt idx="50">
                  <c:v>0.98398731089144742</c:v>
                </c:pt>
                <c:pt idx="51">
                  <c:v>0.98301689216003074</c:v>
                </c:pt>
                <c:pt idx="52">
                  <c:v>0.98276220091715827</c:v>
                </c:pt>
                <c:pt idx="53">
                  <c:v>0.98354849766537233</c:v>
                </c:pt>
                <c:pt idx="54">
                  <c:v>0.98479322239991973</c:v>
                </c:pt>
                <c:pt idx="55">
                  <c:v>0.98549454352146404</c:v>
                </c:pt>
                <c:pt idx="56">
                  <c:v>0.98476407652376141</c:v>
                </c:pt>
                <c:pt idx="57">
                  <c:v>0.98438770713885615</c:v>
                </c:pt>
                <c:pt idx="58">
                  <c:v>0.98480706811304319</c:v>
                </c:pt>
                <c:pt idx="59">
                  <c:v>0.98463670246336032</c:v>
                </c:pt>
                <c:pt idx="60">
                  <c:v>0.9841817521561449</c:v>
                </c:pt>
                <c:pt idx="61">
                  <c:v>0.98342495067708458</c:v>
                </c:pt>
                <c:pt idx="62">
                  <c:v>0.98288615417637082</c:v>
                </c:pt>
                <c:pt idx="63">
                  <c:v>0.98287057774910702</c:v>
                </c:pt>
                <c:pt idx="64">
                  <c:v>0.98262918781631858</c:v>
                </c:pt>
                <c:pt idx="65">
                  <c:v>0.98207418923111645</c:v>
                </c:pt>
                <c:pt idx="66">
                  <c:v>0.98181522401811305</c:v>
                </c:pt>
                <c:pt idx="67">
                  <c:v>0.98151047207186415</c:v>
                </c:pt>
                <c:pt idx="68">
                  <c:v>0.9814485238812225</c:v>
                </c:pt>
                <c:pt idx="69">
                  <c:v>0.98146033011430256</c:v>
                </c:pt>
                <c:pt idx="70">
                  <c:v>0.98142933164272628</c:v>
                </c:pt>
                <c:pt idx="71">
                  <c:v>0.98059645999567213</c:v>
                </c:pt>
                <c:pt idx="72">
                  <c:v>0.97993566846160407</c:v>
                </c:pt>
                <c:pt idx="73">
                  <c:v>0.97978866339010795</c:v>
                </c:pt>
                <c:pt idx="74">
                  <c:v>0.97948661720821939</c:v>
                </c:pt>
                <c:pt idx="75">
                  <c:v>0.97877282356927797</c:v>
                </c:pt>
                <c:pt idx="76">
                  <c:v>0.97856166831872682</c:v>
                </c:pt>
                <c:pt idx="77">
                  <c:v>0.97838156841768142</c:v>
                </c:pt>
                <c:pt idx="78">
                  <c:v>0.97800845732559449</c:v>
                </c:pt>
                <c:pt idx="79">
                  <c:v>0.97754309835728093</c:v>
                </c:pt>
                <c:pt idx="80">
                  <c:v>0.97689144791902516</c:v>
                </c:pt>
                <c:pt idx="81">
                  <c:v>0.97603958716893724</c:v>
                </c:pt>
                <c:pt idx="82">
                  <c:v>0.97719243779650877</c:v>
                </c:pt>
                <c:pt idx="83">
                  <c:v>0.97668124334243844</c:v>
                </c:pt>
                <c:pt idx="84">
                  <c:v>0.97624596467341052</c:v>
                </c:pt>
                <c:pt idx="85">
                  <c:v>0.97531540924515314</c:v>
                </c:pt>
                <c:pt idx="86">
                  <c:v>0.97456403554565074</c:v>
                </c:pt>
                <c:pt idx="87">
                  <c:v>0.97631821589470968</c:v>
                </c:pt>
                <c:pt idx="88">
                  <c:v>0.97567904609926936</c:v>
                </c:pt>
                <c:pt idx="89">
                  <c:v>0.97532652481766069</c:v>
                </c:pt>
                <c:pt idx="90">
                  <c:v>0.97489946907215463</c:v>
                </c:pt>
                <c:pt idx="91">
                  <c:v>0.97452225464372544</c:v>
                </c:pt>
                <c:pt idx="92">
                  <c:v>0.97444030979815621</c:v>
                </c:pt>
                <c:pt idx="93">
                  <c:v>0.97447087762255202</c:v>
                </c:pt>
                <c:pt idx="94">
                  <c:v>0.97432125616629883</c:v>
                </c:pt>
                <c:pt idx="95">
                  <c:v>0.97391137755550106</c:v>
                </c:pt>
                <c:pt idx="96">
                  <c:v>0.97328330708173127</c:v>
                </c:pt>
                <c:pt idx="97">
                  <c:v>0.97341905844860543</c:v>
                </c:pt>
                <c:pt idx="98">
                  <c:v>0.97327804993596201</c:v>
                </c:pt>
                <c:pt idx="99">
                  <c:v>0.9733581909386243</c:v>
                </c:pt>
                <c:pt idx="100">
                  <c:v>0.97288297583767058</c:v>
                </c:pt>
                <c:pt idx="101">
                  <c:v>0.9724562938614153</c:v>
                </c:pt>
                <c:pt idx="102">
                  <c:v>0.97215877353763114</c:v>
                </c:pt>
                <c:pt idx="103">
                  <c:v>0.97196854123971654</c:v>
                </c:pt>
                <c:pt idx="104">
                  <c:v>0.97182221870337437</c:v>
                </c:pt>
                <c:pt idx="105">
                  <c:v>0.97146660976273591</c:v>
                </c:pt>
                <c:pt idx="106">
                  <c:v>0.97082215844527076</c:v>
                </c:pt>
                <c:pt idx="107">
                  <c:v>0.97032510221938983</c:v>
                </c:pt>
                <c:pt idx="108">
                  <c:v>0.97026933747222655</c:v>
                </c:pt>
                <c:pt idx="109">
                  <c:v>0.97004308519410298</c:v>
                </c:pt>
                <c:pt idx="110">
                  <c:v>0.969658752899068</c:v>
                </c:pt>
                <c:pt idx="111">
                  <c:v>0.96892554763533101</c:v>
                </c:pt>
                <c:pt idx="112">
                  <c:v>0.9685481950747874</c:v>
                </c:pt>
                <c:pt idx="113">
                  <c:v>0.9686270035088157</c:v>
                </c:pt>
                <c:pt idx="114">
                  <c:v>0.96900880067327866</c:v>
                </c:pt>
                <c:pt idx="115">
                  <c:v>0.96900402292720089</c:v>
                </c:pt>
                <c:pt idx="116">
                  <c:v>0.96858028235244253</c:v>
                </c:pt>
                <c:pt idx="117">
                  <c:v>0.96812557580778202</c:v>
                </c:pt>
                <c:pt idx="118">
                  <c:v>0.96828316829958327</c:v>
                </c:pt>
                <c:pt idx="119">
                  <c:v>0.96810505100065181</c:v>
                </c:pt>
                <c:pt idx="120">
                  <c:v>0.96786655371684926</c:v>
                </c:pt>
                <c:pt idx="121">
                  <c:v>0.96733896216824655</c:v>
                </c:pt>
                <c:pt idx="122">
                  <c:v>0.96683054660730305</c:v>
                </c:pt>
                <c:pt idx="123">
                  <c:v>0.96683663254575924</c:v>
                </c:pt>
                <c:pt idx="124">
                  <c:v>0.966844270439149</c:v>
                </c:pt>
                <c:pt idx="125">
                  <c:v>0.96675580088252455</c:v>
                </c:pt>
                <c:pt idx="126">
                  <c:v>0.96620036352472338</c:v>
                </c:pt>
                <c:pt idx="127">
                  <c:v>0.96584556712593483</c:v>
                </c:pt>
                <c:pt idx="128">
                  <c:v>0.965651459003396</c:v>
                </c:pt>
                <c:pt idx="129">
                  <c:v>0.96582131275171335</c:v>
                </c:pt>
                <c:pt idx="130">
                  <c:v>0.96567385265678118</c:v>
                </c:pt>
                <c:pt idx="131">
                  <c:v>0.96526308837536678</c:v>
                </c:pt>
                <c:pt idx="132">
                  <c:v>0.96476442331662293</c:v>
                </c:pt>
                <c:pt idx="133">
                  <c:v>0.96443524636236388</c:v>
                </c:pt>
                <c:pt idx="134">
                  <c:v>0.96453612343303741</c:v>
                </c:pt>
                <c:pt idx="135">
                  <c:v>0.96459201818689677</c:v>
                </c:pt>
                <c:pt idx="136">
                  <c:v>0.96435872929635236</c:v>
                </c:pt>
                <c:pt idx="137">
                  <c:v>0.96392655453719145</c:v>
                </c:pt>
                <c:pt idx="138">
                  <c:v>0.96363723276067337</c:v>
                </c:pt>
                <c:pt idx="139">
                  <c:v>0.9635753089462874</c:v>
                </c:pt>
                <c:pt idx="140">
                  <c:v>0.96401968808403482</c:v>
                </c:pt>
                <c:pt idx="141">
                  <c:v>0.96404767202534769</c:v>
                </c:pt>
                <c:pt idx="142">
                  <c:v>0.96359623189892396</c:v>
                </c:pt>
                <c:pt idx="143">
                  <c:v>0.96308663815229811</c:v>
                </c:pt>
                <c:pt idx="144">
                  <c:v>0.96116100334747745</c:v>
                </c:pt>
                <c:pt idx="145">
                  <c:v>0.96281520042189783</c:v>
                </c:pt>
                <c:pt idx="146">
                  <c:v>0.96303408294544213</c:v>
                </c:pt>
                <c:pt idx="147">
                  <c:v>0.96287736799883883</c:v>
                </c:pt>
                <c:pt idx="148">
                  <c:v>0.96261308876213669</c:v>
                </c:pt>
                <c:pt idx="149">
                  <c:v>0.96016454264976925</c:v>
                </c:pt>
                <c:pt idx="150">
                  <c:v>0.95987746348875691</c:v>
                </c:pt>
                <c:pt idx="151">
                  <c:v>0.95993785159904665</c:v>
                </c:pt>
                <c:pt idx="152">
                  <c:v>0.95954733586053353</c:v>
                </c:pt>
                <c:pt idx="153">
                  <c:v>0.95936228757962183</c:v>
                </c:pt>
                <c:pt idx="154">
                  <c:v>0.95950574184323367</c:v>
                </c:pt>
                <c:pt idx="155">
                  <c:v>0.95939523615163791</c:v>
                </c:pt>
                <c:pt idx="156">
                  <c:v>0.95899171161810692</c:v>
                </c:pt>
                <c:pt idx="157">
                  <c:v>0.95855145206753878</c:v>
                </c:pt>
                <c:pt idx="158">
                  <c:v>0.95833286205906032</c:v>
                </c:pt>
                <c:pt idx="159">
                  <c:v>0.95803497609144361</c:v>
                </c:pt>
                <c:pt idx="160">
                  <c:v>0.95622505537147695</c:v>
                </c:pt>
                <c:pt idx="161">
                  <c:v>0.95528286434392806</c:v>
                </c:pt>
                <c:pt idx="162">
                  <c:v>0.95464707472258359</c:v>
                </c:pt>
                <c:pt idx="163">
                  <c:v>0.9545778624078034</c:v>
                </c:pt>
                <c:pt idx="164">
                  <c:v>0.95527203316106801</c:v>
                </c:pt>
                <c:pt idx="165">
                  <c:v>0.95555965672511967</c:v>
                </c:pt>
                <c:pt idx="166">
                  <c:v>0.95499847469643928</c:v>
                </c:pt>
                <c:pt idx="167">
                  <c:v>0.95446053949008647</c:v>
                </c:pt>
                <c:pt idx="168">
                  <c:v>0.95424741788825829</c:v>
                </c:pt>
                <c:pt idx="169">
                  <c:v>0.95436776346165719</c:v>
                </c:pt>
                <c:pt idx="170">
                  <c:v>0.95429780360837491</c:v>
                </c:pt>
                <c:pt idx="171">
                  <c:v>0.95402782032788602</c:v>
                </c:pt>
                <c:pt idx="172">
                  <c:v>0.95340755025587587</c:v>
                </c:pt>
                <c:pt idx="173">
                  <c:v>0.95303520295312816</c:v>
                </c:pt>
                <c:pt idx="174">
                  <c:v>0.95304443342854384</c:v>
                </c:pt>
                <c:pt idx="175">
                  <c:v>0.95304485595030575</c:v>
                </c:pt>
                <c:pt idx="176">
                  <c:v>0.95296784323376571</c:v>
                </c:pt>
                <c:pt idx="177">
                  <c:v>0.95246791873515446</c:v>
                </c:pt>
                <c:pt idx="178">
                  <c:v>0.95195769120588558</c:v>
                </c:pt>
                <c:pt idx="179">
                  <c:v>0.95189337851846068</c:v>
                </c:pt>
                <c:pt idx="180">
                  <c:v>0.95188781260678834</c:v>
                </c:pt>
                <c:pt idx="181">
                  <c:v>0.95168254015923093</c:v>
                </c:pt>
                <c:pt idx="182">
                  <c:v>0.95093241777417747</c:v>
                </c:pt>
                <c:pt idx="183">
                  <c:v>0.95044054556529933</c:v>
                </c:pt>
                <c:pt idx="184">
                  <c:v>0.95034931336638495</c:v>
                </c:pt>
                <c:pt idx="185">
                  <c:v>0.95029381675803215</c:v>
                </c:pt>
                <c:pt idx="186">
                  <c:v>0.95015533525054208</c:v>
                </c:pt>
                <c:pt idx="187">
                  <c:v>0.94959910972714656</c:v>
                </c:pt>
                <c:pt idx="188">
                  <c:v>0.94897775084905756</c:v>
                </c:pt>
                <c:pt idx="189">
                  <c:v>0.94880306247673285</c:v>
                </c:pt>
                <c:pt idx="190">
                  <c:v>0.9486475825937416</c:v>
                </c:pt>
                <c:pt idx="191">
                  <c:v>0.94849258211044163</c:v>
                </c:pt>
                <c:pt idx="192">
                  <c:v>0.94813716817984706</c:v>
                </c:pt>
                <c:pt idx="193">
                  <c:v>0.94768879133619788</c:v>
                </c:pt>
                <c:pt idx="194">
                  <c:v>0.94737415075563469</c:v>
                </c:pt>
                <c:pt idx="195">
                  <c:v>0.94734164908163598</c:v>
                </c:pt>
                <c:pt idx="196">
                  <c:v>0.94729021518253309</c:v>
                </c:pt>
                <c:pt idx="197">
                  <c:v>0.94711165098558403</c:v>
                </c:pt>
                <c:pt idx="198">
                  <c:v>0.94655991881861878</c:v>
                </c:pt>
                <c:pt idx="199">
                  <c:v>0.94602454311909334</c:v>
                </c:pt>
                <c:pt idx="200">
                  <c:v>0.94632067399631414</c:v>
                </c:pt>
                <c:pt idx="201">
                  <c:v>0.94657156254332886</c:v>
                </c:pt>
                <c:pt idx="202">
                  <c:v>0.94640454456606793</c:v>
                </c:pt>
                <c:pt idx="203">
                  <c:v>0.9459561027190706</c:v>
                </c:pt>
                <c:pt idx="204">
                  <c:v>0.94546431176437751</c:v>
                </c:pt>
                <c:pt idx="205">
                  <c:v>0.94580610749356642</c:v>
                </c:pt>
                <c:pt idx="206">
                  <c:v>0.94624230433488477</c:v>
                </c:pt>
                <c:pt idx="207">
                  <c:v>0.94633708734168354</c:v>
                </c:pt>
                <c:pt idx="208">
                  <c:v>0.94602015539310347</c:v>
                </c:pt>
                <c:pt idx="209">
                  <c:v>0.94566864978880738</c:v>
                </c:pt>
                <c:pt idx="210">
                  <c:v>0.94545341557816942</c:v>
                </c:pt>
                <c:pt idx="211">
                  <c:v>0.94507494983529128</c:v>
                </c:pt>
                <c:pt idx="212">
                  <c:v>0.94484485423421738</c:v>
                </c:pt>
                <c:pt idx="213">
                  <c:v>0.94435139756873188</c:v>
                </c:pt>
                <c:pt idx="214">
                  <c:v>0.94366005446110501</c:v>
                </c:pt>
                <c:pt idx="215">
                  <c:v>0.94343124267615397</c:v>
                </c:pt>
                <c:pt idx="216">
                  <c:v>0.94495258103268609</c:v>
                </c:pt>
                <c:pt idx="217">
                  <c:v>0.94342570114073721</c:v>
                </c:pt>
                <c:pt idx="218">
                  <c:v>0.94230122447456655</c:v>
                </c:pt>
                <c:pt idx="219">
                  <c:v>0.94201558351262893</c:v>
                </c:pt>
                <c:pt idx="220">
                  <c:v>0.94506473618423714</c:v>
                </c:pt>
                <c:pt idx="221">
                  <c:v>0.94513314408258597</c:v>
                </c:pt>
                <c:pt idx="222">
                  <c:v>0.94395444649876692</c:v>
                </c:pt>
                <c:pt idx="223">
                  <c:v>0.943408068982593</c:v>
                </c:pt>
                <c:pt idx="224">
                  <c:v>0.94308872378471853</c:v>
                </c:pt>
                <c:pt idx="225">
                  <c:v>0.94211186972185001</c:v>
                </c:pt>
                <c:pt idx="226">
                  <c:v>0.94182925954101271</c:v>
                </c:pt>
                <c:pt idx="227">
                  <c:v>0.9412711326696882</c:v>
                </c:pt>
                <c:pt idx="228">
                  <c:v>0.94089684339191892</c:v>
                </c:pt>
                <c:pt idx="229">
                  <c:v>0.94072381260496829</c:v>
                </c:pt>
                <c:pt idx="230">
                  <c:v>0.94069847755008629</c:v>
                </c:pt>
                <c:pt idx="231">
                  <c:v>0.94027667895034939</c:v>
                </c:pt>
                <c:pt idx="232">
                  <c:v>0.93981206752053759</c:v>
                </c:pt>
                <c:pt idx="233">
                  <c:v>0.93953668896216502</c:v>
                </c:pt>
                <c:pt idx="234">
                  <c:v>0.93937998214098029</c:v>
                </c:pt>
                <c:pt idx="235">
                  <c:v>0.93937832455560621</c:v>
                </c:pt>
                <c:pt idx="236">
                  <c:v>0.93897316681295673</c:v>
                </c:pt>
                <c:pt idx="237">
                  <c:v>0.93857708516277127</c:v>
                </c:pt>
                <c:pt idx="238">
                  <c:v>0.93822276816367434</c:v>
                </c:pt>
                <c:pt idx="239">
                  <c:v>0.93799188439700598</c:v>
                </c:pt>
                <c:pt idx="240">
                  <c:v>0.93788231312853776</c:v>
                </c:pt>
                <c:pt idx="241">
                  <c:v>0.93766065983728486</c:v>
                </c:pt>
                <c:pt idx="242">
                  <c:v>0.93733450553870779</c:v>
                </c:pt>
                <c:pt idx="243">
                  <c:v>0.93706073581319815</c:v>
                </c:pt>
                <c:pt idx="244">
                  <c:v>0.93679920296794883</c:v>
                </c:pt>
                <c:pt idx="245">
                  <c:v>0.93671361793489172</c:v>
                </c:pt>
                <c:pt idx="246">
                  <c:v>0.93644220458074701</c:v>
                </c:pt>
                <c:pt idx="247">
                  <c:v>0.93610758359609314</c:v>
                </c:pt>
                <c:pt idx="248">
                  <c:v>0.93563874694866167</c:v>
                </c:pt>
                <c:pt idx="249">
                  <c:v>0.93524946627376049</c:v>
                </c:pt>
                <c:pt idx="250">
                  <c:v>0.93507340470570932</c:v>
                </c:pt>
                <c:pt idx="251">
                  <c:v>0.9348218661252149</c:v>
                </c:pt>
                <c:pt idx="252">
                  <c:v>0.9343710760322711</c:v>
                </c:pt>
                <c:pt idx="253">
                  <c:v>0.93385221118313699</c:v>
                </c:pt>
                <c:pt idx="254">
                  <c:v>0.93340766141160103</c:v>
                </c:pt>
                <c:pt idx="255">
                  <c:v>0.93331670547691559</c:v>
                </c:pt>
                <c:pt idx="256">
                  <c:v>0.93353837501900538</c:v>
                </c:pt>
                <c:pt idx="257">
                  <c:v>0.9333465988915759</c:v>
                </c:pt>
                <c:pt idx="258">
                  <c:v>0.933000789205648</c:v>
                </c:pt>
                <c:pt idx="259">
                  <c:v>0.93285023332626749</c:v>
                </c:pt>
                <c:pt idx="260">
                  <c:v>0.93265272877879579</c:v>
                </c:pt>
                <c:pt idx="261">
                  <c:v>0.93264266951069319</c:v>
                </c:pt>
                <c:pt idx="262">
                  <c:v>0.93233508179338775</c:v>
                </c:pt>
                <c:pt idx="263">
                  <c:v>0.93168584460442638</c:v>
                </c:pt>
                <c:pt idx="264">
                  <c:v>0.93135956842457179</c:v>
                </c:pt>
                <c:pt idx="265">
                  <c:v>0.93135011043743809</c:v>
                </c:pt>
                <c:pt idx="266">
                  <c:v>0.9313938089381294</c:v>
                </c:pt>
                <c:pt idx="267">
                  <c:v>0.93134941977686569</c:v>
                </c:pt>
                <c:pt idx="268">
                  <c:v>0.93116918174370578</c:v>
                </c:pt>
                <c:pt idx="269">
                  <c:v>0.93074718813392487</c:v>
                </c:pt>
                <c:pt idx="270">
                  <c:v>0.930009383883317</c:v>
                </c:pt>
                <c:pt idx="271">
                  <c:v>0.92939841741548901</c:v>
                </c:pt>
                <c:pt idx="272">
                  <c:v>0.92929190942979523</c:v>
                </c:pt>
                <c:pt idx="273">
                  <c:v>0.92905497222634448</c:v>
                </c:pt>
                <c:pt idx="274">
                  <c:v>0.92852917639523036</c:v>
                </c:pt>
                <c:pt idx="275">
                  <c:v>0.92811755894487347</c:v>
                </c:pt>
                <c:pt idx="276">
                  <c:v>0.92796772622773938</c:v>
                </c:pt>
                <c:pt idx="277">
                  <c:v>0.92798049938562088</c:v>
                </c:pt>
                <c:pt idx="278">
                  <c:v>0.92744335234486253</c:v>
                </c:pt>
                <c:pt idx="279">
                  <c:v>0.9269596055544842</c:v>
                </c:pt>
                <c:pt idx="280">
                  <c:v>0.92668263441408549</c:v>
                </c:pt>
                <c:pt idx="281">
                  <c:v>0.92657403819583728</c:v>
                </c:pt>
                <c:pt idx="282">
                  <c:v>0.92652643136884771</c:v>
                </c:pt>
                <c:pt idx="283">
                  <c:v>0.9264506049634087</c:v>
                </c:pt>
                <c:pt idx="284">
                  <c:v>0.92599884794566345</c:v>
                </c:pt>
                <c:pt idx="285">
                  <c:v>0.92566141556620873</c:v>
                </c:pt>
                <c:pt idx="286">
                  <c:v>0.92542574592804405</c:v>
                </c:pt>
                <c:pt idx="287">
                  <c:v>0.92525658284029921</c:v>
                </c:pt>
                <c:pt idx="288">
                  <c:v>0.92467811804646993</c:v>
                </c:pt>
                <c:pt idx="289">
                  <c:v>0.92456323275430297</c:v>
                </c:pt>
                <c:pt idx="290">
                  <c:v>0.92421173527542544</c:v>
                </c:pt>
                <c:pt idx="291">
                  <c:v>0.92408639256964931</c:v>
                </c:pt>
                <c:pt idx="292">
                  <c:v>0.92414396928513809</c:v>
                </c:pt>
                <c:pt idx="293">
                  <c:v>0.92415127403636932</c:v>
                </c:pt>
                <c:pt idx="294">
                  <c:v>0.92372334887108365</c:v>
                </c:pt>
                <c:pt idx="295">
                  <c:v>0.92356023109470253</c:v>
                </c:pt>
                <c:pt idx="296">
                  <c:v>0.92325337466506219</c:v>
                </c:pt>
                <c:pt idx="297">
                  <c:v>0.92294327619344041</c:v>
                </c:pt>
                <c:pt idx="298">
                  <c:v>0.92273344538610469</c:v>
                </c:pt>
                <c:pt idx="299">
                  <c:v>0.92231942281187196</c:v>
                </c:pt>
                <c:pt idx="300">
                  <c:v>0.92349443145569221</c:v>
                </c:pt>
                <c:pt idx="301">
                  <c:v>0.92369296793131339</c:v>
                </c:pt>
                <c:pt idx="302">
                  <c:v>0.92349016561097974</c:v>
                </c:pt>
                <c:pt idx="303">
                  <c:v>0.92344983915896595</c:v>
                </c:pt>
                <c:pt idx="304">
                  <c:v>0.92302159710235876</c:v>
                </c:pt>
                <c:pt idx="305">
                  <c:v>0.92261582995332181</c:v>
                </c:pt>
                <c:pt idx="306">
                  <c:v>0.92224142691969357</c:v>
                </c:pt>
                <c:pt idx="307">
                  <c:v>0.92227833257051905</c:v>
                </c:pt>
                <c:pt idx="308">
                  <c:v>0.92162695839649222</c:v>
                </c:pt>
                <c:pt idx="309">
                  <c:v>0.92137391661357515</c:v>
                </c:pt>
                <c:pt idx="310">
                  <c:v>0.92086175523470337</c:v>
                </c:pt>
                <c:pt idx="311">
                  <c:v>0.92031901790601733</c:v>
                </c:pt>
                <c:pt idx="312">
                  <c:v>0.91987334682672839</c:v>
                </c:pt>
                <c:pt idx="313">
                  <c:v>0.91972234404933029</c:v>
                </c:pt>
                <c:pt idx="314">
                  <c:v>0.91960595555474078</c:v>
                </c:pt>
                <c:pt idx="315">
                  <c:v>0.91907219681349694</c:v>
                </c:pt>
                <c:pt idx="316">
                  <c:v>0.91850899155561005</c:v>
                </c:pt>
                <c:pt idx="317">
                  <c:v>0.91836556166825378</c:v>
                </c:pt>
                <c:pt idx="318">
                  <c:v>0.91846627623055732</c:v>
                </c:pt>
                <c:pt idx="319">
                  <c:v>0.9184227564890729</c:v>
                </c:pt>
                <c:pt idx="320">
                  <c:v>0.91794332429591796</c:v>
                </c:pt>
                <c:pt idx="321">
                  <c:v>0.91715752319823241</c:v>
                </c:pt>
                <c:pt idx="322">
                  <c:v>0.91684345139696422</c:v>
                </c:pt>
                <c:pt idx="323">
                  <c:v>0.9170667541481724</c:v>
                </c:pt>
                <c:pt idx="324">
                  <c:v>0.91704690375077769</c:v>
                </c:pt>
                <c:pt idx="325">
                  <c:v>0.91674942405408599</c:v>
                </c:pt>
                <c:pt idx="326">
                  <c:v>0.91629435186559283</c:v>
                </c:pt>
                <c:pt idx="327">
                  <c:v>0.9160265949497729</c:v>
                </c:pt>
                <c:pt idx="328">
                  <c:v>0.91593078001482475</c:v>
                </c:pt>
                <c:pt idx="329">
                  <c:v>0.91573438052426892</c:v>
                </c:pt>
                <c:pt idx="330">
                  <c:v>0.91534312537267237</c:v>
                </c:pt>
                <c:pt idx="331">
                  <c:v>0.91487628757819173</c:v>
                </c:pt>
                <c:pt idx="332">
                  <c:v>0.91445230324087845</c:v>
                </c:pt>
                <c:pt idx="333">
                  <c:v>0.91443736059625758</c:v>
                </c:pt>
                <c:pt idx="334">
                  <c:v>0.91441222055141946</c:v>
                </c:pt>
                <c:pt idx="335">
                  <c:v>0.91425176791230633</c:v>
                </c:pt>
                <c:pt idx="336">
                  <c:v>0.91381029767438171</c:v>
                </c:pt>
                <c:pt idx="337">
                  <c:v>0.91322857458773421</c:v>
                </c:pt>
                <c:pt idx="338">
                  <c:v>0.91319158768272368</c:v>
                </c:pt>
                <c:pt idx="339">
                  <c:v>0.91322904586200715</c:v>
                </c:pt>
                <c:pt idx="340">
                  <c:v>0.91310061549720123</c:v>
                </c:pt>
                <c:pt idx="341">
                  <c:v>0.91272412423101856</c:v>
                </c:pt>
                <c:pt idx="342">
                  <c:v>0.91235524648197008</c:v>
                </c:pt>
                <c:pt idx="343">
                  <c:v>0.91215332983225306</c:v>
                </c:pt>
                <c:pt idx="344">
                  <c:v>0.91219175493633797</c:v>
                </c:pt>
                <c:pt idx="345">
                  <c:v>0.91228154081075952</c:v>
                </c:pt>
                <c:pt idx="346">
                  <c:v>0.91190822658321025</c:v>
                </c:pt>
                <c:pt idx="347">
                  <c:v>0.9113374565607002</c:v>
                </c:pt>
                <c:pt idx="348">
                  <c:v>0.91109414090372731</c:v>
                </c:pt>
                <c:pt idx="349">
                  <c:v>0.91134514320660087</c:v>
                </c:pt>
                <c:pt idx="350">
                  <c:v>0.91137512600086479</c:v>
                </c:pt>
                <c:pt idx="351">
                  <c:v>0.91101663253665888</c:v>
                </c:pt>
                <c:pt idx="352">
                  <c:v>0.91049867773439674</c:v>
                </c:pt>
                <c:pt idx="353">
                  <c:v>0.91017607424370395</c:v>
                </c:pt>
                <c:pt idx="354">
                  <c:v>0.91027917767904631</c:v>
                </c:pt>
                <c:pt idx="355">
                  <c:v>0.91045055088062321</c:v>
                </c:pt>
                <c:pt idx="356">
                  <c:v>0.91009104173910482</c:v>
                </c:pt>
                <c:pt idx="357">
                  <c:v>0.90950755543664286</c:v>
                </c:pt>
                <c:pt idx="358">
                  <c:v>0.90894041747620213</c:v>
                </c:pt>
                <c:pt idx="359">
                  <c:v>0.90863125342770779</c:v>
                </c:pt>
                <c:pt idx="360">
                  <c:v>0.90844921155164104</c:v>
                </c:pt>
                <c:pt idx="361">
                  <c:v>0.90825857298280144</c:v>
                </c:pt>
                <c:pt idx="362">
                  <c:v>0.90787792962776559</c:v>
                </c:pt>
                <c:pt idx="363">
                  <c:v>0.90747184558740701</c:v>
                </c:pt>
                <c:pt idx="364">
                  <c:v>0.90696418569038395</c:v>
                </c:pt>
                <c:pt idx="365">
                  <c:v>0.90697478123610753</c:v>
                </c:pt>
                <c:pt idx="366">
                  <c:v>0.90688666107247851</c:v>
                </c:pt>
                <c:pt idx="367">
                  <c:v>0.90674173610811837</c:v>
                </c:pt>
                <c:pt idx="368">
                  <c:v>0.90643534282733229</c:v>
                </c:pt>
                <c:pt idx="369">
                  <c:v>0.90619498482269334</c:v>
                </c:pt>
                <c:pt idx="370">
                  <c:v>0.906317215493184</c:v>
                </c:pt>
                <c:pt idx="371">
                  <c:v>0.90638075626585157</c:v>
                </c:pt>
                <c:pt idx="372">
                  <c:v>0.90607476113057206</c:v>
                </c:pt>
                <c:pt idx="373">
                  <c:v>0.90564643781977994</c:v>
                </c:pt>
                <c:pt idx="374">
                  <c:v>0.90517325407345106</c:v>
                </c:pt>
                <c:pt idx="375">
                  <c:v>0.90452661701840953</c:v>
                </c:pt>
                <c:pt idx="376">
                  <c:v>0.90376355084168614</c:v>
                </c:pt>
                <c:pt idx="377">
                  <c:v>0.90298477010558431</c:v>
                </c:pt>
                <c:pt idx="378">
                  <c:v>0.90232319853134035</c:v>
                </c:pt>
                <c:pt idx="379">
                  <c:v>0.90235266129882019</c:v>
                </c:pt>
                <c:pt idx="380">
                  <c:v>0.90240993737382447</c:v>
                </c:pt>
                <c:pt idx="381">
                  <c:v>0.90226258290933281</c:v>
                </c:pt>
                <c:pt idx="382">
                  <c:v>0.90176018828349758</c:v>
                </c:pt>
                <c:pt idx="383">
                  <c:v>0.90134438624261337</c:v>
                </c:pt>
                <c:pt idx="384">
                  <c:v>0.9011603455135957</c:v>
                </c:pt>
                <c:pt idx="385">
                  <c:v>0.90128008980602548</c:v>
                </c:pt>
                <c:pt idx="386">
                  <c:v>0.90126552093065559</c:v>
                </c:pt>
                <c:pt idx="387">
                  <c:v>0.90117419935213761</c:v>
                </c:pt>
                <c:pt idx="388">
                  <c:v>0.90087345323720902</c:v>
                </c:pt>
                <c:pt idx="389">
                  <c:v>0.90068953438946875</c:v>
                </c:pt>
                <c:pt idx="390">
                  <c:v>0.9008951724808586</c:v>
                </c:pt>
                <c:pt idx="391">
                  <c:v>0.90066884707396855</c:v>
                </c:pt>
                <c:pt idx="392">
                  <c:v>0.90002261628985214</c:v>
                </c:pt>
                <c:pt idx="393">
                  <c:v>0.89952127796842185</c:v>
                </c:pt>
                <c:pt idx="394">
                  <c:v>0.8991431859947947</c:v>
                </c:pt>
                <c:pt idx="395">
                  <c:v>0.89895934027582092</c:v>
                </c:pt>
                <c:pt idx="396">
                  <c:v>0.89877473076750813</c:v>
                </c:pt>
                <c:pt idx="397">
                  <c:v>0.89834557053861064</c:v>
                </c:pt>
                <c:pt idx="398">
                  <c:v>0.8982381850077189</c:v>
                </c:pt>
                <c:pt idx="399">
                  <c:v>0.89792608768314608</c:v>
                </c:pt>
                <c:pt idx="400">
                  <c:v>0.89736212676133886</c:v>
                </c:pt>
                <c:pt idx="401">
                  <c:v>0.89683485210405756</c:v>
                </c:pt>
                <c:pt idx="402">
                  <c:v>0.8965116392069773</c:v>
                </c:pt>
                <c:pt idx="403">
                  <c:v>0.89631900991060542</c:v>
                </c:pt>
                <c:pt idx="404">
                  <c:v>0.89605278869888194</c:v>
                </c:pt>
                <c:pt idx="405">
                  <c:v>0.89585081517123544</c:v>
                </c:pt>
                <c:pt idx="406">
                  <c:v>0.89597986306784738</c:v>
                </c:pt>
                <c:pt idx="407">
                  <c:v>0.89584276288150222</c:v>
                </c:pt>
                <c:pt idx="408">
                  <c:v>0.89510896446221455</c:v>
                </c:pt>
                <c:pt idx="409">
                  <c:v>0.89447891138633095</c:v>
                </c:pt>
                <c:pt idx="410">
                  <c:v>0.89451098241314919</c:v>
                </c:pt>
                <c:pt idx="411">
                  <c:v>0.89476703872632957</c:v>
                </c:pt>
                <c:pt idx="412">
                  <c:v>0.89479903662438143</c:v>
                </c:pt>
                <c:pt idx="413">
                  <c:v>0.8944901000876051</c:v>
                </c:pt>
                <c:pt idx="414">
                  <c:v>0.89373385113700277</c:v>
                </c:pt>
                <c:pt idx="415">
                  <c:v>0.8934302448747623</c:v>
                </c:pt>
                <c:pt idx="416">
                  <c:v>0.89340477981318434</c:v>
                </c:pt>
                <c:pt idx="417">
                  <c:v>0.89350426743729439</c:v>
                </c:pt>
                <c:pt idx="418">
                  <c:v>0.89320746215033808</c:v>
                </c:pt>
                <c:pt idx="419">
                  <c:v>0.89221086332051536</c:v>
                </c:pt>
                <c:pt idx="420">
                  <c:v>0.89161904033867267</c:v>
                </c:pt>
                <c:pt idx="421">
                  <c:v>0.89226423106922126</c:v>
                </c:pt>
                <c:pt idx="422">
                  <c:v>0.8924693735100826</c:v>
                </c:pt>
                <c:pt idx="423">
                  <c:v>0.89234141441954962</c:v>
                </c:pt>
                <c:pt idx="424">
                  <c:v>0.89215048333564428</c:v>
                </c:pt>
                <c:pt idx="425">
                  <c:v>0.89173685078149956</c:v>
                </c:pt>
                <c:pt idx="426">
                  <c:v>0.89154106882274975</c:v>
                </c:pt>
                <c:pt idx="427">
                  <c:v>0.89543472061528528</c:v>
                </c:pt>
                <c:pt idx="428">
                  <c:v>0.89439249756058692</c:v>
                </c:pt>
                <c:pt idx="429">
                  <c:v>0.89376389893461461</c:v>
                </c:pt>
                <c:pt idx="430">
                  <c:v>0.89308343576235893</c:v>
                </c:pt>
                <c:pt idx="431">
                  <c:v>0.89265485243817488</c:v>
                </c:pt>
                <c:pt idx="432">
                  <c:v>0.89255151336569594</c:v>
                </c:pt>
                <c:pt idx="433">
                  <c:v>0.89265452742143492</c:v>
                </c:pt>
                <c:pt idx="434">
                  <c:v>0.89234811788981194</c:v>
                </c:pt>
                <c:pt idx="435">
                  <c:v>0.89171559468670436</c:v>
                </c:pt>
                <c:pt idx="436">
                  <c:v>0.89118164093541641</c:v>
                </c:pt>
                <c:pt idx="437">
                  <c:v>0.89073948816233783</c:v>
                </c:pt>
                <c:pt idx="438">
                  <c:v>0.89069436771340904</c:v>
                </c:pt>
                <c:pt idx="439">
                  <c:v>0.89055164473746229</c:v>
                </c:pt>
                <c:pt idx="440">
                  <c:v>0.89010928882892126</c:v>
                </c:pt>
                <c:pt idx="441">
                  <c:v>0.88959920755718525</c:v>
                </c:pt>
                <c:pt idx="442">
                  <c:v>0.8892401534391029</c:v>
                </c:pt>
                <c:pt idx="443">
                  <c:v>0.88911750837226877</c:v>
                </c:pt>
                <c:pt idx="444">
                  <c:v>0.88925059460187494</c:v>
                </c:pt>
                <c:pt idx="445">
                  <c:v>0.88871474762807667</c:v>
                </c:pt>
                <c:pt idx="446">
                  <c:v>0.88821060603726387</c:v>
                </c:pt>
                <c:pt idx="447">
                  <c:v>0.88770071977557208</c:v>
                </c:pt>
                <c:pt idx="448">
                  <c:v>0.88773669912868858</c:v>
                </c:pt>
                <c:pt idx="449">
                  <c:v>0.88775628951269137</c:v>
                </c:pt>
                <c:pt idx="450">
                  <c:v>0.88520116228586354</c:v>
                </c:pt>
                <c:pt idx="451">
                  <c:v>0.88639516003271746</c:v>
                </c:pt>
                <c:pt idx="452">
                  <c:v>0.88464035402643415</c:v>
                </c:pt>
                <c:pt idx="453">
                  <c:v>0.88285428953518252</c:v>
                </c:pt>
                <c:pt idx="454">
                  <c:v>0.88206393007771866</c:v>
                </c:pt>
                <c:pt idx="455">
                  <c:v>0.8808289395945339</c:v>
                </c:pt>
                <c:pt idx="456">
                  <c:v>0.88028242394624534</c:v>
                </c:pt>
                <c:pt idx="457">
                  <c:v>0.87928599575021116</c:v>
                </c:pt>
                <c:pt idx="458">
                  <c:v>0.88023808353749267</c:v>
                </c:pt>
                <c:pt idx="459">
                  <c:v>0.88017998679521992</c:v>
                </c:pt>
                <c:pt idx="460">
                  <c:v>0.87988113390280176</c:v>
                </c:pt>
                <c:pt idx="461">
                  <c:v>0.87959449351438845</c:v>
                </c:pt>
                <c:pt idx="462">
                  <c:v>0.87960439839953963</c:v>
                </c:pt>
                <c:pt idx="463">
                  <c:v>0.8799596335709271</c:v>
                </c:pt>
                <c:pt idx="464">
                  <c:v>0.88114916233760621</c:v>
                </c:pt>
                <c:pt idx="465">
                  <c:v>0.88122936021819809</c:v>
                </c:pt>
                <c:pt idx="466">
                  <c:v>0.88097279200365219</c:v>
                </c:pt>
                <c:pt idx="467">
                  <c:v>0.88083554555977406</c:v>
                </c:pt>
                <c:pt idx="468">
                  <c:v>0.88087256496645872</c:v>
                </c:pt>
                <c:pt idx="469">
                  <c:v>0.88096881054858733</c:v>
                </c:pt>
                <c:pt idx="470">
                  <c:v>0.88077001405957411</c:v>
                </c:pt>
                <c:pt idx="471">
                  <c:v>0.88035111623424167</c:v>
                </c:pt>
                <c:pt idx="472">
                  <c:v>0.88022927558383901</c:v>
                </c:pt>
                <c:pt idx="473">
                  <c:v>0.88059646324583951</c:v>
                </c:pt>
                <c:pt idx="474">
                  <c:v>0.88061349412301482</c:v>
                </c:pt>
                <c:pt idx="475">
                  <c:v>0.88029237758390755</c:v>
                </c:pt>
                <c:pt idx="476">
                  <c:v>0.8799125630215584</c:v>
                </c:pt>
                <c:pt idx="477">
                  <c:v>0.87939438070757836</c:v>
                </c:pt>
                <c:pt idx="478">
                  <c:v>0.87940194547220152</c:v>
                </c:pt>
                <c:pt idx="479">
                  <c:v>0.87955539400056804</c:v>
                </c:pt>
                <c:pt idx="480">
                  <c:v>0.87952687378163419</c:v>
                </c:pt>
                <c:pt idx="481">
                  <c:v>0.87892404898314291</c:v>
                </c:pt>
                <c:pt idx="482">
                  <c:v>0.87852600098168054</c:v>
                </c:pt>
                <c:pt idx="483">
                  <c:v>0.87846494658707397</c:v>
                </c:pt>
                <c:pt idx="484">
                  <c:v>0.87846483283121501</c:v>
                </c:pt>
                <c:pt idx="485">
                  <c:v>0.87568248640146207</c:v>
                </c:pt>
                <c:pt idx="486">
                  <c:v>0.87346624600400047</c:v>
                </c:pt>
                <c:pt idx="487">
                  <c:v>0.87259982450396101</c:v>
                </c:pt>
                <c:pt idx="488">
                  <c:v>0.87362019018289538</c:v>
                </c:pt>
                <c:pt idx="489">
                  <c:v>0.87470858999092749</c:v>
                </c:pt>
                <c:pt idx="490">
                  <c:v>0.87505516346619439</c:v>
                </c:pt>
                <c:pt idx="491">
                  <c:v>0.87467111556080701</c:v>
                </c:pt>
                <c:pt idx="492">
                  <c:v>0.87489436143408572</c:v>
                </c:pt>
                <c:pt idx="493">
                  <c:v>0.87441253224247317</c:v>
                </c:pt>
                <c:pt idx="494">
                  <c:v>0.87396695054278772</c:v>
                </c:pt>
                <c:pt idx="495">
                  <c:v>0.87360667761193034</c:v>
                </c:pt>
                <c:pt idx="496">
                  <c:v>0.87383004536648656</c:v>
                </c:pt>
                <c:pt idx="497">
                  <c:v>0.87383210109736698</c:v>
                </c:pt>
                <c:pt idx="498">
                  <c:v>0.8737158182332182</c:v>
                </c:pt>
                <c:pt idx="499">
                  <c:v>0.87320811770910267</c:v>
                </c:pt>
                <c:pt idx="500">
                  <c:v>0.87304223729043173</c:v>
                </c:pt>
                <c:pt idx="501">
                  <c:v>0.87306610976998378</c:v>
                </c:pt>
                <c:pt idx="502">
                  <c:v>0.87294374909279704</c:v>
                </c:pt>
                <c:pt idx="503">
                  <c:v>0.87190863577928579</c:v>
                </c:pt>
                <c:pt idx="504">
                  <c:v>0.87239206567834282</c:v>
                </c:pt>
                <c:pt idx="505">
                  <c:v>0.87316497986228792</c:v>
                </c:pt>
                <c:pt idx="506">
                  <c:v>0.87292300489936736</c:v>
                </c:pt>
                <c:pt idx="507">
                  <c:v>0.87256514521780448</c:v>
                </c:pt>
                <c:pt idx="508">
                  <c:v>0.87232595727342932</c:v>
                </c:pt>
                <c:pt idx="509">
                  <c:v>0.87231229844493152</c:v>
                </c:pt>
                <c:pt idx="510">
                  <c:v>0.87240336001005736</c:v>
                </c:pt>
                <c:pt idx="511">
                  <c:v>0.87215926431290847</c:v>
                </c:pt>
                <c:pt idx="512">
                  <c:v>0.87185669810423594</c:v>
                </c:pt>
                <c:pt idx="513">
                  <c:v>0.87162169475038809</c:v>
                </c:pt>
                <c:pt idx="514">
                  <c:v>0.87143692273370543</c:v>
                </c:pt>
                <c:pt idx="515">
                  <c:v>0.87125724535442206</c:v>
                </c:pt>
                <c:pt idx="516">
                  <c:v>0.87111614746217503</c:v>
                </c:pt>
                <c:pt idx="517">
                  <c:v>0.87087431063136911</c:v>
                </c:pt>
                <c:pt idx="518">
                  <c:v>0.87081635202121088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F5-40E0-9F93-8C9B0ADFB138}"/>
            </c:ext>
          </c:extLst>
        </c:ser>
        <c:ser>
          <c:idx val="4"/>
          <c:order val="4"/>
          <c:tx>
            <c:v>450-2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'G11E-V1.2-PreA-0.5C_0.5C循环 25℃'!$AQ$3:$AQ$520</c:f>
              <c:numCache>
                <c:formatCode>General</c:formatCode>
                <c:ptCount val="5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</c:numCache>
            </c:numRef>
          </c:xVal>
          <c:yVal>
            <c:numRef>
              <c:f>'G11E-V1.2-PreA-0.5C_0.5C循环 25℃'!$AS$3:$AS$520</c:f>
              <c:numCache>
                <c:formatCode>0.00%</c:formatCode>
                <c:ptCount val="518"/>
                <c:pt idx="0">
                  <c:v>1</c:v>
                </c:pt>
                <c:pt idx="1">
                  <c:v>1.0009041462938759</c:v>
                </c:pt>
                <c:pt idx="2">
                  <c:v>1.0005343574278474</c:v>
                </c:pt>
                <c:pt idx="3">
                  <c:v>1.0006925405554685</c:v>
                </c:pt>
                <c:pt idx="4">
                  <c:v>1.0006291458334351</c:v>
                </c:pt>
                <c:pt idx="5">
                  <c:v>1.0007108596931662</c:v>
                </c:pt>
                <c:pt idx="6">
                  <c:v>1.0006886748234542</c:v>
                </c:pt>
                <c:pt idx="7">
                  <c:v>1.0000703382661604</c:v>
                </c:pt>
                <c:pt idx="8">
                  <c:v>0.99994665946420325</c:v>
                </c:pt>
                <c:pt idx="9">
                  <c:v>0.99957075601144307</c:v>
                </c:pt>
                <c:pt idx="10">
                  <c:v>0.99952469552723144</c:v>
                </c:pt>
                <c:pt idx="11">
                  <c:v>0.99950671289699133</c:v>
                </c:pt>
                <c:pt idx="12">
                  <c:v>0.99891035602193545</c:v>
                </c:pt>
                <c:pt idx="13">
                  <c:v>0.99878793296732038</c:v>
                </c:pt>
                <c:pt idx="14">
                  <c:v>0.99845271408694736</c:v>
                </c:pt>
                <c:pt idx="15">
                  <c:v>0.9984059231353275</c:v>
                </c:pt>
                <c:pt idx="16">
                  <c:v>0.99842350359811827</c:v>
                </c:pt>
                <c:pt idx="17">
                  <c:v>0.99830952605994183</c:v>
                </c:pt>
                <c:pt idx="18">
                  <c:v>0.99833487902425566</c:v>
                </c:pt>
                <c:pt idx="19">
                  <c:v>0.9979440215083748</c:v>
                </c:pt>
                <c:pt idx="20">
                  <c:v>0.99728669112348145</c:v>
                </c:pt>
                <c:pt idx="21">
                  <c:v>0.99647627446782649</c:v>
                </c:pt>
                <c:pt idx="22">
                  <c:v>0.99598628677940326</c:v>
                </c:pt>
                <c:pt idx="23">
                  <c:v>0.9958271269594049</c:v>
                </c:pt>
                <c:pt idx="24">
                  <c:v>0.99580192993757144</c:v>
                </c:pt>
                <c:pt idx="25">
                  <c:v>0.99538974113187118</c:v>
                </c:pt>
                <c:pt idx="26">
                  <c:v>0.99483696607633842</c:v>
                </c:pt>
                <c:pt idx="27">
                  <c:v>0.9945592078962443</c:v>
                </c:pt>
                <c:pt idx="28">
                  <c:v>0.99447277472460627</c:v>
                </c:pt>
                <c:pt idx="29">
                  <c:v>0.99454596099290893</c:v>
                </c:pt>
                <c:pt idx="30">
                  <c:v>0.99423169585740279</c:v>
                </c:pt>
                <c:pt idx="31">
                  <c:v>0.99357642555475045</c:v>
                </c:pt>
                <c:pt idx="32">
                  <c:v>0.99341381858518529</c:v>
                </c:pt>
                <c:pt idx="33">
                  <c:v>0.99350419956382718</c:v>
                </c:pt>
                <c:pt idx="34">
                  <c:v>0.99335926333954139</c:v>
                </c:pt>
                <c:pt idx="35">
                  <c:v>0.99292993727599477</c:v>
                </c:pt>
                <c:pt idx="36">
                  <c:v>0.9923708670687531</c:v>
                </c:pt>
                <c:pt idx="37">
                  <c:v>0.99201696792072758</c:v>
                </c:pt>
                <c:pt idx="38">
                  <c:v>0.99168714957467585</c:v>
                </c:pt>
                <c:pt idx="39">
                  <c:v>0.99119307455176631</c:v>
                </c:pt>
                <c:pt idx="40">
                  <c:v>0.99084061992355932</c:v>
                </c:pt>
                <c:pt idx="41">
                  <c:v>0.99001281978508893</c:v>
                </c:pt>
                <c:pt idx="42">
                  <c:v>0.98946469838147133</c:v>
                </c:pt>
                <c:pt idx="43">
                  <c:v>0.98913804813002149</c:v>
                </c:pt>
                <c:pt idx="44">
                  <c:v>0.98921303184059828</c:v>
                </c:pt>
                <c:pt idx="45">
                  <c:v>0.98910822207876969</c:v>
                </c:pt>
                <c:pt idx="46">
                  <c:v>0.98851556678574859</c:v>
                </c:pt>
                <c:pt idx="47">
                  <c:v>0.98795510130368236</c:v>
                </c:pt>
                <c:pt idx="48">
                  <c:v>0.98801061682670577</c:v>
                </c:pt>
                <c:pt idx="49">
                  <c:v>0.98670923579025027</c:v>
                </c:pt>
                <c:pt idx="50">
                  <c:v>0.98507233219595991</c:v>
                </c:pt>
                <c:pt idx="51">
                  <c:v>0.98402091054059204</c:v>
                </c:pt>
                <c:pt idx="52">
                  <c:v>0.9834199820886107</c:v>
                </c:pt>
                <c:pt idx="53">
                  <c:v>0.98382030285080246</c:v>
                </c:pt>
                <c:pt idx="54">
                  <c:v>0.98487205280612911</c:v>
                </c:pt>
                <c:pt idx="55">
                  <c:v>0.98598543287121065</c:v>
                </c:pt>
                <c:pt idx="56">
                  <c:v>0.98536739999137879</c:v>
                </c:pt>
                <c:pt idx="57">
                  <c:v>0.98488142576995119</c:v>
                </c:pt>
                <c:pt idx="58">
                  <c:v>0.98507070711116418</c:v>
                </c:pt>
                <c:pt idx="59">
                  <c:v>0.98488709715173839</c:v>
                </c:pt>
                <c:pt idx="60">
                  <c:v>0.98440602280719514</c:v>
                </c:pt>
                <c:pt idx="61">
                  <c:v>0.98361965412351804</c:v>
                </c:pt>
                <c:pt idx="62">
                  <c:v>0.98313619960427368</c:v>
                </c:pt>
                <c:pt idx="63">
                  <c:v>0.98295110408753472</c:v>
                </c:pt>
                <c:pt idx="64">
                  <c:v>0.98287001399772522</c:v>
                </c:pt>
                <c:pt idx="65">
                  <c:v>0.98249201763272809</c:v>
                </c:pt>
                <c:pt idx="66">
                  <c:v>0.9819362878775667</c:v>
                </c:pt>
                <c:pt idx="67">
                  <c:v>0.98149873790005349</c:v>
                </c:pt>
                <c:pt idx="68">
                  <c:v>0.98134563521429397</c:v>
                </c:pt>
                <c:pt idx="69">
                  <c:v>0.98125459763573464</c:v>
                </c:pt>
                <c:pt idx="70">
                  <c:v>0.98125175784109153</c:v>
                </c:pt>
                <c:pt idx="71">
                  <c:v>0.98044356541765709</c:v>
                </c:pt>
                <c:pt idx="72">
                  <c:v>0.97984298168063244</c:v>
                </c:pt>
                <c:pt idx="73">
                  <c:v>0.97951980320124632</c:v>
                </c:pt>
                <c:pt idx="74">
                  <c:v>0.97921739790174955</c:v>
                </c:pt>
                <c:pt idx="75">
                  <c:v>0.97851426146511267</c:v>
                </c:pt>
                <c:pt idx="76">
                  <c:v>0.97824874887347968</c:v>
                </c:pt>
                <c:pt idx="77">
                  <c:v>0.97794520273162633</c:v>
                </c:pt>
                <c:pt idx="78">
                  <c:v>0.97760318804210733</c:v>
                </c:pt>
                <c:pt idx="79">
                  <c:v>0.97716768993933634</c:v>
                </c:pt>
                <c:pt idx="80">
                  <c:v>0.97638956158462376</c:v>
                </c:pt>
                <c:pt idx="81">
                  <c:v>0.97561385444210691</c:v>
                </c:pt>
                <c:pt idx="82">
                  <c:v>0.9765884539071289</c:v>
                </c:pt>
                <c:pt idx="83">
                  <c:v>0.97622569886771637</c:v>
                </c:pt>
                <c:pt idx="84">
                  <c:v>0.97578052412366156</c:v>
                </c:pt>
                <c:pt idx="85">
                  <c:v>0.97489889099945626</c:v>
                </c:pt>
                <c:pt idx="86">
                  <c:v>0.97404341517446391</c:v>
                </c:pt>
                <c:pt idx="87">
                  <c:v>0.97582022379617239</c:v>
                </c:pt>
                <c:pt idx="88">
                  <c:v>0.97526629148328503</c:v>
                </c:pt>
                <c:pt idx="89">
                  <c:v>0.97486961485063539</c:v>
                </c:pt>
                <c:pt idx="90">
                  <c:v>0.97452925807590807</c:v>
                </c:pt>
                <c:pt idx="91">
                  <c:v>0.97407421791809301</c:v>
                </c:pt>
                <c:pt idx="92">
                  <c:v>0.97394549150427001</c:v>
                </c:pt>
                <c:pt idx="93">
                  <c:v>0.97402477594430636</c:v>
                </c:pt>
                <c:pt idx="94">
                  <c:v>0.97372738542667936</c:v>
                </c:pt>
                <c:pt idx="95">
                  <c:v>0.97333234208632458</c:v>
                </c:pt>
                <c:pt idx="96">
                  <c:v>0.97271316015663711</c:v>
                </c:pt>
                <c:pt idx="97">
                  <c:v>0.9727913283768137</c:v>
                </c:pt>
                <c:pt idx="98">
                  <c:v>0.97273460635144193</c:v>
                </c:pt>
                <c:pt idx="99">
                  <c:v>0.97271437486648449</c:v>
                </c:pt>
                <c:pt idx="100">
                  <c:v>0.97223802804134696</c:v>
                </c:pt>
                <c:pt idx="101">
                  <c:v>0.97181463599955464</c:v>
                </c:pt>
                <c:pt idx="102">
                  <c:v>0.97148495718098538</c:v>
                </c:pt>
                <c:pt idx="103">
                  <c:v>0.97223061666977828</c:v>
                </c:pt>
                <c:pt idx="104">
                  <c:v>0.97154827803552779</c:v>
                </c:pt>
                <c:pt idx="105">
                  <c:v>0.9713536782349832</c:v>
                </c:pt>
                <c:pt idx="106">
                  <c:v>0.97059804663494342</c:v>
                </c:pt>
                <c:pt idx="107">
                  <c:v>0.96999158632865734</c:v>
                </c:pt>
                <c:pt idx="108">
                  <c:v>0.96976368870479723</c:v>
                </c:pt>
                <c:pt idx="109">
                  <c:v>0.96961715201821252</c:v>
                </c:pt>
                <c:pt idx="110">
                  <c:v>0.96906305555534578</c:v>
                </c:pt>
                <c:pt idx="111">
                  <c:v>0.96842282139080405</c:v>
                </c:pt>
                <c:pt idx="112">
                  <c:v>0.9681809956411942</c:v>
                </c:pt>
                <c:pt idx="113">
                  <c:v>0.96831393250198805</c:v>
                </c:pt>
                <c:pt idx="114">
                  <c:v>0.96861760175632594</c:v>
                </c:pt>
                <c:pt idx="115">
                  <c:v>0.96855609475905557</c:v>
                </c:pt>
                <c:pt idx="116">
                  <c:v>0.96795693091935242</c:v>
                </c:pt>
                <c:pt idx="117">
                  <c:v>0.96770797285313903</c:v>
                </c:pt>
                <c:pt idx="118">
                  <c:v>0.96774622800583154</c:v>
                </c:pt>
                <c:pt idx="119">
                  <c:v>0.96758634592592385</c:v>
                </c:pt>
                <c:pt idx="120">
                  <c:v>0.967333078922752</c:v>
                </c:pt>
                <c:pt idx="121">
                  <c:v>0.96675110158588906</c:v>
                </c:pt>
                <c:pt idx="122">
                  <c:v>0.9663784975477141</c:v>
                </c:pt>
                <c:pt idx="123">
                  <c:v>0.96651401977068307</c:v>
                </c:pt>
                <c:pt idx="124">
                  <c:v>0.96655616527788668</c:v>
                </c:pt>
                <c:pt idx="125">
                  <c:v>0.96620606620188365</c:v>
                </c:pt>
                <c:pt idx="126">
                  <c:v>0.96556514260742854</c:v>
                </c:pt>
                <c:pt idx="127">
                  <c:v>0.96530690185988166</c:v>
                </c:pt>
                <c:pt idx="128">
                  <c:v>0.96545174780167875</c:v>
                </c:pt>
                <c:pt idx="129">
                  <c:v>0.96543128650675014</c:v>
                </c:pt>
                <c:pt idx="130">
                  <c:v>0.96533631753618498</c:v>
                </c:pt>
                <c:pt idx="131">
                  <c:v>0.96469650195409062</c:v>
                </c:pt>
                <c:pt idx="132">
                  <c:v>0.96424478583335771</c:v>
                </c:pt>
                <c:pt idx="133">
                  <c:v>0.96404088693648171</c:v>
                </c:pt>
                <c:pt idx="134">
                  <c:v>0.96405966569412171</c:v>
                </c:pt>
                <c:pt idx="135">
                  <c:v>0.96408573271084597</c:v>
                </c:pt>
                <c:pt idx="136">
                  <c:v>0.9637088689807064</c:v>
                </c:pt>
                <c:pt idx="137">
                  <c:v>0.96320584778392104</c:v>
                </c:pt>
                <c:pt idx="138">
                  <c:v>0.96311012372345073</c:v>
                </c:pt>
                <c:pt idx="139">
                  <c:v>0.96301638587773075</c:v>
                </c:pt>
                <c:pt idx="140">
                  <c:v>0.96340925423085888</c:v>
                </c:pt>
                <c:pt idx="141">
                  <c:v>0.96290330295694182</c:v>
                </c:pt>
                <c:pt idx="142">
                  <c:v>0.96245725821799633</c:v>
                </c:pt>
                <c:pt idx="143">
                  <c:v>0.95941220223316848</c:v>
                </c:pt>
                <c:pt idx="144">
                  <c:v>0.96192845726695075</c:v>
                </c:pt>
                <c:pt idx="145">
                  <c:v>0.96239911629530295</c:v>
                </c:pt>
                <c:pt idx="146">
                  <c:v>0.96238307063481943</c:v>
                </c:pt>
                <c:pt idx="147">
                  <c:v>0.96214899276423604</c:v>
                </c:pt>
                <c:pt idx="148">
                  <c:v>0.96089099656732846</c:v>
                </c:pt>
                <c:pt idx="149">
                  <c:v>0.95901955548251239</c:v>
                </c:pt>
                <c:pt idx="150">
                  <c:v>0.95933370571303322</c:v>
                </c:pt>
                <c:pt idx="151">
                  <c:v>0.95904470325935209</c:v>
                </c:pt>
                <c:pt idx="152">
                  <c:v>0.95876880818152388</c:v>
                </c:pt>
                <c:pt idx="153">
                  <c:v>0.95891060914120363</c:v>
                </c:pt>
                <c:pt idx="154">
                  <c:v>0.95879971762263949</c:v>
                </c:pt>
                <c:pt idx="155">
                  <c:v>0.95857910825786341</c:v>
                </c:pt>
                <c:pt idx="156">
                  <c:v>0.95805407454884439</c:v>
                </c:pt>
                <c:pt idx="157">
                  <c:v>0.957714005036581</c:v>
                </c:pt>
                <c:pt idx="158">
                  <c:v>0.95764397044788219</c:v>
                </c:pt>
                <c:pt idx="159">
                  <c:v>0.95604450125638751</c:v>
                </c:pt>
                <c:pt idx="160">
                  <c:v>0.95529596914295556</c:v>
                </c:pt>
                <c:pt idx="161">
                  <c:v>0.95454546722977107</c:v>
                </c:pt>
                <c:pt idx="162">
                  <c:v>0.95418597877494793</c:v>
                </c:pt>
                <c:pt idx="163">
                  <c:v>0.95470890315673207</c:v>
                </c:pt>
                <c:pt idx="164">
                  <c:v>0.95528142545478323</c:v>
                </c:pt>
                <c:pt idx="165">
                  <c:v>0.95477498173092801</c:v>
                </c:pt>
                <c:pt idx="166">
                  <c:v>0.95421304710654631</c:v>
                </c:pt>
                <c:pt idx="167">
                  <c:v>0.95384169881571368</c:v>
                </c:pt>
                <c:pt idx="168">
                  <c:v>0.95394402170535475</c:v>
                </c:pt>
                <c:pt idx="169">
                  <c:v>0.95397439765903735</c:v>
                </c:pt>
                <c:pt idx="170">
                  <c:v>0.95375264745190469</c:v>
                </c:pt>
                <c:pt idx="171">
                  <c:v>0.95315843273407963</c:v>
                </c:pt>
                <c:pt idx="172">
                  <c:v>0.9526981069469288</c:v>
                </c:pt>
                <c:pt idx="173">
                  <c:v>0.95265660983214384</c:v>
                </c:pt>
                <c:pt idx="174">
                  <c:v>0.9527052803010273</c:v>
                </c:pt>
                <c:pt idx="175">
                  <c:v>0.95259554603981766</c:v>
                </c:pt>
                <c:pt idx="176">
                  <c:v>0.95217853943222286</c:v>
                </c:pt>
                <c:pt idx="177">
                  <c:v>0.95170238137956165</c:v>
                </c:pt>
                <c:pt idx="178">
                  <c:v>0.95153875668012444</c:v>
                </c:pt>
                <c:pt idx="179">
                  <c:v>0.95146113836237867</c:v>
                </c:pt>
                <c:pt idx="180">
                  <c:v>0.95129540433570647</c:v>
                </c:pt>
                <c:pt idx="181">
                  <c:v>0.95067846305323755</c:v>
                </c:pt>
                <c:pt idx="182">
                  <c:v>0.95017947994594465</c:v>
                </c:pt>
                <c:pt idx="183">
                  <c:v>0.94996427932298899</c:v>
                </c:pt>
                <c:pt idx="184">
                  <c:v>0.95004577978774674</c:v>
                </c:pt>
                <c:pt idx="185">
                  <c:v>0.9498387456262648</c:v>
                </c:pt>
                <c:pt idx="186">
                  <c:v>0.94943798165912874</c:v>
                </c:pt>
                <c:pt idx="187">
                  <c:v>0.94883093041291688</c:v>
                </c:pt>
                <c:pt idx="188">
                  <c:v>0.94863406534265693</c:v>
                </c:pt>
                <c:pt idx="189">
                  <c:v>0.94852791775849654</c:v>
                </c:pt>
                <c:pt idx="190">
                  <c:v>0.94839497269020379</c:v>
                </c:pt>
                <c:pt idx="191">
                  <c:v>0.94815615088521643</c:v>
                </c:pt>
                <c:pt idx="192">
                  <c:v>0.94773151951107981</c:v>
                </c:pt>
                <c:pt idx="193">
                  <c:v>0.94741610532571796</c:v>
                </c:pt>
                <c:pt idx="194">
                  <c:v>0.94763959552263199</c:v>
                </c:pt>
                <c:pt idx="195">
                  <c:v>0.94735948999783282</c:v>
                </c:pt>
                <c:pt idx="196">
                  <c:v>0.94720720806197012</c:v>
                </c:pt>
                <c:pt idx="197">
                  <c:v>0.94673115670679553</c:v>
                </c:pt>
                <c:pt idx="198">
                  <c:v>0.94603930558124039</c:v>
                </c:pt>
                <c:pt idx="199">
                  <c:v>0.94626897602487769</c:v>
                </c:pt>
                <c:pt idx="200">
                  <c:v>0.94645006628212003</c:v>
                </c:pt>
                <c:pt idx="201">
                  <c:v>0.9462494093473367</c:v>
                </c:pt>
                <c:pt idx="202">
                  <c:v>0.94580501431568376</c:v>
                </c:pt>
                <c:pt idx="203">
                  <c:v>0.94533929620171053</c:v>
                </c:pt>
                <c:pt idx="204">
                  <c:v>0.94558248439614911</c:v>
                </c:pt>
                <c:pt idx="205">
                  <c:v>0.94594139011854539</c:v>
                </c:pt>
                <c:pt idx="206">
                  <c:v>0.94605532661922709</c:v>
                </c:pt>
                <c:pt idx="207">
                  <c:v>0.9457341343545913</c:v>
                </c:pt>
                <c:pt idx="208">
                  <c:v>0.94537438325980128</c:v>
                </c:pt>
                <c:pt idx="209">
                  <c:v>0.94515919905184342</c:v>
                </c:pt>
                <c:pt idx="210">
                  <c:v>0.94484025564192509</c:v>
                </c:pt>
                <c:pt idx="211">
                  <c:v>0.94458611043636342</c:v>
                </c:pt>
                <c:pt idx="212">
                  <c:v>0.94410295138708211</c:v>
                </c:pt>
                <c:pt idx="213">
                  <c:v>0.94354157487263024</c:v>
                </c:pt>
                <c:pt idx="214">
                  <c:v>0.94331471960113911</c:v>
                </c:pt>
                <c:pt idx="215">
                  <c:v>0.94485424942766649</c:v>
                </c:pt>
                <c:pt idx="216">
                  <c:v>0.94331480988362781</c:v>
                </c:pt>
                <c:pt idx="217">
                  <c:v>0.94213856858394596</c:v>
                </c:pt>
                <c:pt idx="218">
                  <c:v>0.94202549387065615</c:v>
                </c:pt>
                <c:pt idx="219">
                  <c:v>0.94459212653310731</c:v>
                </c:pt>
                <c:pt idx="220">
                  <c:v>0.94459816725234824</c:v>
                </c:pt>
                <c:pt idx="221">
                  <c:v>0.94353978563785512</c:v>
                </c:pt>
                <c:pt idx="222">
                  <c:v>0.94297121114680782</c:v>
                </c:pt>
                <c:pt idx="223">
                  <c:v>0.9426556492264645</c:v>
                </c:pt>
                <c:pt idx="224">
                  <c:v>0.94240076534599571</c:v>
                </c:pt>
                <c:pt idx="225">
                  <c:v>0.94132399893381302</c:v>
                </c:pt>
                <c:pt idx="226">
                  <c:v>0.9408387962172885</c:v>
                </c:pt>
                <c:pt idx="227">
                  <c:v>0.94039562410298194</c:v>
                </c:pt>
                <c:pt idx="228">
                  <c:v>0.94028653002669171</c:v>
                </c:pt>
                <c:pt idx="229">
                  <c:v>0.94016906430145364</c:v>
                </c:pt>
                <c:pt idx="230">
                  <c:v>0.93981721702817023</c:v>
                </c:pt>
                <c:pt idx="231">
                  <c:v>0.9393756535836616</c:v>
                </c:pt>
                <c:pt idx="232">
                  <c:v>0.93911454841897468</c:v>
                </c:pt>
                <c:pt idx="233">
                  <c:v>0.93896488467528283</c:v>
                </c:pt>
                <c:pt idx="234">
                  <c:v>0.93882817236496352</c:v>
                </c:pt>
                <c:pt idx="235">
                  <c:v>0.93850459171812783</c:v>
                </c:pt>
                <c:pt idx="236">
                  <c:v>0.93811611437694786</c:v>
                </c:pt>
                <c:pt idx="237">
                  <c:v>0.93780484497856509</c:v>
                </c:pt>
                <c:pt idx="238">
                  <c:v>0.93757496934745355</c:v>
                </c:pt>
                <c:pt idx="239">
                  <c:v>0.93750531230370726</c:v>
                </c:pt>
                <c:pt idx="240">
                  <c:v>0.93724094055443097</c:v>
                </c:pt>
                <c:pt idx="241">
                  <c:v>0.93693323321060051</c:v>
                </c:pt>
                <c:pt idx="242">
                  <c:v>0.93662079013986532</c:v>
                </c:pt>
                <c:pt idx="243">
                  <c:v>0.93643912535769502</c:v>
                </c:pt>
                <c:pt idx="244">
                  <c:v>0.93630362775722309</c:v>
                </c:pt>
                <c:pt idx="245">
                  <c:v>0.93604994217160375</c:v>
                </c:pt>
                <c:pt idx="246">
                  <c:v>0.93570379911010348</c:v>
                </c:pt>
                <c:pt idx="247">
                  <c:v>0.9353409948256971</c:v>
                </c:pt>
                <c:pt idx="248">
                  <c:v>0.93504393260802898</c:v>
                </c:pt>
                <c:pt idx="249">
                  <c:v>0.93489648488905863</c:v>
                </c:pt>
                <c:pt idx="250">
                  <c:v>0.93457721317918152</c:v>
                </c:pt>
                <c:pt idx="251">
                  <c:v>0.93410902460801892</c:v>
                </c:pt>
                <c:pt idx="252">
                  <c:v>0.93364296998658791</c:v>
                </c:pt>
                <c:pt idx="253">
                  <c:v>0.93323661671265434</c:v>
                </c:pt>
                <c:pt idx="254">
                  <c:v>0.93334435655161463</c:v>
                </c:pt>
                <c:pt idx="255">
                  <c:v>0.9334194059221832</c:v>
                </c:pt>
                <c:pt idx="256">
                  <c:v>0.93317501122539626</c:v>
                </c:pt>
                <c:pt idx="257">
                  <c:v>0.93290404885444811</c:v>
                </c:pt>
                <c:pt idx="258">
                  <c:v>0.93268813417908214</c:v>
                </c:pt>
                <c:pt idx="259">
                  <c:v>0.93249166306877262</c:v>
                </c:pt>
                <c:pt idx="260">
                  <c:v>0.93240317802239259</c:v>
                </c:pt>
                <c:pt idx="261">
                  <c:v>0.93210417062746875</c:v>
                </c:pt>
                <c:pt idx="262">
                  <c:v>0.93160042717077429</c:v>
                </c:pt>
                <c:pt idx="263">
                  <c:v>0.93131303338689109</c:v>
                </c:pt>
                <c:pt idx="264">
                  <c:v>0.93138539890529681</c:v>
                </c:pt>
                <c:pt idx="265">
                  <c:v>0.93132123267836053</c:v>
                </c:pt>
                <c:pt idx="266">
                  <c:v>0.93120969276737786</c:v>
                </c:pt>
                <c:pt idx="267">
                  <c:v>0.93093338731460118</c:v>
                </c:pt>
                <c:pt idx="268">
                  <c:v>0.93055965064156865</c:v>
                </c:pt>
                <c:pt idx="269">
                  <c:v>0.92976701142867968</c:v>
                </c:pt>
                <c:pt idx="270">
                  <c:v>0.92943999183977621</c:v>
                </c:pt>
                <c:pt idx="271">
                  <c:v>0.92933017550357677</c:v>
                </c:pt>
                <c:pt idx="272">
                  <c:v>0.92898289980721893</c:v>
                </c:pt>
                <c:pt idx="273">
                  <c:v>0.92852132648022478</c:v>
                </c:pt>
                <c:pt idx="274">
                  <c:v>0.92820900652197413</c:v>
                </c:pt>
                <c:pt idx="275">
                  <c:v>0.92811242888161105</c:v>
                </c:pt>
                <c:pt idx="276">
                  <c:v>0.9280109267418668</c:v>
                </c:pt>
                <c:pt idx="277">
                  <c:v>0.92750966194986073</c:v>
                </c:pt>
                <c:pt idx="278">
                  <c:v>0.92707427054457636</c:v>
                </c:pt>
                <c:pt idx="279">
                  <c:v>0.92691207394995956</c:v>
                </c:pt>
                <c:pt idx="280">
                  <c:v>0.9268102106802607</c:v>
                </c:pt>
                <c:pt idx="281">
                  <c:v>0.92670306178122619</c:v>
                </c:pt>
                <c:pt idx="282">
                  <c:v>0.92651124432283194</c:v>
                </c:pt>
                <c:pt idx="283">
                  <c:v>0.9260820003342749</c:v>
                </c:pt>
                <c:pt idx="284">
                  <c:v>0.92583744969500759</c:v>
                </c:pt>
                <c:pt idx="285">
                  <c:v>0.92566794842630884</c:v>
                </c:pt>
                <c:pt idx="286">
                  <c:v>0.92550812379889402</c:v>
                </c:pt>
                <c:pt idx="287">
                  <c:v>0.92501851365542331</c:v>
                </c:pt>
                <c:pt idx="288">
                  <c:v>0.92477814884062992</c:v>
                </c:pt>
                <c:pt idx="289">
                  <c:v>0.92444393127513114</c:v>
                </c:pt>
                <c:pt idx="290">
                  <c:v>0.92437070396933363</c:v>
                </c:pt>
                <c:pt idx="291">
                  <c:v>0.92446261154278353</c:v>
                </c:pt>
                <c:pt idx="292">
                  <c:v>0.92426441685769067</c:v>
                </c:pt>
                <c:pt idx="293">
                  <c:v>0.92393999904596025</c:v>
                </c:pt>
                <c:pt idx="294">
                  <c:v>0.92377451945175604</c:v>
                </c:pt>
                <c:pt idx="295">
                  <c:v>0.92348923499510782</c:v>
                </c:pt>
                <c:pt idx="296">
                  <c:v>0.92328877504029949</c:v>
                </c:pt>
                <c:pt idx="297">
                  <c:v>0.92306577729332362</c:v>
                </c:pt>
                <c:pt idx="298">
                  <c:v>0.92262332743892639</c:v>
                </c:pt>
                <c:pt idx="299">
                  <c:v>0.92244990298572072</c:v>
                </c:pt>
                <c:pt idx="300">
                  <c:v>0.92339757364662689</c:v>
                </c:pt>
                <c:pt idx="301">
                  <c:v>0.923748181587566</c:v>
                </c:pt>
                <c:pt idx="302">
                  <c:v>0.92347483904191696</c:v>
                </c:pt>
                <c:pt idx="303">
                  <c:v>0.92303338229489473</c:v>
                </c:pt>
                <c:pt idx="304">
                  <c:v>0.92261026930806733</c:v>
                </c:pt>
                <c:pt idx="305">
                  <c:v>0.92242450077641291</c:v>
                </c:pt>
                <c:pt idx="306">
                  <c:v>0.92212212830691209</c:v>
                </c:pt>
                <c:pt idx="307">
                  <c:v>0.92173214899342082</c:v>
                </c:pt>
                <c:pt idx="308">
                  <c:v>0.92139306438103352</c:v>
                </c:pt>
                <c:pt idx="309">
                  <c:v>0.92078721142967102</c:v>
                </c:pt>
                <c:pt idx="310">
                  <c:v>0.92036734040493628</c:v>
                </c:pt>
                <c:pt idx="311">
                  <c:v>0.92002275676824008</c:v>
                </c:pt>
                <c:pt idx="312">
                  <c:v>0.92001287493948203</c:v>
                </c:pt>
                <c:pt idx="313">
                  <c:v>0.91965219639730844</c:v>
                </c:pt>
                <c:pt idx="314">
                  <c:v>0.9190612728865698</c:v>
                </c:pt>
                <c:pt idx="315">
                  <c:v>0.9186941104202111</c:v>
                </c:pt>
                <c:pt idx="316">
                  <c:v>0.9187668042385756</c:v>
                </c:pt>
                <c:pt idx="317">
                  <c:v>0.91880649570358763</c:v>
                </c:pt>
                <c:pt idx="318">
                  <c:v>0.91846133754196368</c:v>
                </c:pt>
                <c:pt idx="319">
                  <c:v>0.91772353262968354</c:v>
                </c:pt>
                <c:pt idx="320">
                  <c:v>0.9173446416472989</c:v>
                </c:pt>
                <c:pt idx="321">
                  <c:v>0.91742725833191641</c:v>
                </c:pt>
                <c:pt idx="322">
                  <c:v>0.91743036897402541</c:v>
                </c:pt>
                <c:pt idx="323">
                  <c:v>0.91728591699217876</c:v>
                </c:pt>
                <c:pt idx="324">
                  <c:v>0.91693157463920894</c:v>
                </c:pt>
                <c:pt idx="325">
                  <c:v>0.91653106510454097</c:v>
                </c:pt>
                <c:pt idx="326">
                  <c:v>0.91630356964813031</c:v>
                </c:pt>
                <c:pt idx="327">
                  <c:v>0.91620389778065603</c:v>
                </c:pt>
                <c:pt idx="328">
                  <c:v>0.91598271389095232</c:v>
                </c:pt>
                <c:pt idx="329">
                  <c:v>0.91552256866877879</c:v>
                </c:pt>
                <c:pt idx="330">
                  <c:v>0.91510298490650777</c:v>
                </c:pt>
                <c:pt idx="331">
                  <c:v>0.91495292720286558</c:v>
                </c:pt>
                <c:pt idx="332">
                  <c:v>0.91493543702256364</c:v>
                </c:pt>
                <c:pt idx="333">
                  <c:v>0.91483320441541116</c:v>
                </c:pt>
                <c:pt idx="334">
                  <c:v>0.91441449064803093</c:v>
                </c:pt>
                <c:pt idx="335">
                  <c:v>0.91390970483896738</c:v>
                </c:pt>
                <c:pt idx="336">
                  <c:v>0.91368879179672946</c:v>
                </c:pt>
                <c:pt idx="337">
                  <c:v>0.91373163494134535</c:v>
                </c:pt>
                <c:pt idx="338">
                  <c:v>0.91370252294250387</c:v>
                </c:pt>
                <c:pt idx="339">
                  <c:v>0.91344728613957948</c:v>
                </c:pt>
                <c:pt idx="340">
                  <c:v>0.91310522220506674</c:v>
                </c:pt>
                <c:pt idx="341">
                  <c:v>0.91279454374660973</c:v>
                </c:pt>
                <c:pt idx="342">
                  <c:v>0.91281841115361018</c:v>
                </c:pt>
                <c:pt idx="343">
                  <c:v>0.9129264464625334</c:v>
                </c:pt>
                <c:pt idx="344">
                  <c:v>0.91266410196550229</c:v>
                </c:pt>
                <c:pt idx="345">
                  <c:v>0.9121610479387211</c:v>
                </c:pt>
                <c:pt idx="346">
                  <c:v>0.9117821159188414</c:v>
                </c:pt>
                <c:pt idx="347">
                  <c:v>0.91191836040171959</c:v>
                </c:pt>
                <c:pt idx="348">
                  <c:v>0.9119615728837891</c:v>
                </c:pt>
                <c:pt idx="349">
                  <c:v>0.91176380498864262</c:v>
                </c:pt>
                <c:pt idx="350">
                  <c:v>0.91125228903042477</c:v>
                </c:pt>
                <c:pt idx="351">
                  <c:v>0.91085667116514202</c:v>
                </c:pt>
                <c:pt idx="352">
                  <c:v>0.91085836190992964</c:v>
                </c:pt>
                <c:pt idx="353">
                  <c:v>0.9110174314474393</c:v>
                </c:pt>
                <c:pt idx="354">
                  <c:v>0.91088195026196528</c:v>
                </c:pt>
                <c:pt idx="355">
                  <c:v>0.91034831509402714</c:v>
                </c:pt>
                <c:pt idx="356">
                  <c:v>0.90974985709923539</c:v>
                </c:pt>
                <c:pt idx="357">
                  <c:v>0.90940432139265892</c:v>
                </c:pt>
                <c:pt idx="358">
                  <c:v>0.90918020742582328</c:v>
                </c:pt>
                <c:pt idx="359">
                  <c:v>0.90905455061661455</c:v>
                </c:pt>
                <c:pt idx="360">
                  <c:v>0.90870977820744214</c:v>
                </c:pt>
                <c:pt idx="361">
                  <c:v>0.90843686245173949</c:v>
                </c:pt>
                <c:pt idx="362">
                  <c:v>0.90790152833151494</c:v>
                </c:pt>
                <c:pt idx="363">
                  <c:v>0.90776392961130692</c:v>
                </c:pt>
                <c:pt idx="364">
                  <c:v>0.90775270175271794</c:v>
                </c:pt>
                <c:pt idx="365">
                  <c:v>0.90760113386926544</c:v>
                </c:pt>
                <c:pt idx="366">
                  <c:v>0.90733132875567191</c:v>
                </c:pt>
                <c:pt idx="367">
                  <c:v>0.90709533033032974</c:v>
                </c:pt>
                <c:pt idx="368">
                  <c:v>0.90710270887190247</c:v>
                </c:pt>
                <c:pt idx="369">
                  <c:v>0.90717156158074974</c:v>
                </c:pt>
                <c:pt idx="370">
                  <c:v>0.90698718832391989</c:v>
                </c:pt>
                <c:pt idx="371">
                  <c:v>0.90647794584291652</c:v>
                </c:pt>
                <c:pt idx="372">
                  <c:v>0.90605614605592411</c:v>
                </c:pt>
                <c:pt idx="373">
                  <c:v>0.90581298248398245</c:v>
                </c:pt>
                <c:pt idx="374">
                  <c:v>0.90579302184649091</c:v>
                </c:pt>
                <c:pt idx="375">
                  <c:v>0.90416886449809875</c:v>
                </c:pt>
                <c:pt idx="376">
                  <c:v>0.90351376655292492</c:v>
                </c:pt>
                <c:pt idx="377">
                  <c:v>0.90332558501657367</c:v>
                </c:pt>
                <c:pt idx="378">
                  <c:v>0.90335299806312874</c:v>
                </c:pt>
                <c:pt idx="379">
                  <c:v>0.90329915686989481</c:v>
                </c:pt>
                <c:pt idx="380">
                  <c:v>0.90283096829873222</c:v>
                </c:pt>
                <c:pt idx="381">
                  <c:v>0.90244473981226947</c:v>
                </c:pt>
                <c:pt idx="382">
                  <c:v>0.90223992167550904</c:v>
                </c:pt>
                <c:pt idx="383">
                  <c:v>0.90227935870805287</c:v>
                </c:pt>
                <c:pt idx="384">
                  <c:v>0.90227609212346338</c:v>
                </c:pt>
                <c:pt idx="385">
                  <c:v>0.90222654345219022</c:v>
                </c:pt>
                <c:pt idx="386">
                  <c:v>0.90185018858698673</c:v>
                </c:pt>
                <c:pt idx="387">
                  <c:v>0.9015870233400588</c:v>
                </c:pt>
                <c:pt idx="388">
                  <c:v>0.90163318231425793</c:v>
                </c:pt>
                <c:pt idx="389">
                  <c:v>0.90164277688055217</c:v>
                </c:pt>
                <c:pt idx="390">
                  <c:v>0.90105706513165862</c:v>
                </c:pt>
                <c:pt idx="391">
                  <c:v>0.90067901131416861</c:v>
                </c:pt>
                <c:pt idx="392">
                  <c:v>0.90022800103834699</c:v>
                </c:pt>
                <c:pt idx="393">
                  <c:v>0.90002777910100895</c:v>
                </c:pt>
                <c:pt idx="394">
                  <c:v>0.89980442022407847</c:v>
                </c:pt>
                <c:pt idx="395">
                  <c:v>0.89940387785941467</c:v>
                </c:pt>
                <c:pt idx="396">
                  <c:v>0.8992201940324982</c:v>
                </c:pt>
                <c:pt idx="397">
                  <c:v>0.89910608517433821</c:v>
                </c:pt>
                <c:pt idx="398">
                  <c:v>0.8984256835098442</c:v>
                </c:pt>
                <c:pt idx="399">
                  <c:v>0.8981669831423551</c:v>
                </c:pt>
                <c:pt idx="400">
                  <c:v>0.8979087998473011</c:v>
                </c:pt>
                <c:pt idx="401">
                  <c:v>0.89742365458326923</c:v>
                </c:pt>
                <c:pt idx="402">
                  <c:v>0.89739025826996621</c:v>
                </c:pt>
                <c:pt idx="403">
                  <c:v>0.89700563845330128</c:v>
                </c:pt>
                <c:pt idx="404">
                  <c:v>0.89706713724307285</c:v>
                </c:pt>
                <c:pt idx="405">
                  <c:v>0.89694490296093399</c:v>
                </c:pt>
                <c:pt idx="406">
                  <c:v>0.89641702124977296</c:v>
                </c:pt>
                <c:pt idx="407">
                  <c:v>0.89583270477570387</c:v>
                </c:pt>
                <c:pt idx="408">
                  <c:v>0.89559390759321356</c:v>
                </c:pt>
                <c:pt idx="409">
                  <c:v>0.89587909355987427</c:v>
                </c:pt>
                <c:pt idx="410">
                  <c:v>0.89591982737725517</c:v>
                </c:pt>
                <c:pt idx="411">
                  <c:v>0.89579396538057232</c:v>
                </c:pt>
                <c:pt idx="412">
                  <c:v>0.89510268877994503</c:v>
                </c:pt>
                <c:pt idx="413">
                  <c:v>0.89452563594246326</c:v>
                </c:pt>
                <c:pt idx="414">
                  <c:v>0.89459506317623838</c:v>
                </c:pt>
                <c:pt idx="415">
                  <c:v>0.89475370592380177</c:v>
                </c:pt>
                <c:pt idx="416">
                  <c:v>0.89459043414682016</c:v>
                </c:pt>
                <c:pt idx="417">
                  <c:v>0.89380751261270985</c:v>
                </c:pt>
                <c:pt idx="418">
                  <c:v>0.89296210738895188</c:v>
                </c:pt>
                <c:pt idx="419">
                  <c:v>0.89336846887038446</c:v>
                </c:pt>
                <c:pt idx="420">
                  <c:v>0.8936632411958404</c:v>
                </c:pt>
                <c:pt idx="421">
                  <c:v>0.89356509592317435</c:v>
                </c:pt>
                <c:pt idx="422">
                  <c:v>0.89337909758154876</c:v>
                </c:pt>
                <c:pt idx="423">
                  <c:v>0.89315616549456467</c:v>
                </c:pt>
                <c:pt idx="424">
                  <c:v>0.89278906048069873</c:v>
                </c:pt>
                <c:pt idx="425">
                  <c:v>0.89285008323552995</c:v>
                </c:pt>
                <c:pt idx="426">
                  <c:v>0.89654090523920449</c:v>
                </c:pt>
                <c:pt idx="427">
                  <c:v>0.89589861919992042</c:v>
                </c:pt>
                <c:pt idx="428">
                  <c:v>0.89535115439622048</c:v>
                </c:pt>
                <c:pt idx="429">
                  <c:v>0.89480061998790594</c:v>
                </c:pt>
                <c:pt idx="430">
                  <c:v>0.89422174508565333</c:v>
                </c:pt>
                <c:pt idx="431">
                  <c:v>0.89396874072244825</c:v>
                </c:pt>
                <c:pt idx="432">
                  <c:v>0.89404233736569938</c:v>
                </c:pt>
                <c:pt idx="433">
                  <c:v>0.89371471862937124</c:v>
                </c:pt>
                <c:pt idx="434">
                  <c:v>0.89312880990050236</c:v>
                </c:pt>
                <c:pt idx="435">
                  <c:v>0.89258645836865969</c:v>
                </c:pt>
                <c:pt idx="436">
                  <c:v>0.89214083221216156</c:v>
                </c:pt>
                <c:pt idx="437">
                  <c:v>0.892108100706275</c:v>
                </c:pt>
                <c:pt idx="438">
                  <c:v>0.8919830922894848</c:v>
                </c:pt>
                <c:pt idx="439">
                  <c:v>0.89156958207645065</c:v>
                </c:pt>
                <c:pt idx="440">
                  <c:v>0.89105919054559146</c:v>
                </c:pt>
                <c:pt idx="441">
                  <c:v>0.89067439837144835</c:v>
                </c:pt>
                <c:pt idx="442">
                  <c:v>0.89065725290610298</c:v>
                </c:pt>
                <c:pt idx="443">
                  <c:v>0.89058760406985571</c:v>
                </c:pt>
                <c:pt idx="444">
                  <c:v>0.89009338951946371</c:v>
                </c:pt>
                <c:pt idx="445">
                  <c:v>0.88962726923804103</c:v>
                </c:pt>
                <c:pt idx="446">
                  <c:v>0.88908508185617774</c:v>
                </c:pt>
                <c:pt idx="447">
                  <c:v>0.88912030844175072</c:v>
                </c:pt>
                <c:pt idx="448">
                  <c:v>0.88912423162625775</c:v>
                </c:pt>
                <c:pt idx="449">
                  <c:v>0.88872154710436313</c:v>
                </c:pt>
                <c:pt idx="450">
                  <c:v>0.88662157641826644</c:v>
                </c:pt>
                <c:pt idx="451">
                  <c:v>0.8865390253936406</c:v>
                </c:pt>
                <c:pt idx="452">
                  <c:v>0.88456399746434244</c:v>
                </c:pt>
                <c:pt idx="453">
                  <c:v>0.88388742870186676</c:v>
                </c:pt>
                <c:pt idx="454">
                  <c:v>0.8827216109258752</c:v>
                </c:pt>
                <c:pt idx="455">
                  <c:v>0.88214212866869868</c:v>
                </c:pt>
                <c:pt idx="456">
                  <c:v>0.88204860421795184</c:v>
                </c:pt>
                <c:pt idx="457">
                  <c:v>0.88211130951007177</c:v>
                </c:pt>
                <c:pt idx="458">
                  <c:v>0.88200655720073595</c:v>
                </c:pt>
                <c:pt idx="459">
                  <c:v>0.88177865957687585</c:v>
                </c:pt>
                <c:pt idx="460">
                  <c:v>0.88144040392188439</c:v>
                </c:pt>
                <c:pt idx="461">
                  <c:v>0.88136334371406855</c:v>
                </c:pt>
                <c:pt idx="462">
                  <c:v>0.88166601986103132</c:v>
                </c:pt>
                <c:pt idx="463">
                  <c:v>0.88254668450035811</c:v>
                </c:pt>
                <c:pt idx="464">
                  <c:v>0.88283178018453012</c:v>
                </c:pt>
                <c:pt idx="465">
                  <c:v>0.88260035333611353</c:v>
                </c:pt>
                <c:pt idx="466">
                  <c:v>0.88235493270195553</c:v>
                </c:pt>
                <c:pt idx="467">
                  <c:v>0.88245370174454318</c:v>
                </c:pt>
                <c:pt idx="468">
                  <c:v>0.88255991498869535</c:v>
                </c:pt>
                <c:pt idx="469">
                  <c:v>0.88233275603974248</c:v>
                </c:pt>
                <c:pt idx="470">
                  <c:v>0.88193481545225172</c:v>
                </c:pt>
                <c:pt idx="471">
                  <c:v>0.88179189827271209</c:v>
                </c:pt>
                <c:pt idx="472">
                  <c:v>0.88200897841293158</c:v>
                </c:pt>
                <c:pt idx="473">
                  <c:v>0.8820873436130835</c:v>
                </c:pt>
                <c:pt idx="474">
                  <c:v>0.88181688189957241</c:v>
                </c:pt>
                <c:pt idx="475">
                  <c:v>0.88150580127366585</c:v>
                </c:pt>
                <c:pt idx="476">
                  <c:v>0.88102070525462794</c:v>
                </c:pt>
                <c:pt idx="477">
                  <c:v>0.88098167038953346</c:v>
                </c:pt>
                <c:pt idx="478">
                  <c:v>0.88112562171394304</c:v>
                </c:pt>
                <c:pt idx="479">
                  <c:v>0.88111953995720738</c:v>
                </c:pt>
                <c:pt idx="480">
                  <c:v>0.88058780892902999</c:v>
                </c:pt>
                <c:pt idx="481">
                  <c:v>0.88019795272802326</c:v>
                </c:pt>
                <c:pt idx="482">
                  <c:v>0.88003406538861895</c:v>
                </c:pt>
                <c:pt idx="483">
                  <c:v>0.88004178864514837</c:v>
                </c:pt>
                <c:pt idx="484">
                  <c:v>0.87807825942190509</c:v>
                </c:pt>
                <c:pt idx="485">
                  <c:v>0.87571592782377938</c:v>
                </c:pt>
                <c:pt idx="486">
                  <c:v>0.8749487811026867</c:v>
                </c:pt>
                <c:pt idx="487">
                  <c:v>0.87520507667297798</c:v>
                </c:pt>
                <c:pt idx="488">
                  <c:v>0.87645459452345098</c:v>
                </c:pt>
                <c:pt idx="489">
                  <c:v>0.8767968800604361</c:v>
                </c:pt>
                <c:pt idx="490">
                  <c:v>0.87654059269764373</c:v>
                </c:pt>
                <c:pt idx="491">
                  <c:v>0.87655745090052517</c:v>
                </c:pt>
                <c:pt idx="492">
                  <c:v>0.87631947446793157</c:v>
                </c:pt>
                <c:pt idx="493">
                  <c:v>0.8758659198674299</c:v>
                </c:pt>
                <c:pt idx="494">
                  <c:v>0.87555045643707408</c:v>
                </c:pt>
                <c:pt idx="495">
                  <c:v>0.87559949624341127</c:v>
                </c:pt>
                <c:pt idx="496">
                  <c:v>0.875611569474394</c:v>
                </c:pt>
                <c:pt idx="497">
                  <c:v>0.87557211602685214</c:v>
                </c:pt>
                <c:pt idx="498">
                  <c:v>0.87504483346311579</c:v>
                </c:pt>
                <c:pt idx="499">
                  <c:v>0.87489219039729837</c:v>
                </c:pt>
                <c:pt idx="500">
                  <c:v>0.87468115097631971</c:v>
                </c:pt>
                <c:pt idx="501">
                  <c:v>0.8747058391332172</c:v>
                </c:pt>
                <c:pt idx="502">
                  <c:v>0.87424836134820838</c:v>
                </c:pt>
                <c:pt idx="503">
                  <c:v>0.873732569283028</c:v>
                </c:pt>
                <c:pt idx="504">
                  <c:v>0.87489933912889994</c:v>
                </c:pt>
                <c:pt idx="505">
                  <c:v>0.8746200543539977</c:v>
                </c:pt>
                <c:pt idx="506">
                  <c:v>0.87432755550575603</c:v>
                </c:pt>
                <c:pt idx="507">
                  <c:v>0.87406581836364861</c:v>
                </c:pt>
                <c:pt idx="508">
                  <c:v>0.87380705233616762</c:v>
                </c:pt>
                <c:pt idx="509">
                  <c:v>0.8739536464752452</c:v>
                </c:pt>
                <c:pt idx="510">
                  <c:v>0.87384242665672218</c:v>
                </c:pt>
                <c:pt idx="511">
                  <c:v>0.87361296140055911</c:v>
                </c:pt>
                <c:pt idx="512">
                  <c:v>0.87339371448061187</c:v>
                </c:pt>
                <c:pt idx="513">
                  <c:v>0.87323368466572282</c:v>
                </c:pt>
                <c:pt idx="514">
                  <c:v>0.87294977086140224</c:v>
                </c:pt>
                <c:pt idx="515">
                  <c:v>0.87289383675593146</c:v>
                </c:pt>
                <c:pt idx="516">
                  <c:v>0.87261025125156977</c:v>
                </c:pt>
                <c:pt idx="517">
                  <c:v>0.87246832717940526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F5-40E0-9F93-8C9B0ADFB138}"/>
            </c:ext>
          </c:extLst>
        </c:ser>
        <c:ser>
          <c:idx val="5"/>
          <c:order val="5"/>
          <c:tx>
            <c:v>450-3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'G11E-V1.2-PreA-0.5C_0.5C循环 25℃'!$AX$3:$AX$509</c:f>
              <c:numCache>
                <c:formatCode>General</c:formatCode>
                <c:ptCount val="50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</c:numCache>
            </c:numRef>
          </c:xVal>
          <c:yVal>
            <c:numRef>
              <c:f>'G11E-V1.2-PreA-0.5C_0.5C循环 25℃'!$AZ$3:$AZ$509</c:f>
              <c:numCache>
                <c:formatCode>0.00%</c:formatCode>
                <c:ptCount val="507"/>
                <c:pt idx="0">
                  <c:v>1</c:v>
                </c:pt>
                <c:pt idx="1">
                  <c:v>1.0007624092559595</c:v>
                </c:pt>
                <c:pt idx="2">
                  <c:v>1.000330295643965</c:v>
                </c:pt>
                <c:pt idx="3">
                  <c:v>1.0003304088918836</c:v>
                </c:pt>
                <c:pt idx="4">
                  <c:v>1.0001734310983201</c:v>
                </c:pt>
                <c:pt idx="5">
                  <c:v>1.000256619783727</c:v>
                </c:pt>
                <c:pt idx="6">
                  <c:v>1.0000970777337193</c:v>
                </c:pt>
                <c:pt idx="7">
                  <c:v>0.9996012945240158</c:v>
                </c:pt>
                <c:pt idx="8">
                  <c:v>0.99933296166984253</c:v>
                </c:pt>
                <c:pt idx="9">
                  <c:v>0.99889351929968195</c:v>
                </c:pt>
                <c:pt idx="10">
                  <c:v>0.99894683480196877</c:v>
                </c:pt>
                <c:pt idx="11">
                  <c:v>0.99860998695699454</c:v>
                </c:pt>
                <c:pt idx="12">
                  <c:v>0.99828316964196051</c:v>
                </c:pt>
                <c:pt idx="13">
                  <c:v>0.99812249511276585</c:v>
                </c:pt>
                <c:pt idx="14">
                  <c:v>0.99781920100826893</c:v>
                </c:pt>
                <c:pt idx="15">
                  <c:v>0.99782805861333701</c:v>
                </c:pt>
                <c:pt idx="16">
                  <c:v>0.99761545991342804</c:v>
                </c:pt>
                <c:pt idx="17">
                  <c:v>0.9975664882777362</c:v>
                </c:pt>
                <c:pt idx="18">
                  <c:v>0.99771098453283391</c:v>
                </c:pt>
                <c:pt idx="19">
                  <c:v>0.9973363523287061</c:v>
                </c:pt>
                <c:pt idx="20">
                  <c:v>0.99646767607934028</c:v>
                </c:pt>
                <c:pt idx="21">
                  <c:v>0.9955471484614935</c:v>
                </c:pt>
                <c:pt idx="22">
                  <c:v>0.99517308249695902</c:v>
                </c:pt>
                <c:pt idx="23">
                  <c:v>0.99521009029895602</c:v>
                </c:pt>
                <c:pt idx="24">
                  <c:v>0.99512693397009733</c:v>
                </c:pt>
                <c:pt idx="25">
                  <c:v>0.99471861051016242</c:v>
                </c:pt>
                <c:pt idx="26">
                  <c:v>0.99422385462086416</c:v>
                </c:pt>
                <c:pt idx="27">
                  <c:v>0.99430020798546503</c:v>
                </c:pt>
                <c:pt idx="28">
                  <c:v>0.99412579001242496</c:v>
                </c:pt>
                <c:pt idx="29">
                  <c:v>0.99418250295227217</c:v>
                </c:pt>
                <c:pt idx="30">
                  <c:v>0.99372966497115933</c:v>
                </c:pt>
                <c:pt idx="31">
                  <c:v>0.99331410982270307</c:v>
                </c:pt>
                <c:pt idx="32">
                  <c:v>0.99325259193544913</c:v>
                </c:pt>
                <c:pt idx="33">
                  <c:v>0.99328402632201962</c:v>
                </c:pt>
                <c:pt idx="34">
                  <c:v>0.99314628449635756</c:v>
                </c:pt>
                <c:pt idx="35">
                  <c:v>0.99265523343182749</c:v>
                </c:pt>
                <c:pt idx="36">
                  <c:v>0.99211732199637548</c:v>
                </c:pt>
                <c:pt idx="37">
                  <c:v>0.99171843855937614</c:v>
                </c:pt>
                <c:pt idx="38">
                  <c:v>0.99169315191696261</c:v>
                </c:pt>
                <c:pt idx="39">
                  <c:v>0.99147180077076702</c:v>
                </c:pt>
                <c:pt idx="40">
                  <c:v>0.9906898238922871</c:v>
                </c:pt>
                <c:pt idx="41">
                  <c:v>0.98988693659453686</c:v>
                </c:pt>
                <c:pt idx="42">
                  <c:v>0.98968897114354859</c:v>
                </c:pt>
                <c:pt idx="43">
                  <c:v>0.98975541531526523</c:v>
                </c:pt>
                <c:pt idx="44">
                  <c:v>0.98975866714835858</c:v>
                </c:pt>
                <c:pt idx="45">
                  <c:v>0.98934247295807554</c:v>
                </c:pt>
                <c:pt idx="46">
                  <c:v>0.98884425491812045</c:v>
                </c:pt>
                <c:pt idx="47">
                  <c:v>0.98882162960179587</c:v>
                </c:pt>
                <c:pt idx="48">
                  <c:v>0.98771453412706212</c:v>
                </c:pt>
                <c:pt idx="49">
                  <c:v>0.98657358561378039</c:v>
                </c:pt>
                <c:pt idx="50">
                  <c:v>0.98520061638253609</c:v>
                </c:pt>
                <c:pt idx="51">
                  <c:v>0.98450901134316227</c:v>
                </c:pt>
                <c:pt idx="52">
                  <c:v>0.98452601470923828</c:v>
                </c:pt>
                <c:pt idx="53">
                  <c:v>0.98574914885493292</c:v>
                </c:pt>
                <c:pt idx="54">
                  <c:v>0.98703625998554423</c:v>
                </c:pt>
                <c:pt idx="55">
                  <c:v>0.9867522503837709</c:v>
                </c:pt>
                <c:pt idx="56">
                  <c:v>0.98609065604284707</c:v>
                </c:pt>
                <c:pt idx="57">
                  <c:v>0.98622550195744585</c:v>
                </c:pt>
                <c:pt idx="58">
                  <c:v>0.98619052452884803</c:v>
                </c:pt>
                <c:pt idx="59">
                  <c:v>0.98590182322758657</c:v>
                </c:pt>
                <c:pt idx="60">
                  <c:v>0.98530404408883843</c:v>
                </c:pt>
                <c:pt idx="61">
                  <c:v>0.98456548969803503</c:v>
                </c:pt>
                <c:pt idx="62">
                  <c:v>0.98429803855980003</c:v>
                </c:pt>
                <c:pt idx="63">
                  <c:v>0.98418635184457126</c:v>
                </c:pt>
                <c:pt idx="64">
                  <c:v>0.98384544325279866</c:v>
                </c:pt>
                <c:pt idx="65">
                  <c:v>0.98328962246792107</c:v>
                </c:pt>
                <c:pt idx="66">
                  <c:v>0.98287684189347246</c:v>
                </c:pt>
                <c:pt idx="67">
                  <c:v>0.98288187333671673</c:v>
                </c:pt>
                <c:pt idx="68">
                  <c:v>0.98279152576502193</c:v>
                </c:pt>
                <c:pt idx="69">
                  <c:v>0.98319091881765519</c:v>
                </c:pt>
                <c:pt idx="70">
                  <c:v>0.98233757148299627</c:v>
                </c:pt>
                <c:pt idx="71">
                  <c:v>0.98161927229136237</c:v>
                </c:pt>
                <c:pt idx="72">
                  <c:v>0.98138155682091766</c:v>
                </c:pt>
                <c:pt idx="73">
                  <c:v>0.98112748511536096</c:v>
                </c:pt>
                <c:pt idx="74">
                  <c:v>0.98110735125324722</c:v>
                </c:pt>
                <c:pt idx="75">
                  <c:v>0.98039383274160885</c:v>
                </c:pt>
                <c:pt idx="76">
                  <c:v>0.9803504830561659</c:v>
                </c:pt>
                <c:pt idx="77">
                  <c:v>0.97992607839177859</c:v>
                </c:pt>
                <c:pt idx="78">
                  <c:v>0.97951935658097933</c:v>
                </c:pt>
                <c:pt idx="79">
                  <c:v>0.97839926995214566</c:v>
                </c:pt>
                <c:pt idx="80">
                  <c:v>0.97772800909244895</c:v>
                </c:pt>
                <c:pt idx="81">
                  <c:v>0.97852534724218387</c:v>
                </c:pt>
                <c:pt idx="82">
                  <c:v>0.97808925377476141</c:v>
                </c:pt>
                <c:pt idx="83">
                  <c:v>0.97746280673431329</c:v>
                </c:pt>
                <c:pt idx="84">
                  <c:v>0.97663542552958016</c:v>
                </c:pt>
                <c:pt idx="85">
                  <c:v>0.97606732543466312</c:v>
                </c:pt>
                <c:pt idx="86">
                  <c:v>0.97779437237279498</c:v>
                </c:pt>
                <c:pt idx="87">
                  <c:v>0.97708138774420183</c:v>
                </c:pt>
                <c:pt idx="88">
                  <c:v>0.97680181098953112</c:v>
                </c:pt>
                <c:pt idx="89">
                  <c:v>0.97638918410868647</c:v>
                </c:pt>
                <c:pt idx="90">
                  <c:v>0.97600653556974359</c:v>
                </c:pt>
                <c:pt idx="91">
                  <c:v>0.97591569456068872</c:v>
                </c:pt>
                <c:pt idx="92">
                  <c:v>0.97600647894578418</c:v>
                </c:pt>
                <c:pt idx="93">
                  <c:v>0.97578997319268079</c:v>
                </c:pt>
                <c:pt idx="94">
                  <c:v>0.97534981088932293</c:v>
                </c:pt>
                <c:pt idx="95">
                  <c:v>0.9749497302600405</c:v>
                </c:pt>
                <c:pt idx="96">
                  <c:v>0.97506854350500904</c:v>
                </c:pt>
                <c:pt idx="97">
                  <c:v>0.97486648495067418</c:v>
                </c:pt>
                <c:pt idx="98">
                  <c:v>0.97485334819210745</c:v>
                </c:pt>
                <c:pt idx="99">
                  <c:v>0.97437317701690762</c:v>
                </c:pt>
                <c:pt idx="100">
                  <c:v>0.97386576162812855</c:v>
                </c:pt>
                <c:pt idx="101">
                  <c:v>0.97368256694139077</c:v>
                </c:pt>
                <c:pt idx="102">
                  <c:v>0.97375827317502783</c:v>
                </c:pt>
                <c:pt idx="103">
                  <c:v>0.97348446397507271</c:v>
                </c:pt>
                <c:pt idx="104">
                  <c:v>0.97285372160285188</c:v>
                </c:pt>
                <c:pt idx="105">
                  <c:v>0.97230505161512526</c:v>
                </c:pt>
                <c:pt idx="106">
                  <c:v>0.9720249328882723</c:v>
                </c:pt>
                <c:pt idx="107">
                  <c:v>0.97192322007902421</c:v>
                </c:pt>
                <c:pt idx="108">
                  <c:v>0.97186067487136507</c:v>
                </c:pt>
                <c:pt idx="109">
                  <c:v>0.97110459940971461</c:v>
                </c:pt>
                <c:pt idx="110">
                  <c:v>0.97064376127206087</c:v>
                </c:pt>
                <c:pt idx="111">
                  <c:v>0.97051653532456184</c:v>
                </c:pt>
                <c:pt idx="112">
                  <c:v>0.97084724351451623</c:v>
                </c:pt>
                <c:pt idx="113">
                  <c:v>0.97095747418507627</c:v>
                </c:pt>
                <c:pt idx="114">
                  <c:v>0.97058266401993343</c:v>
                </c:pt>
                <c:pt idx="115">
                  <c:v>0.97013463907536446</c:v>
                </c:pt>
                <c:pt idx="116">
                  <c:v>0.97013846523718839</c:v>
                </c:pt>
                <c:pt idx="117">
                  <c:v>0.97014026102561313</c:v>
                </c:pt>
                <c:pt idx="118">
                  <c:v>0.97011697240005046</c:v>
                </c:pt>
                <c:pt idx="119">
                  <c:v>0.96959489949493938</c:v>
                </c:pt>
                <c:pt idx="120">
                  <c:v>0.96904212022559222</c:v>
                </c:pt>
                <c:pt idx="121">
                  <c:v>0.96892289443463409</c:v>
                </c:pt>
                <c:pt idx="122">
                  <c:v>0.96896437552941883</c:v>
                </c:pt>
                <c:pt idx="123">
                  <c:v>0.96891567083524976</c:v>
                </c:pt>
                <c:pt idx="124">
                  <c:v>0.96842642364828158</c:v>
                </c:pt>
                <c:pt idx="125">
                  <c:v>0.96792111143513504</c:v>
                </c:pt>
                <c:pt idx="126">
                  <c:v>0.96771258966029849</c:v>
                </c:pt>
                <c:pt idx="127">
                  <c:v>0.96760731763074914</c:v>
                </c:pt>
                <c:pt idx="128">
                  <c:v>0.96749377041399909</c:v>
                </c:pt>
                <c:pt idx="129">
                  <c:v>0.96705344632790025</c:v>
                </c:pt>
                <c:pt idx="130">
                  <c:v>0.96658400943756384</c:v>
                </c:pt>
                <c:pt idx="131">
                  <c:v>0.96641306170431762</c:v>
                </c:pt>
                <c:pt idx="132">
                  <c:v>0.9665120403852433</c:v>
                </c:pt>
                <c:pt idx="133">
                  <c:v>0.96660215337196365</c:v>
                </c:pt>
                <c:pt idx="134">
                  <c:v>0.96628956484899786</c:v>
                </c:pt>
                <c:pt idx="135">
                  <c:v>0.96580106186263814</c:v>
                </c:pt>
                <c:pt idx="136">
                  <c:v>0.96562873088695667</c:v>
                </c:pt>
                <c:pt idx="137">
                  <c:v>0.96559181206546718</c:v>
                </c:pt>
                <c:pt idx="138">
                  <c:v>0.96541516957973883</c:v>
                </c:pt>
                <c:pt idx="139">
                  <c:v>0.96501704652162223</c:v>
                </c:pt>
                <c:pt idx="140">
                  <c:v>0.96461644818756853</c:v>
                </c:pt>
                <c:pt idx="141">
                  <c:v>0.96176774532801579</c:v>
                </c:pt>
                <c:pt idx="142">
                  <c:v>0.96455527004407071</c:v>
                </c:pt>
                <c:pt idx="143">
                  <c:v>0.96509525229860715</c:v>
                </c:pt>
                <c:pt idx="144">
                  <c:v>0.96529155947650047</c:v>
                </c:pt>
                <c:pt idx="145">
                  <c:v>0.96507429334451444</c:v>
                </c:pt>
                <c:pt idx="146">
                  <c:v>0.96403496057083615</c:v>
                </c:pt>
                <c:pt idx="147">
                  <c:v>0.96212179876749226</c:v>
                </c:pt>
                <c:pt idx="148">
                  <c:v>0.96163547984813547</c:v>
                </c:pt>
                <c:pt idx="149">
                  <c:v>0.96116492665688646</c:v>
                </c:pt>
                <c:pt idx="150">
                  <c:v>0.96165131028933948</c:v>
                </c:pt>
                <c:pt idx="151">
                  <c:v>0.96209828364609218</c:v>
                </c:pt>
                <c:pt idx="152">
                  <c:v>0.9620869750324984</c:v>
                </c:pt>
                <c:pt idx="153">
                  <c:v>0.96174750630712047</c:v>
                </c:pt>
                <c:pt idx="154">
                  <c:v>0.96126261107588429</c:v>
                </c:pt>
                <c:pt idx="155">
                  <c:v>0.96100627441195396</c:v>
                </c:pt>
                <c:pt idx="156">
                  <c:v>0.96081859025415428</c:v>
                </c:pt>
                <c:pt idx="157">
                  <c:v>0.95925057575039629</c:v>
                </c:pt>
                <c:pt idx="158">
                  <c:v>0.95844545585082064</c:v>
                </c:pt>
                <c:pt idx="159">
                  <c:v>0.9577592786224064</c:v>
                </c:pt>
                <c:pt idx="160">
                  <c:v>0.95756689467598155</c:v>
                </c:pt>
                <c:pt idx="161">
                  <c:v>0.95823468529588463</c:v>
                </c:pt>
                <c:pt idx="162">
                  <c:v>0.95855550856036564</c:v>
                </c:pt>
                <c:pt idx="163">
                  <c:v>0.95810444210026646</c:v>
                </c:pt>
                <c:pt idx="164">
                  <c:v>0.95778090088573709</c:v>
                </c:pt>
                <c:pt idx="165">
                  <c:v>0.95734191150725134</c:v>
                </c:pt>
                <c:pt idx="166">
                  <c:v>0.95741136483794986</c:v>
                </c:pt>
                <c:pt idx="167">
                  <c:v>0.95738165343757053</c:v>
                </c:pt>
                <c:pt idx="168">
                  <c:v>0.95701851589718878</c:v>
                </c:pt>
                <c:pt idx="169">
                  <c:v>0.95639511846140801</c:v>
                </c:pt>
                <c:pt idx="170">
                  <c:v>0.95623483221079164</c:v>
                </c:pt>
                <c:pt idx="171">
                  <c:v>0.95628599600262354</c:v>
                </c:pt>
                <c:pt idx="172">
                  <c:v>0.95637752458832737</c:v>
                </c:pt>
                <c:pt idx="173">
                  <c:v>0.95612051652602215</c:v>
                </c:pt>
                <c:pt idx="174">
                  <c:v>0.95556929037098814</c:v>
                </c:pt>
                <c:pt idx="175">
                  <c:v>0.95522541306591879</c:v>
                </c:pt>
                <c:pt idx="176">
                  <c:v>0.95509369764735774</c:v>
                </c:pt>
                <c:pt idx="177">
                  <c:v>0.95511292552612215</c:v>
                </c:pt>
                <c:pt idx="178">
                  <c:v>0.95482259021917693</c:v>
                </c:pt>
                <c:pt idx="179">
                  <c:v>0.95415719398384025</c:v>
                </c:pt>
                <c:pt idx="180">
                  <c:v>0.95375996073079883</c:v>
                </c:pt>
                <c:pt idx="181">
                  <c:v>0.95380320525746021</c:v>
                </c:pt>
                <c:pt idx="182">
                  <c:v>0.9536268539806656</c:v>
                </c:pt>
                <c:pt idx="183">
                  <c:v>0.95334163909747194</c:v>
                </c:pt>
                <c:pt idx="184">
                  <c:v>0.95267286969198617</c:v>
                </c:pt>
                <c:pt idx="185">
                  <c:v>0.95226619641600918</c:v>
                </c:pt>
                <c:pt idx="186">
                  <c:v>0.95226581622656792</c:v>
                </c:pt>
                <c:pt idx="187">
                  <c:v>0.95218809579780583</c:v>
                </c:pt>
                <c:pt idx="188">
                  <c:v>0.95196160804958441</c:v>
                </c:pt>
                <c:pt idx="189">
                  <c:v>0.95150357684248643</c:v>
                </c:pt>
                <c:pt idx="190">
                  <c:v>0.95097436122936152</c:v>
                </c:pt>
                <c:pt idx="191">
                  <c:v>0.95098598531930023</c:v>
                </c:pt>
                <c:pt idx="192">
                  <c:v>0.95096836717880862</c:v>
                </c:pt>
                <c:pt idx="193">
                  <c:v>0.95085013635170745</c:v>
                </c:pt>
                <c:pt idx="194">
                  <c:v>0.95047365982433263</c:v>
                </c:pt>
                <c:pt idx="195">
                  <c:v>0.9499381427734469</c:v>
                </c:pt>
                <c:pt idx="196">
                  <c:v>0.95016131397547832</c:v>
                </c:pt>
                <c:pt idx="197">
                  <c:v>0.95029686364500021</c:v>
                </c:pt>
                <c:pt idx="198">
                  <c:v>0.95017859237221403</c:v>
                </c:pt>
                <c:pt idx="199">
                  <c:v>0.94971503628451182</c:v>
                </c:pt>
                <c:pt idx="200">
                  <c:v>0.94928390145810015</c:v>
                </c:pt>
                <c:pt idx="201">
                  <c:v>0.94956628514332664</c:v>
                </c:pt>
                <c:pt idx="202">
                  <c:v>0.95005843633049536</c:v>
                </c:pt>
                <c:pt idx="203">
                  <c:v>0.95031004893838944</c:v>
                </c:pt>
                <c:pt idx="204">
                  <c:v>0.95007649937352467</c:v>
                </c:pt>
                <c:pt idx="205">
                  <c:v>0.94969754757021296</c:v>
                </c:pt>
                <c:pt idx="206">
                  <c:v>0.94947894673061395</c:v>
                </c:pt>
                <c:pt idx="207">
                  <c:v>0.94919789775300034</c:v>
                </c:pt>
                <c:pt idx="208">
                  <c:v>0.94895060474429027</c:v>
                </c:pt>
                <c:pt idx="209">
                  <c:v>0.94844305184018118</c:v>
                </c:pt>
                <c:pt idx="210">
                  <c:v>0.9478923838356037</c:v>
                </c:pt>
                <c:pt idx="211">
                  <c:v>0.94765877764677964</c:v>
                </c:pt>
                <c:pt idx="212">
                  <c:v>0.94880127927437463</c:v>
                </c:pt>
                <c:pt idx="213">
                  <c:v>0.9473684666072455</c:v>
                </c:pt>
                <c:pt idx="214">
                  <c:v>0.94608726054667969</c:v>
                </c:pt>
                <c:pt idx="215">
                  <c:v>0.94614047089018471</c:v>
                </c:pt>
                <c:pt idx="216">
                  <c:v>0.94878629819256077</c:v>
                </c:pt>
                <c:pt idx="217">
                  <c:v>0.94894332452094654</c:v>
                </c:pt>
                <c:pt idx="218">
                  <c:v>0.9479195876034977</c:v>
                </c:pt>
                <c:pt idx="219">
                  <c:v>0.94741051394162379</c:v>
                </c:pt>
                <c:pt idx="220">
                  <c:v>0.94699167460352573</c:v>
                </c:pt>
                <c:pt idx="221">
                  <c:v>0.94681993413484866</c:v>
                </c:pt>
                <c:pt idx="222">
                  <c:v>0.9465672618500014</c:v>
                </c:pt>
                <c:pt idx="223">
                  <c:v>0.94626086960601485</c:v>
                </c:pt>
                <c:pt idx="224">
                  <c:v>0.94581992265636328</c:v>
                </c:pt>
                <c:pt idx="225">
                  <c:v>0.94513308211871105</c:v>
                </c:pt>
                <c:pt idx="226">
                  <c:v>0.94509875182107717</c:v>
                </c:pt>
                <c:pt idx="227">
                  <c:v>0.94476994457832908</c:v>
                </c:pt>
                <c:pt idx="228">
                  <c:v>0.94433633447598053</c:v>
                </c:pt>
                <c:pt idx="229">
                  <c:v>0.94399269175588563</c:v>
                </c:pt>
                <c:pt idx="230">
                  <c:v>0.94388508196572918</c:v>
                </c:pt>
                <c:pt idx="231">
                  <c:v>0.94361093302201804</c:v>
                </c:pt>
                <c:pt idx="232">
                  <c:v>0.94329604718413052</c:v>
                </c:pt>
                <c:pt idx="233">
                  <c:v>0.94288204514998752</c:v>
                </c:pt>
                <c:pt idx="234">
                  <c:v>0.94263460653681064</c:v>
                </c:pt>
                <c:pt idx="235">
                  <c:v>0.94256579224793902</c:v>
                </c:pt>
                <c:pt idx="236">
                  <c:v>0.94248804755176563</c:v>
                </c:pt>
                <c:pt idx="237">
                  <c:v>0.94214220458639353</c:v>
                </c:pt>
                <c:pt idx="238">
                  <c:v>0.94182652601307526</c:v>
                </c:pt>
                <c:pt idx="239">
                  <c:v>0.94159304925044407</c:v>
                </c:pt>
                <c:pt idx="240">
                  <c:v>0.94144249423169701</c:v>
                </c:pt>
                <c:pt idx="241">
                  <c:v>0.94127075376302005</c:v>
                </c:pt>
                <c:pt idx="242">
                  <c:v>0.94101464359492704</c:v>
                </c:pt>
                <c:pt idx="243">
                  <c:v>0.94066232931991611</c:v>
                </c:pt>
                <c:pt idx="244">
                  <c:v>0.94031758647718255</c:v>
                </c:pt>
                <c:pt idx="245">
                  <c:v>0.94014616957398756</c:v>
                </c:pt>
                <c:pt idx="246">
                  <c:v>0.9399288710854532</c:v>
                </c:pt>
                <c:pt idx="247">
                  <c:v>0.93952368621069327</c:v>
                </c:pt>
                <c:pt idx="248">
                  <c:v>0.93899900860345242</c:v>
                </c:pt>
                <c:pt idx="249">
                  <c:v>0.93852851203616283</c:v>
                </c:pt>
                <c:pt idx="250">
                  <c:v>0.93850563595658953</c:v>
                </c:pt>
                <c:pt idx="251">
                  <c:v>0.93851387069810488</c:v>
                </c:pt>
                <c:pt idx="252">
                  <c:v>0.93836002340057922</c:v>
                </c:pt>
                <c:pt idx="253">
                  <c:v>0.938082201988648</c:v>
                </c:pt>
                <c:pt idx="254">
                  <c:v>0.93793894337151884</c:v>
                </c:pt>
                <c:pt idx="255">
                  <c:v>0.93776262445127234</c:v>
                </c:pt>
                <c:pt idx="256">
                  <c:v>0.93765825840507244</c:v>
                </c:pt>
                <c:pt idx="257">
                  <c:v>0.93745172655794984</c:v>
                </c:pt>
                <c:pt idx="258">
                  <c:v>0.93696836017361596</c:v>
                </c:pt>
                <c:pt idx="259">
                  <c:v>0.93665445312131124</c:v>
                </c:pt>
                <c:pt idx="260">
                  <c:v>0.93666703981855881</c:v>
                </c:pt>
                <c:pt idx="261">
                  <c:v>0.93671523489709374</c:v>
                </c:pt>
                <c:pt idx="262">
                  <c:v>0.93661728353657336</c:v>
                </c:pt>
                <c:pt idx="263">
                  <c:v>0.93635559186391681</c:v>
                </c:pt>
                <c:pt idx="264">
                  <c:v>0.93596290470589671</c:v>
                </c:pt>
                <c:pt idx="265">
                  <c:v>0.93522045135103604</c:v>
                </c:pt>
                <c:pt idx="266">
                  <c:v>0.93499384226575899</c:v>
                </c:pt>
                <c:pt idx="267">
                  <c:v>0.93481310667668394</c:v>
                </c:pt>
                <c:pt idx="268">
                  <c:v>0.93435416139709948</c:v>
                </c:pt>
                <c:pt idx="269">
                  <c:v>0.93392348765149957</c:v>
                </c:pt>
                <c:pt idx="270">
                  <c:v>0.93364852979408353</c:v>
                </c:pt>
                <c:pt idx="271">
                  <c:v>0.93365308397824176</c:v>
                </c:pt>
                <c:pt idx="272">
                  <c:v>0.93340974655754849</c:v>
                </c:pt>
                <c:pt idx="273">
                  <c:v>0.93296388950170839</c:v>
                </c:pt>
                <c:pt idx="274">
                  <c:v>0.93262186460902319</c:v>
                </c:pt>
                <c:pt idx="275">
                  <c:v>0.93246927112774003</c:v>
                </c:pt>
                <c:pt idx="276">
                  <c:v>0.93234588752033909</c:v>
                </c:pt>
                <c:pt idx="277">
                  <c:v>0.93227374050700329</c:v>
                </c:pt>
                <c:pt idx="278">
                  <c:v>0.93197718465366775</c:v>
                </c:pt>
                <c:pt idx="279">
                  <c:v>0.93159452802558784</c:v>
                </c:pt>
                <c:pt idx="280">
                  <c:v>0.93135195907291402</c:v>
                </c:pt>
                <c:pt idx="281">
                  <c:v>0.93131698973345334</c:v>
                </c:pt>
                <c:pt idx="282">
                  <c:v>0.9309103569031616</c:v>
                </c:pt>
                <c:pt idx="283">
                  <c:v>0.93066444713688679</c:v>
                </c:pt>
                <c:pt idx="284">
                  <c:v>0.93029452281052116</c:v>
                </c:pt>
                <c:pt idx="285">
                  <c:v>0.93010946762226232</c:v>
                </c:pt>
                <c:pt idx="286">
                  <c:v>0.93014054608680263</c:v>
                </c:pt>
                <c:pt idx="287">
                  <c:v>0.93020776681567596</c:v>
                </c:pt>
                <c:pt idx="288">
                  <c:v>0.9298624091985267</c:v>
                </c:pt>
                <c:pt idx="289">
                  <c:v>0.92971313226343333</c:v>
                </c:pt>
                <c:pt idx="290">
                  <c:v>0.9295152072581303</c:v>
                </c:pt>
                <c:pt idx="291">
                  <c:v>0.92927848675154268</c:v>
                </c:pt>
                <c:pt idx="292">
                  <c:v>0.9290943456357702</c:v>
                </c:pt>
                <c:pt idx="293">
                  <c:v>0.92867760138416777</c:v>
                </c:pt>
                <c:pt idx="294">
                  <c:v>0.92842488865363526</c:v>
                </c:pt>
                <c:pt idx="295">
                  <c:v>0.92797643498480265</c:v>
                </c:pt>
                <c:pt idx="296">
                  <c:v>0.92987345895973483</c:v>
                </c:pt>
                <c:pt idx="297">
                  <c:v>0.93022089548510556</c:v>
                </c:pt>
                <c:pt idx="298">
                  <c:v>0.92973601643214365</c:v>
                </c:pt>
                <c:pt idx="299">
                  <c:v>0.92919715856765683</c:v>
                </c:pt>
                <c:pt idx="300">
                  <c:v>0.92784545567771315</c:v>
                </c:pt>
                <c:pt idx="301">
                  <c:v>0.92827667948463244</c:v>
                </c:pt>
                <c:pt idx="302">
                  <c:v>0.92798816423352304</c:v>
                </c:pt>
                <c:pt idx="303">
                  <c:v>0.92733678647269147</c:v>
                </c:pt>
                <c:pt idx="304">
                  <c:v>0.92681645273204571</c:v>
                </c:pt>
                <c:pt idx="305">
                  <c:v>0.9265526497946196</c:v>
                </c:pt>
                <c:pt idx="306">
                  <c:v>0.92647289090332141</c:v>
                </c:pt>
                <c:pt idx="307">
                  <c:v>0.92604664191568697</c:v>
                </c:pt>
                <c:pt idx="308">
                  <c:v>0.92541901386122982</c:v>
                </c:pt>
                <c:pt idx="309">
                  <c:v>0.92512955218108572</c:v>
                </c:pt>
                <c:pt idx="310">
                  <c:v>0.92512752180768665</c:v>
                </c:pt>
                <c:pt idx="311">
                  <c:v>0.92516387438958259</c:v>
                </c:pt>
                <c:pt idx="312">
                  <c:v>0.9247804169369348</c:v>
                </c:pt>
                <c:pt idx="313">
                  <c:v>0.92412575498646166</c:v>
                </c:pt>
                <c:pt idx="314">
                  <c:v>0.92372907179473951</c:v>
                </c:pt>
                <c:pt idx="315">
                  <c:v>0.92387851051257375</c:v>
                </c:pt>
                <c:pt idx="316">
                  <c:v>0.92383541967951632</c:v>
                </c:pt>
                <c:pt idx="317">
                  <c:v>0.92362417995463153</c:v>
                </c:pt>
                <c:pt idx="318">
                  <c:v>0.92318824018081291</c:v>
                </c:pt>
                <c:pt idx="319">
                  <c:v>0.92287099231490732</c:v>
                </c:pt>
                <c:pt idx="320">
                  <c:v>0.92276289717652804</c:v>
                </c:pt>
                <c:pt idx="321">
                  <c:v>0.92270734907241581</c:v>
                </c:pt>
                <c:pt idx="322">
                  <c:v>0.92235019749344993</c:v>
                </c:pt>
                <c:pt idx="323">
                  <c:v>0.92184170624944328</c:v>
                </c:pt>
                <c:pt idx="324">
                  <c:v>0.92141815903358304</c:v>
                </c:pt>
                <c:pt idx="325">
                  <c:v>0.9214053296622241</c:v>
                </c:pt>
                <c:pt idx="326">
                  <c:v>0.92142171825388441</c:v>
                </c:pt>
                <c:pt idx="327">
                  <c:v>0.92112369017760609</c:v>
                </c:pt>
                <c:pt idx="328">
                  <c:v>0.92071362755320563</c:v>
                </c:pt>
                <c:pt idx="329">
                  <c:v>0.92031986453995818</c:v>
                </c:pt>
                <c:pt idx="330">
                  <c:v>0.92034828976754657</c:v>
                </c:pt>
                <c:pt idx="331">
                  <c:v>0.9203778070286367</c:v>
                </c:pt>
                <c:pt idx="332">
                  <c:v>0.92027339244761441</c:v>
                </c:pt>
                <c:pt idx="333">
                  <c:v>0.9198825415237043</c:v>
                </c:pt>
                <c:pt idx="334">
                  <c:v>0.91950836231125133</c:v>
                </c:pt>
                <c:pt idx="335">
                  <c:v>0.91945350987292529</c:v>
                </c:pt>
                <c:pt idx="336">
                  <c:v>0.9196028838776632</c:v>
                </c:pt>
                <c:pt idx="337">
                  <c:v>0.91935203164865165</c:v>
                </c:pt>
                <c:pt idx="338">
                  <c:v>0.91888766664724464</c:v>
                </c:pt>
                <c:pt idx="339">
                  <c:v>0.91843113193050063</c:v>
                </c:pt>
                <c:pt idx="340">
                  <c:v>0.91849185708232384</c:v>
                </c:pt>
                <c:pt idx="341">
                  <c:v>0.91861581501845524</c:v>
                </c:pt>
                <c:pt idx="342">
                  <c:v>0.91854954071861683</c:v>
                </c:pt>
                <c:pt idx="343">
                  <c:v>0.91811693366926228</c:v>
                </c:pt>
                <c:pt idx="344">
                  <c:v>0.91768439942214119</c:v>
                </c:pt>
                <c:pt idx="345">
                  <c:v>0.91761497035885387</c:v>
                </c:pt>
                <c:pt idx="346">
                  <c:v>0.91773758549823525</c:v>
                </c:pt>
                <c:pt idx="347">
                  <c:v>0.91760077392333372</c:v>
                </c:pt>
                <c:pt idx="348">
                  <c:v>0.9171222771995029</c:v>
                </c:pt>
                <c:pt idx="349">
                  <c:v>0.91653998066906561</c:v>
                </c:pt>
                <c:pt idx="350">
                  <c:v>0.91625482240983136</c:v>
                </c:pt>
                <c:pt idx="351">
                  <c:v>0.91608567855414702</c:v>
                </c:pt>
                <c:pt idx="352">
                  <c:v>0.91598116690348019</c:v>
                </c:pt>
                <c:pt idx="353">
                  <c:v>0.91554999163138329</c:v>
                </c:pt>
                <c:pt idx="354">
                  <c:v>0.91522118438863531</c:v>
                </c:pt>
                <c:pt idx="355">
                  <c:v>0.91463190693292518</c:v>
                </c:pt>
                <c:pt idx="356">
                  <c:v>0.91464012549616647</c:v>
                </c:pt>
                <c:pt idx="357">
                  <c:v>0.91457075305683844</c:v>
                </c:pt>
                <c:pt idx="358">
                  <c:v>0.91447749339580608</c:v>
                </c:pt>
                <c:pt idx="359">
                  <c:v>0.91422410926689845</c:v>
                </c:pt>
                <c:pt idx="360">
                  <c:v>0.91399528375807004</c:v>
                </c:pt>
                <c:pt idx="361">
                  <c:v>0.91405717374562834</c:v>
                </c:pt>
                <c:pt idx="362">
                  <c:v>0.91411725985562453</c:v>
                </c:pt>
                <c:pt idx="363">
                  <c:v>0.91369593715245279</c:v>
                </c:pt>
                <c:pt idx="364">
                  <c:v>0.9133572045385463</c:v>
                </c:pt>
                <c:pt idx="365">
                  <c:v>0.91283661194551502</c:v>
                </c:pt>
                <c:pt idx="366">
                  <c:v>0.91280029172016719</c:v>
                </c:pt>
                <c:pt idx="367">
                  <c:v>0.91275748400690648</c:v>
                </c:pt>
                <c:pt idx="368">
                  <c:v>0.91231978080121146</c:v>
                </c:pt>
                <c:pt idx="369">
                  <c:v>0.91187199853075385</c:v>
                </c:pt>
                <c:pt idx="370">
                  <c:v>0.91152228086873543</c:v>
                </c:pt>
                <c:pt idx="371">
                  <c:v>0.91140268297747318</c:v>
                </c:pt>
                <c:pt idx="372">
                  <c:v>0.91131397750059917</c:v>
                </c:pt>
                <c:pt idx="373">
                  <c:v>0.91073727056386244</c:v>
                </c:pt>
                <c:pt idx="374">
                  <c:v>0.91015410040662392</c:v>
                </c:pt>
                <c:pt idx="375">
                  <c:v>0.90964682253317464</c:v>
                </c:pt>
                <c:pt idx="376">
                  <c:v>0.90964458993134922</c:v>
                </c:pt>
                <c:pt idx="377">
                  <c:v>0.90964150797013377</c:v>
                </c:pt>
                <c:pt idx="378">
                  <c:v>0.90917895493542566</c:v>
                </c:pt>
                <c:pt idx="379">
                  <c:v>0.90885401430018675</c:v>
                </c:pt>
                <c:pt idx="380">
                  <c:v>0.90885816402749264</c:v>
                </c:pt>
                <c:pt idx="381">
                  <c:v>0.90886623698626712</c:v>
                </c:pt>
                <c:pt idx="382">
                  <c:v>0.90836507450042636</c:v>
                </c:pt>
                <c:pt idx="383">
                  <c:v>0.90791445294286488</c:v>
                </c:pt>
                <c:pt idx="384">
                  <c:v>0.90742659708746898</c:v>
                </c:pt>
                <c:pt idx="385">
                  <c:v>0.90715259374822466</c:v>
                </c:pt>
                <c:pt idx="386">
                  <c:v>0.90693121024548096</c:v>
                </c:pt>
                <c:pt idx="387">
                  <c:v>0.9065700788110872</c:v>
                </c:pt>
                <c:pt idx="388">
                  <c:v>0.90629871253052063</c:v>
                </c:pt>
                <c:pt idx="389">
                  <c:v>0.90609146075020064</c:v>
                </c:pt>
                <c:pt idx="390">
                  <c:v>0.90561793884565467</c:v>
                </c:pt>
                <c:pt idx="391">
                  <c:v>0.90523173108641053</c:v>
                </c:pt>
                <c:pt idx="392">
                  <c:v>0.90487035697790519</c:v>
                </c:pt>
                <c:pt idx="393">
                  <c:v>0.90459247085287764</c:v>
                </c:pt>
                <c:pt idx="394">
                  <c:v>0.90428283486493455</c:v>
                </c:pt>
                <c:pt idx="395">
                  <c:v>0.90414977664962359</c:v>
                </c:pt>
                <c:pt idx="396">
                  <c:v>0.90418292593324845</c:v>
                </c:pt>
                <c:pt idx="397">
                  <c:v>0.90400691440020975</c:v>
                </c:pt>
                <c:pt idx="398">
                  <c:v>0.9034450833865052</c:v>
                </c:pt>
                <c:pt idx="399">
                  <c:v>0.90292578505540189</c:v>
                </c:pt>
                <c:pt idx="400">
                  <c:v>0.90299073273676433</c:v>
                </c:pt>
                <c:pt idx="401">
                  <c:v>0.90307590326074816</c:v>
                </c:pt>
                <c:pt idx="402">
                  <c:v>0.90310795242173436</c:v>
                </c:pt>
                <c:pt idx="403">
                  <c:v>0.90266193358315339</c:v>
                </c:pt>
                <c:pt idx="404">
                  <c:v>0.90198326307392018</c:v>
                </c:pt>
                <c:pt idx="405">
                  <c:v>0.90190864078464761</c:v>
                </c:pt>
                <c:pt idx="406">
                  <c:v>0.90189461422100548</c:v>
                </c:pt>
                <c:pt idx="407">
                  <c:v>0.90186792815788241</c:v>
                </c:pt>
                <c:pt idx="408">
                  <c:v>0.90139183390775512</c:v>
                </c:pt>
                <c:pt idx="409">
                  <c:v>0.90044271927957897</c:v>
                </c:pt>
                <c:pt idx="410">
                  <c:v>0.90018251600813937</c:v>
                </c:pt>
                <c:pt idx="411">
                  <c:v>0.90063896174437585</c:v>
                </c:pt>
                <c:pt idx="412">
                  <c:v>0.90066016337257992</c:v>
                </c:pt>
                <c:pt idx="413">
                  <c:v>0.90063472303656245</c:v>
                </c:pt>
                <c:pt idx="414">
                  <c:v>0.90056688753327363</c:v>
                </c:pt>
                <c:pt idx="415">
                  <c:v>0.90014450515314837</c:v>
                </c:pt>
                <c:pt idx="416">
                  <c:v>0.90022104456790142</c:v>
                </c:pt>
                <c:pt idx="417">
                  <c:v>0.90318724214308388</c:v>
                </c:pt>
                <c:pt idx="418">
                  <c:v>0.9025706153150127</c:v>
                </c:pt>
                <c:pt idx="419">
                  <c:v>0.90192107378829112</c:v>
                </c:pt>
                <c:pt idx="420">
                  <c:v>0.9013801208373089</c:v>
                </c:pt>
                <c:pt idx="421">
                  <c:v>0.90083481593059445</c:v>
                </c:pt>
                <c:pt idx="422">
                  <c:v>0.90083360256003719</c:v>
                </c:pt>
                <c:pt idx="423">
                  <c:v>0.90068329021540161</c:v>
                </c:pt>
                <c:pt idx="424">
                  <c:v>0.90062068029464615</c:v>
                </c:pt>
                <c:pt idx="425">
                  <c:v>0.89994454977444616</c:v>
                </c:pt>
                <c:pt idx="426">
                  <c:v>0.89939342877819395</c:v>
                </c:pt>
                <c:pt idx="427">
                  <c:v>0.89913447932299684</c:v>
                </c:pt>
                <c:pt idx="428">
                  <c:v>0.8990996070531807</c:v>
                </c:pt>
                <c:pt idx="429">
                  <c:v>0.89890354254939875</c:v>
                </c:pt>
                <c:pt idx="430">
                  <c:v>0.89836902855150713</c:v>
                </c:pt>
                <c:pt idx="431">
                  <c:v>0.89789525588371277</c:v>
                </c:pt>
                <c:pt idx="432">
                  <c:v>0.89757186836278724</c:v>
                </c:pt>
                <c:pt idx="433">
                  <c:v>0.8976075819028565</c:v>
                </c:pt>
                <c:pt idx="434">
                  <c:v>0.89739658485208296</c:v>
                </c:pt>
                <c:pt idx="435">
                  <c:v>0.89688794800360949</c:v>
                </c:pt>
                <c:pt idx="436">
                  <c:v>0.89631038361834559</c:v>
                </c:pt>
                <c:pt idx="437">
                  <c:v>0.89608265823215583</c:v>
                </c:pt>
                <c:pt idx="438">
                  <c:v>0.89606962663237066</c:v>
                </c:pt>
                <c:pt idx="439">
                  <c:v>0.89586768132595462</c:v>
                </c:pt>
                <c:pt idx="440">
                  <c:v>0.89533481751202071</c:v>
                </c:pt>
                <c:pt idx="441">
                  <c:v>0.89487100257193297</c:v>
                </c:pt>
                <c:pt idx="442">
                  <c:v>0.89460076068141636</c:v>
                </c:pt>
                <c:pt idx="443">
                  <c:v>0.8947422315992577</c:v>
                </c:pt>
                <c:pt idx="444">
                  <c:v>0.89457685728143799</c:v>
                </c:pt>
                <c:pt idx="445">
                  <c:v>0.8942246643434828</c:v>
                </c:pt>
                <c:pt idx="446">
                  <c:v>0.89388182244795555</c:v>
                </c:pt>
                <c:pt idx="447">
                  <c:v>0.89341422179172925</c:v>
                </c:pt>
                <c:pt idx="448">
                  <c:v>0.89125850721398547</c:v>
                </c:pt>
                <c:pt idx="449">
                  <c:v>0.89046860298119812</c:v>
                </c:pt>
                <c:pt idx="450">
                  <c:v>0.88727272244866007</c:v>
                </c:pt>
                <c:pt idx="451">
                  <c:v>0.88860376568258193</c:v>
                </c:pt>
                <c:pt idx="452">
                  <c:v>0.88904639517273953</c:v>
                </c:pt>
                <c:pt idx="453">
                  <c:v>0.88995815416602575</c:v>
                </c:pt>
                <c:pt idx="454">
                  <c:v>0.89015187282006358</c:v>
                </c:pt>
                <c:pt idx="455">
                  <c:v>0.89000602567907894</c:v>
                </c:pt>
                <c:pt idx="456">
                  <c:v>0.88972194327507204</c:v>
                </c:pt>
                <c:pt idx="457">
                  <c:v>0.8897709796238602</c:v>
                </c:pt>
                <c:pt idx="458">
                  <c:v>0.88983821653100748</c:v>
                </c:pt>
                <c:pt idx="459">
                  <c:v>0.88961309584694737</c:v>
                </c:pt>
                <c:pt idx="460">
                  <c:v>0.8891864504915975</c:v>
                </c:pt>
                <c:pt idx="461">
                  <c:v>0.88898948809360323</c:v>
                </c:pt>
                <c:pt idx="462">
                  <c:v>0.8891777546692704</c:v>
                </c:pt>
                <c:pt idx="463">
                  <c:v>0.88924627774920828</c:v>
                </c:pt>
                <c:pt idx="464">
                  <c:v>0.8888916338027274</c:v>
                </c:pt>
                <c:pt idx="465">
                  <c:v>0.88851057882378304</c:v>
                </c:pt>
                <c:pt idx="466">
                  <c:v>0.88815255361801582</c:v>
                </c:pt>
                <c:pt idx="467">
                  <c:v>0.88832007155715342</c:v>
                </c:pt>
                <c:pt idx="468">
                  <c:v>0.88842502002122081</c:v>
                </c:pt>
                <c:pt idx="469">
                  <c:v>0.88812069859631881</c:v>
                </c:pt>
                <c:pt idx="470">
                  <c:v>0.88764618981705301</c:v>
                </c:pt>
                <c:pt idx="471">
                  <c:v>0.88728513927402963</c:v>
                </c:pt>
                <c:pt idx="472">
                  <c:v>0.88727849000337566</c:v>
                </c:pt>
                <c:pt idx="473">
                  <c:v>0.88662236391909666</c:v>
                </c:pt>
                <c:pt idx="474">
                  <c:v>0.88363212542860603</c:v>
                </c:pt>
                <c:pt idx="475">
                  <c:v>0.88262995415052858</c:v>
                </c:pt>
                <c:pt idx="476">
                  <c:v>0.88208646121051304</c:v>
                </c:pt>
                <c:pt idx="477">
                  <c:v>0.88364108819245579</c:v>
                </c:pt>
                <c:pt idx="478">
                  <c:v>0.88391243020561105</c:v>
                </c:pt>
                <c:pt idx="479">
                  <c:v>0.88379673936754322</c:v>
                </c:pt>
                <c:pt idx="480">
                  <c:v>0.88375983672432801</c:v>
                </c:pt>
                <c:pt idx="481">
                  <c:v>0.8836525181431053</c:v>
                </c:pt>
                <c:pt idx="482">
                  <c:v>0.88322906799688961</c:v>
                </c:pt>
                <c:pt idx="483">
                  <c:v>0.88295821942109431</c:v>
                </c:pt>
                <c:pt idx="484">
                  <c:v>0.88284697760840314</c:v>
                </c:pt>
                <c:pt idx="485">
                  <c:v>0.88290073801322755</c:v>
                </c:pt>
                <c:pt idx="486">
                  <c:v>0.88281126406833399</c:v>
                </c:pt>
                <c:pt idx="487">
                  <c:v>0.88239109002262306</c:v>
                </c:pt>
                <c:pt idx="488">
                  <c:v>0.88214433898609512</c:v>
                </c:pt>
                <c:pt idx="489">
                  <c:v>0.88199338759963286</c:v>
                </c:pt>
                <c:pt idx="490">
                  <c:v>0.88198655227882683</c:v>
                </c:pt>
                <c:pt idx="491">
                  <c:v>0.88140895553701482</c:v>
                </c:pt>
                <c:pt idx="492">
                  <c:v>0.88121983960195749</c:v>
                </c:pt>
                <c:pt idx="493">
                  <c:v>0.88183220345480418</c:v>
                </c:pt>
                <c:pt idx="494">
                  <c:v>0.88155252154135177</c:v>
                </c:pt>
                <c:pt idx="495">
                  <c:v>0.88113890778578718</c:v>
                </c:pt>
                <c:pt idx="496">
                  <c:v>0.88093414745967813</c:v>
                </c:pt>
                <c:pt idx="497">
                  <c:v>0.88085991344898396</c:v>
                </c:pt>
                <c:pt idx="498">
                  <c:v>0.8809121207394951</c:v>
                </c:pt>
                <c:pt idx="499">
                  <c:v>0.88079502239158081</c:v>
                </c:pt>
                <c:pt idx="500">
                  <c:v>0.88058389591461461</c:v>
                </c:pt>
                <c:pt idx="501">
                  <c:v>0.88034354338549203</c:v>
                </c:pt>
                <c:pt idx="502">
                  <c:v>0.88020220998298049</c:v>
                </c:pt>
                <c:pt idx="503">
                  <c:v>0.88003652827795276</c:v>
                </c:pt>
                <c:pt idx="504">
                  <c:v>0.87985836503445924</c:v>
                </c:pt>
                <c:pt idx="505">
                  <c:v>0.87962478311304626</c:v>
                </c:pt>
                <c:pt idx="506">
                  <c:v>0.87933773199574283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CF5-40E0-9F93-8C9B0ADFB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288384"/>
        <c:axId val="1433678704"/>
      </c:scatterChart>
      <c:valAx>
        <c:axId val="1203288384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433678704"/>
        <c:crosses val="autoZero"/>
        <c:crossBetween val="midCat"/>
      </c:valAx>
      <c:valAx>
        <c:axId val="1433678704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Energy Retention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203288384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84591111111111106"/>
          <c:y val="0.12519501312335962"/>
          <c:w val="0.1133223097112861"/>
          <c:h val="0.31730708661417323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ZP of Cycle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435-1</c:v>
          </c:tx>
          <c:spPr>
            <a:ln w="19050">
              <a:solidFill>
                <a:srgbClr val="0099FF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0099FF"/>
                </a:solidFill>
                <a:prstDash val="solid"/>
              </a:ln>
            </c:spPr>
          </c:marker>
          <c:xVal>
            <c:numRef>
              <c:f>'G11E-V1.2-PreA-0.5C_0.5C循环 25℃'!$C$20:$C$26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25℃'!$F$20:$F$26</c:f>
              <c:numCache>
                <c:formatCode>0.00%</c:formatCode>
                <c:ptCount val="7"/>
                <c:pt idx="0">
                  <c:v>1</c:v>
                </c:pt>
                <c:pt idx="1">
                  <c:v>0.9884169124877088</c:v>
                </c:pt>
                <c:pt idx="2">
                  <c:v>0.97206489675516239</c:v>
                </c:pt>
                <c:pt idx="3">
                  <c:v>0.95508357915437558</c:v>
                </c:pt>
                <c:pt idx="4">
                  <c:v>0.93875122910521147</c:v>
                </c:pt>
                <c:pt idx="5">
                  <c:v>0.92118977384464118</c:v>
                </c:pt>
                <c:pt idx="6">
                  <c:v>0.90341199606686329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E6-4AA8-AC73-977D1EADDE92}"/>
            </c:ext>
          </c:extLst>
        </c:ser>
        <c:ser>
          <c:idx val="1"/>
          <c:order val="1"/>
          <c:tx>
            <c:v>435-2</c:v>
          </c:tx>
          <c:spPr>
            <a:ln w="19050">
              <a:solidFill>
                <a:srgbClr val="0099FF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0099FF"/>
                </a:solidFill>
                <a:prstDash val="solid"/>
              </a:ln>
            </c:spPr>
          </c:marker>
          <c:xVal>
            <c:numRef>
              <c:f>'G11E-V1.2-PreA-0.5C_0.5C循环 25℃'!$C$30:$C$36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25℃'!$F$30:$F$36</c:f>
              <c:numCache>
                <c:formatCode>0.00%</c:formatCode>
                <c:ptCount val="7"/>
                <c:pt idx="0">
                  <c:v>1</c:v>
                </c:pt>
                <c:pt idx="1">
                  <c:v>0.98700250897820652</c:v>
                </c:pt>
                <c:pt idx="2">
                  <c:v>0.97119102671323876</c:v>
                </c:pt>
                <c:pt idx="3">
                  <c:v>0.95646184877256868</c:v>
                </c:pt>
                <c:pt idx="4">
                  <c:v>0.94105377084665731</c:v>
                </c:pt>
                <c:pt idx="5">
                  <c:v>0.92286121906823448</c:v>
                </c:pt>
                <c:pt idx="6">
                  <c:v>0.90462931076892805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E6-4AA8-AC73-977D1EADDE92}"/>
            </c:ext>
          </c:extLst>
        </c:ser>
        <c:ser>
          <c:idx val="2"/>
          <c:order val="2"/>
          <c:tx>
            <c:v>435-3</c:v>
          </c:tx>
          <c:spPr>
            <a:ln w="19050">
              <a:solidFill>
                <a:srgbClr val="0099FF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0099FF"/>
                </a:solidFill>
                <a:prstDash val="solid"/>
              </a:ln>
            </c:spPr>
          </c:marker>
          <c:xVal>
            <c:numRef>
              <c:f>'G11E-V1.2-PreA-0.5C_0.5C循环 25℃'!$C$40:$C$46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25℃'!$F$40:$F$46</c:f>
              <c:numCache>
                <c:formatCode>0.00%</c:formatCode>
                <c:ptCount val="7"/>
                <c:pt idx="0">
                  <c:v>1</c:v>
                </c:pt>
                <c:pt idx="1">
                  <c:v>0.98818213416753553</c:v>
                </c:pt>
                <c:pt idx="2">
                  <c:v>0.97318635483390437</c:v>
                </c:pt>
                <c:pt idx="3">
                  <c:v>0.95956105069765119</c:v>
                </c:pt>
                <c:pt idx="4">
                  <c:v>0.94439644470927064</c:v>
                </c:pt>
                <c:pt idx="5">
                  <c:v>0.92557723819454785</c:v>
                </c:pt>
                <c:pt idx="6">
                  <c:v>0.90786037042554257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E6-4AA8-AC73-977D1EADDE92}"/>
            </c:ext>
          </c:extLst>
        </c:ser>
        <c:ser>
          <c:idx val="3"/>
          <c:order val="3"/>
          <c:tx>
            <c:v>450-1</c:v>
          </c:tx>
          <c:spPr>
            <a:ln w="19050">
              <a:solidFill>
                <a:srgbClr val="FFD501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FFD501"/>
                </a:solidFill>
                <a:prstDash val="solid"/>
              </a:ln>
            </c:spPr>
          </c:marker>
          <c:xVal>
            <c:numRef>
              <c:f>'G11E-V1.2-PreA-0.5C_0.5C循环 25℃'!$C$50:$C$56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25℃'!$F$50:$F$56</c:f>
              <c:numCache>
                <c:formatCode>0.00%</c:formatCode>
                <c:ptCount val="7"/>
                <c:pt idx="0">
                  <c:v>1</c:v>
                </c:pt>
                <c:pt idx="1">
                  <c:v>0.97973684210526324</c:v>
                </c:pt>
                <c:pt idx="2">
                  <c:v>0.95872319688109175</c:v>
                </c:pt>
                <c:pt idx="3">
                  <c:v>0.94089668615984412</c:v>
                </c:pt>
                <c:pt idx="4">
                  <c:v>0.92054580896686178</c:v>
                </c:pt>
                <c:pt idx="5">
                  <c:v>0.90156920077972724</c:v>
                </c:pt>
                <c:pt idx="6">
                  <c:v>0.88357699805068235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E6-4AA8-AC73-977D1EADDE92}"/>
            </c:ext>
          </c:extLst>
        </c:ser>
        <c:ser>
          <c:idx val="4"/>
          <c:order val="4"/>
          <c:tx>
            <c:v>450-2</c:v>
          </c:tx>
          <c:spPr>
            <a:ln w="19050">
              <a:solidFill>
                <a:srgbClr val="FFD501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FFD501"/>
                </a:solidFill>
                <a:prstDash val="solid"/>
              </a:ln>
            </c:spPr>
          </c:marker>
          <c:xVal>
            <c:numRef>
              <c:f>'G11E-V1.2-PreA-0.5C_0.5C循环 25℃'!$C$60:$C$66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25℃'!$F$60:$F$66</c:f>
              <c:numCache>
                <c:formatCode>0.00%</c:formatCode>
                <c:ptCount val="7"/>
                <c:pt idx="0">
                  <c:v>1</c:v>
                </c:pt>
                <c:pt idx="1">
                  <c:v>0.98139012790594604</c:v>
                </c:pt>
                <c:pt idx="2">
                  <c:v>0.95996415876485586</c:v>
                </c:pt>
                <c:pt idx="3">
                  <c:v>0.94162998847960289</c:v>
                </c:pt>
                <c:pt idx="4">
                  <c:v>0.92264594964503399</c:v>
                </c:pt>
                <c:pt idx="5">
                  <c:v>0.90319912563140625</c:v>
                </c:pt>
                <c:pt idx="6">
                  <c:v>0.885908683622328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8E6-4AA8-AC73-977D1EADDE92}"/>
            </c:ext>
          </c:extLst>
        </c:ser>
        <c:ser>
          <c:idx val="5"/>
          <c:order val="5"/>
          <c:tx>
            <c:v>450-3</c:v>
          </c:tx>
          <c:spPr>
            <a:ln w="19050">
              <a:solidFill>
                <a:srgbClr val="FFD501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FFD501"/>
                </a:solidFill>
                <a:prstDash val="solid"/>
              </a:ln>
            </c:spPr>
          </c:marker>
          <c:xVal>
            <c:numRef>
              <c:f>'G11E-V1.2-PreA-0.5C_0.5C循环 25℃'!$C$70:$C$76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25℃'!$F$70:$F$76</c:f>
              <c:numCache>
                <c:formatCode>0.00%</c:formatCode>
                <c:ptCount val="7"/>
                <c:pt idx="0">
                  <c:v>1</c:v>
                </c:pt>
                <c:pt idx="1">
                  <c:v>0.98141040552066372</c:v>
                </c:pt>
                <c:pt idx="2">
                  <c:v>0.96189036209971324</c:v>
                </c:pt>
                <c:pt idx="3">
                  <c:v>0.94477397844459976</c:v>
                </c:pt>
                <c:pt idx="4">
                  <c:v>0.92749282778940856</c:v>
                </c:pt>
                <c:pt idx="5">
                  <c:v>0.9078564782507561</c:v>
                </c:pt>
                <c:pt idx="6">
                  <c:v>0.88801659300612557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8E6-4AA8-AC73-977D1EADD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284784"/>
        <c:axId val="1433671632"/>
      </c:scatterChart>
      <c:scatterChart>
        <c:scatterStyle val="smoothMarker"/>
        <c:varyColors val="0"/>
        <c:ser>
          <c:idx val="6"/>
          <c:order val="6"/>
          <c:tx>
            <c:v>435-1</c:v>
          </c:tx>
          <c:spPr>
            <a:ln w="19050">
              <a:solidFill>
                <a:srgbClr val="0099FF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99FF"/>
                </a:solidFill>
                <a:prstDash val="lgDash"/>
              </a:ln>
            </c:spPr>
          </c:marker>
          <c:xVal>
            <c:numRef>
              <c:f>'G11E-V1.2-PreA-0.5C_0.5C循环 25℃'!$C$20:$C$26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25℃'!$L$20:$L$26</c:f>
              <c:numCache>
                <c:formatCode>0.00%</c:formatCode>
                <c:ptCount val="7"/>
                <c:pt idx="0">
                  <c:v>0</c:v>
                </c:pt>
                <c:pt idx="1">
                  <c:v>8.6689128712443858E-2</c:v>
                </c:pt>
                <c:pt idx="2">
                  <c:v>0.17742075910663846</c:v>
                </c:pt>
                <c:pt idx="3">
                  <c:v>0.28060418636653822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8E6-4AA8-AC73-977D1EADDE92}"/>
            </c:ext>
          </c:extLst>
        </c:ser>
        <c:ser>
          <c:idx val="7"/>
          <c:order val="7"/>
          <c:tx>
            <c:v>435-2</c:v>
          </c:tx>
          <c:spPr>
            <a:ln w="19050">
              <a:solidFill>
                <a:srgbClr val="0099FF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99FF"/>
                </a:solidFill>
                <a:prstDash val="lgDash"/>
              </a:ln>
            </c:spPr>
          </c:marker>
          <c:xVal>
            <c:numRef>
              <c:f>'G11E-V1.2-PreA-0.5C_0.5C循环 25℃'!$C$30:$C$36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25℃'!$L$30:$L$36</c:f>
              <c:numCache>
                <c:formatCode>0.00%</c:formatCode>
                <c:ptCount val="7"/>
                <c:pt idx="0">
                  <c:v>0</c:v>
                </c:pt>
                <c:pt idx="1">
                  <c:v>6.9548915488730059E-2</c:v>
                </c:pt>
                <c:pt idx="2">
                  <c:v>0.14284433667028715</c:v>
                </c:pt>
                <c:pt idx="3">
                  <c:v>0.28925596670727072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8E6-4AA8-AC73-977D1EADDE92}"/>
            </c:ext>
          </c:extLst>
        </c:ser>
        <c:ser>
          <c:idx val="8"/>
          <c:order val="8"/>
          <c:tx>
            <c:v>435-3</c:v>
          </c:tx>
          <c:spPr>
            <a:ln w="19050">
              <a:solidFill>
                <a:srgbClr val="0099FF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99FF"/>
                </a:solidFill>
                <a:prstDash val="lgDash"/>
              </a:ln>
            </c:spPr>
          </c:marker>
          <c:xVal>
            <c:numRef>
              <c:f>'G11E-V1.2-PreA-0.5C_0.5C循环 25℃'!$C$40:$C$46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25℃'!$L$40:$L$46</c:f>
              <c:numCache>
                <c:formatCode>0.00%</c:formatCode>
                <c:ptCount val="7"/>
                <c:pt idx="0">
                  <c:v>0</c:v>
                </c:pt>
                <c:pt idx="1">
                  <c:v>3.5366323484477609E-2</c:v>
                </c:pt>
                <c:pt idx="2">
                  <c:v>0.10818779137136365</c:v>
                </c:pt>
                <c:pt idx="3">
                  <c:v>0.26306421100658189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8E6-4AA8-AC73-977D1EADDE92}"/>
            </c:ext>
          </c:extLst>
        </c:ser>
        <c:ser>
          <c:idx val="9"/>
          <c:order val="9"/>
          <c:tx>
            <c:v>450-1</c:v>
          </c:tx>
          <c:spPr>
            <a:ln w="19050">
              <a:solidFill>
                <a:srgbClr val="FFD501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FD501"/>
                </a:solidFill>
                <a:prstDash val="lgDash"/>
              </a:ln>
            </c:spPr>
          </c:marker>
          <c:xVal>
            <c:numRef>
              <c:f>'G11E-V1.2-PreA-0.5C_0.5C循环 25℃'!$C$50:$C$56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25℃'!$L$50:$L$56</c:f>
              <c:numCache>
                <c:formatCode>0.00%</c:formatCode>
                <c:ptCount val="7"/>
                <c:pt idx="0">
                  <c:v>0</c:v>
                </c:pt>
                <c:pt idx="1">
                  <c:v>6.057533492382873E-2</c:v>
                </c:pt>
                <c:pt idx="2">
                  <c:v>0.13071704128164835</c:v>
                </c:pt>
                <c:pt idx="3">
                  <c:v>0.20939648700501001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8E6-4AA8-AC73-977D1EADDE92}"/>
            </c:ext>
          </c:extLst>
        </c:ser>
        <c:ser>
          <c:idx val="10"/>
          <c:order val="10"/>
          <c:tx>
            <c:v>450-2</c:v>
          </c:tx>
          <c:spPr>
            <a:ln w="19050">
              <a:solidFill>
                <a:srgbClr val="FFD501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FD501"/>
                </a:solidFill>
                <a:prstDash val="lgDash"/>
              </a:ln>
            </c:spPr>
          </c:marker>
          <c:xVal>
            <c:numRef>
              <c:f>'G11E-V1.2-PreA-0.5C_0.5C循环 25℃'!$C$60:$C$66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25℃'!$L$60:$L$66</c:f>
              <c:numCache>
                <c:formatCode>0.00%</c:formatCode>
                <c:ptCount val="7"/>
                <c:pt idx="0">
                  <c:v>0</c:v>
                </c:pt>
                <c:pt idx="1">
                  <c:v>7.3014398295533911E-2</c:v>
                </c:pt>
                <c:pt idx="2">
                  <c:v>0.14616340925504182</c:v>
                </c:pt>
                <c:pt idx="3">
                  <c:v>0.22933937320338402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8E6-4AA8-AC73-977D1EADDE92}"/>
            </c:ext>
          </c:extLst>
        </c:ser>
        <c:ser>
          <c:idx val="11"/>
          <c:order val="11"/>
          <c:tx>
            <c:v>450-3</c:v>
          </c:tx>
          <c:spPr>
            <a:ln w="19050">
              <a:solidFill>
                <a:srgbClr val="FFD501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FD501"/>
                </a:solidFill>
                <a:prstDash val="lgDash"/>
              </a:ln>
            </c:spPr>
          </c:marker>
          <c:xVal>
            <c:numRef>
              <c:f>'G11E-V1.2-PreA-0.5C_0.5C循环 25℃'!$C$70:$C$76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25℃'!$L$70:$L$76</c:f>
              <c:numCache>
                <c:formatCode>0.00%</c:formatCode>
                <c:ptCount val="7"/>
                <c:pt idx="0">
                  <c:v>0</c:v>
                </c:pt>
                <c:pt idx="1">
                  <c:v>8.164530456252668E-2</c:v>
                </c:pt>
                <c:pt idx="2">
                  <c:v>0.14807606930060266</c:v>
                </c:pt>
                <c:pt idx="3">
                  <c:v>0.29721711217026936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8E6-4AA8-AC73-977D1EADD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664560"/>
        <c:axId val="1433656240"/>
      </c:scatterChart>
      <c:valAx>
        <c:axId val="1203284784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433671632"/>
        <c:crosses val="autoZero"/>
        <c:crossBetween val="midCat"/>
      </c:valAx>
      <c:valAx>
        <c:axId val="1433671632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Residual Capacity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203284784"/>
        <c:crosses val="autoZero"/>
        <c:crossBetween val="midCat"/>
      </c:valAx>
      <c:valAx>
        <c:axId val="1433656240"/>
        <c:scaling>
          <c:orientation val="minMax"/>
          <c:max val="1.5"/>
          <c:min val="-0.1"/>
        </c:scaling>
        <c:delete val="0"/>
        <c:axPos val="r"/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DCIR increase rate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433664560"/>
        <c:crosses val="max"/>
        <c:crossBetween val="midCat"/>
      </c:valAx>
      <c:valAx>
        <c:axId val="1433664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33656240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73480000000000001"/>
          <c:y val="0.12169501312335956"/>
          <c:w val="0.12998897637795276"/>
          <c:h val="0.63461417322834646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10584</xdr:rowOff>
    </xdr:from>
    <xdr:to>
      <xdr:col>7</xdr:col>
      <xdr:colOff>656166</xdr:colOff>
      <xdr:row>19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21166</xdr:colOff>
      <xdr:row>37</xdr:row>
      <xdr:rowOff>21166</xdr:rowOff>
    </xdr:from>
    <xdr:to>
      <xdr:col>7</xdr:col>
      <xdr:colOff>677332</xdr:colOff>
      <xdr:row>55</xdr:row>
      <xdr:rowOff>10582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21166</xdr:colOff>
      <xdr:row>19</xdr:row>
      <xdr:rowOff>10584</xdr:rowOff>
    </xdr:from>
    <xdr:to>
      <xdr:col>8</xdr:col>
      <xdr:colOff>0</xdr:colOff>
      <xdr:row>37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</xdr:colOff>
      <xdr:row>1</xdr:row>
      <xdr:rowOff>10582</xdr:rowOff>
    </xdr:from>
    <xdr:to>
      <xdr:col>16</xdr:col>
      <xdr:colOff>667916</xdr:colOff>
      <xdr:row>19</xdr:row>
      <xdr:rowOff>1282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677334</xdr:colOff>
      <xdr:row>1</xdr:row>
      <xdr:rowOff>10584</xdr:rowOff>
    </xdr:from>
    <xdr:to>
      <xdr:col>23</xdr:col>
      <xdr:colOff>666750</xdr:colOff>
      <xdr:row>19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19</xdr:row>
      <xdr:rowOff>0</xdr:rowOff>
    </xdr:from>
    <xdr:to>
      <xdr:col>16</xdr:col>
      <xdr:colOff>660400</xdr:colOff>
      <xdr:row>37</xdr:row>
      <xdr:rowOff>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19</xdr:row>
      <xdr:rowOff>0</xdr:rowOff>
    </xdr:from>
    <xdr:to>
      <xdr:col>24</xdr:col>
      <xdr:colOff>0</xdr:colOff>
      <xdr:row>36</xdr:row>
      <xdr:rowOff>160867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2</xdr:row>
          <xdr:rowOff>19050</xdr:rowOff>
        </xdr:from>
        <xdr:to>
          <xdr:col>11</xdr:col>
          <xdr:colOff>257175</xdr:colOff>
          <xdr:row>2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输出报告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336330</xdr:colOff>
      <xdr:row>4</xdr:row>
      <xdr:rowOff>2365</xdr:rowOff>
    </xdr:from>
    <xdr:to>
      <xdr:col>10</xdr:col>
      <xdr:colOff>199696</xdr:colOff>
      <xdr:row>6</xdr:row>
      <xdr:rowOff>45720</xdr:rowOff>
    </xdr:to>
    <xdr:sp macro="" textlink="">
      <xdr:nvSpPr>
        <xdr:cNvPr id="2" name="对话气泡: 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303290" y="573865"/>
          <a:ext cx="1036846" cy="424355"/>
        </a:xfrm>
        <a:prstGeom prst="wedgeRectCallout">
          <a:avLst>
            <a:gd name="adj1" fmla="val -22782"/>
            <a:gd name="adj2" fmla="val -95793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请填写序号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564726</xdr:colOff>
      <xdr:row>16</xdr:row>
      <xdr:rowOff>44027</xdr:rowOff>
    </xdr:from>
    <xdr:ext cx="5732275" cy="818686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64726" y="3159760"/>
          <a:ext cx="5732275" cy="8186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1.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中检的容量和能量可按照三次中检的平均值计算。只有一次中检的数据的也能自动识别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2.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中检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DCR=(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搁置的最后一个电压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-10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秒时刻的电压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)/10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秒的电流平均值*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1000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，取绝对值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3.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如果有大小中检区分，请在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N~T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列填入大中检的工步号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77</xdr:row>
      <xdr:rowOff>0</xdr:rowOff>
    </xdr:from>
    <xdr:to>
      <xdr:col>10</xdr:col>
      <xdr:colOff>350520</xdr:colOff>
      <xdr:row>97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10</xdr:col>
      <xdr:colOff>350520</xdr:colOff>
      <xdr:row>119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121</xdr:row>
      <xdr:rowOff>0</xdr:rowOff>
    </xdr:from>
    <xdr:to>
      <xdr:col>10</xdr:col>
      <xdr:colOff>350520</xdr:colOff>
      <xdr:row>141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77</xdr:row>
      <xdr:rowOff>0</xdr:rowOff>
    </xdr:from>
    <xdr:to>
      <xdr:col>10</xdr:col>
      <xdr:colOff>228600</xdr:colOff>
      <xdr:row>95</xdr:row>
      <xdr:rowOff>38100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86BC1D06-DDD4-462D-9234-9E197D4F9A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10</xdr:col>
      <xdr:colOff>228600</xdr:colOff>
      <xdr:row>117</xdr:row>
      <xdr:rowOff>38100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971265B0-FD83-4FF9-8953-C5C7D3BE73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121</xdr:row>
      <xdr:rowOff>0</xdr:rowOff>
    </xdr:from>
    <xdr:to>
      <xdr:col>10</xdr:col>
      <xdr:colOff>228600</xdr:colOff>
      <xdr:row>139</xdr:row>
      <xdr:rowOff>38100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80A4A6BF-9044-4D28-939E-81D2100445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CBDF4CC-0BCE-42EB-B9A5-9F74A2FFBDB7}" name="表1" displayName="表1" ref="B3:F13" totalsRowShown="0" headerRowDxfId="189" dataDxfId="188">
  <autoFilter ref="B3:F13" xr:uid="{DCBDF4CC-0BCE-42EB-B9A5-9F74A2FFBDB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3" xr3:uid="{283319F6-8A4E-4FA1-8537-F2D29B204D7B}" name="序号" dataDxfId="187">
      <calculatedColumnFormula>ROW()-3</calculatedColumnFormula>
    </tableColumn>
    <tableColumn id="1" xr3:uid="{1CC00B78-E2A1-44D2-8C2D-9B766EC5F219}" name="输入循环数据的文件名" dataDxfId="186"/>
    <tableColumn id="6" xr3:uid="{2C1C1BF7-2EEE-479C-AEB0-E3EDF7028118}" name="输入中检容量数据的文件名" dataDxfId="185"/>
    <tableColumn id="5" xr3:uid="{D44453EA-E180-40DB-A167-5A8B2EBBD2DD}" name="输入中检DCR数据的文件名" dataDxfId="184"/>
    <tableColumn id="2" xr3:uid="{3F0B1142-5113-45FF-A64C-BD48B2CB4698}" name="输出的测试报告标题" dataDxfId="1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A81781-DF27-409C-835A-CC7A69B48093}" name="表2" displayName="表2" ref="B16:E26" totalsRowShown="0" headerRowDxfId="182" dataDxfId="181" tableBorderDxfId="180">
  <autoFilter ref="B16:E26" xr:uid="{41A81781-DF27-409C-835A-CC7A69B48093}">
    <filterColumn colId="0" hiddenButton="1"/>
    <filterColumn colId="1" hiddenButton="1"/>
    <filterColumn colId="2" hiddenButton="1"/>
    <filterColumn colId="3" hiddenButton="1"/>
  </autoFilter>
  <tableColumns count="4">
    <tableColumn id="1" xr3:uid="{25D8CDF9-312F-4BF6-9A2B-E03BDB2ED249}" name="序号" dataDxfId="179">
      <calculatedColumnFormula>ROW()-16</calculatedColumnFormula>
    </tableColumn>
    <tableColumn id="3" xr3:uid="{1B85303B-D6FE-4D63-924D-91C41A846800}" name="输入中检容量数据的文件名" dataDxfId="178"/>
    <tableColumn id="4" xr3:uid="{C13E7A9E-3DF3-4E82-B468-F43ED5A39E8E}" name="输入中检DCR数据的文件名" dataDxfId="177"/>
    <tableColumn id="5" xr3:uid="{370912E5-AE2E-4686-9CCE-B86A2BA40008}" name="输出的测试报标题" dataDxfId="17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535F00-3116-4273-855B-7337A8EB3A0C}" name="表3" displayName="表3" ref="B29:E38" totalsRowShown="0" headerRowDxfId="175">
  <autoFilter ref="B29:E38" xr:uid="{E2535F00-3116-4273-855B-7337A8EB3A0C}">
    <filterColumn colId="0" hiddenButton="1"/>
    <filterColumn colId="1" hiddenButton="1"/>
    <filterColumn colId="2" hiddenButton="1"/>
    <filterColumn colId="3" hiddenButton="1"/>
  </autoFilter>
  <tableColumns count="4">
    <tableColumn id="1" xr3:uid="{DA11B09D-7D5B-4ADB-B06D-7F041B5B044D}" name="序号" dataDxfId="174">
      <calculatedColumnFormula>ROW()-29</calculatedColumnFormula>
    </tableColumn>
    <tableColumn id="2" xr3:uid="{EC4EB455-E9EB-4A4B-970F-DCF70E5FED5A}" name="列2"/>
    <tableColumn id="3" xr3:uid="{9AFE352D-25AB-440A-8F5E-1E9C56BC7E70}" name="列3"/>
    <tableColumn id="4" xr3:uid="{5C0A9656-6E9B-415E-B686-BE724B868B17}" name="输出的测试报标题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90DC761-DBCE-4228-AC1A-5646FC79CA14}" name="工步信息1_2" displayName="工步信息1_2" ref="B14:F34" totalsRowShown="0">
  <autoFilter ref="B14:F34" xr:uid="{C90DC761-DBCE-4228-AC1A-5646FC79CA1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39A7FB9-8DDA-4622-A403-5330AA74A296}" name="序号" dataDxfId="173">
      <calculatedColumnFormula>ROW()-14</calculatedColumnFormula>
    </tableColumn>
    <tableColumn id="2" xr3:uid="{BD11E8AF-049D-4C30-B2C9-BE92A79A95F0}" name="工步"/>
    <tableColumn id="3" xr3:uid="{C450FF8E-7703-45A7-AD19-4B36FD6EF1BC}" name="具体步骤"/>
    <tableColumn id="8" xr3:uid="{C93F7A5E-FF23-4A6D-892E-20FFB30913AC}" name="时间保护"/>
    <tableColumn id="11" xr3:uid="{07B39313-57E4-4038-B42C-8C753B163DD3}" name="备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0E93DB7-F1B9-4788-A209-26F373A5EA15}" name="工步信息1_1" displayName="工步信息1_1" ref="B4:D12" totalsRowShown="0">
  <autoFilter ref="B4:D12" xr:uid="{70E93DB7-F1B9-4788-A209-26F373A5EA15}"/>
  <tableColumns count="3">
    <tableColumn id="1" xr3:uid="{BB342F9E-0556-46CD-9428-A9DF41C95E40}" name="序号" dataDxfId="172">
      <calculatedColumnFormula>ROW()-4</calculatedColumnFormula>
    </tableColumn>
    <tableColumn id="2" xr3:uid="{CCF346CF-0AB8-4B51-BC3A-6485EB4C5ADB}" name="项目"/>
    <tableColumn id="3" xr3:uid="{8EFB3161-30B5-48BC-A984-2BC1188CECDE}" name="内容" dataDxfId="17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6CAEEA6-3C63-4044-89CB-78F3CBF7E2E5}" name="工步信息2_2" displayName="工步信息2_2" ref="H14:L34" totalsRowShown="0">
  <autoFilter ref="H14:L34" xr:uid="{56CAEEA6-3C63-4044-89CB-78F3CBF7E2E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1A2552B-EB4D-49BA-981D-238C4D03EFFA}" name="序号" dataDxfId="170">
      <calculatedColumnFormula>ROW()-14</calculatedColumnFormula>
    </tableColumn>
    <tableColumn id="2" xr3:uid="{4E7762DE-F607-48CE-BA58-112166A07DEF}" name="工步"/>
    <tableColumn id="3" xr3:uid="{38E806D3-033E-44F4-BC64-BC3437E99239}" name="具体步骤"/>
    <tableColumn id="8" xr3:uid="{0CF3E009-2708-4C28-ABD3-572D5DDCFCCD}" name="时间保护"/>
    <tableColumn id="11" xr3:uid="{1267321A-9EA0-4774-AC66-F439AF87AE63}" name="备注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E067248-284E-414C-9BC1-FF90CB5D0001}" name="工步信息2_1" displayName="工步信息2_1" ref="H4:J12" totalsRowShown="0">
  <autoFilter ref="H4:J12" xr:uid="{0E067248-284E-414C-9BC1-FF90CB5D0001}">
    <filterColumn colId="0" hiddenButton="1"/>
    <filterColumn colId="1" hiddenButton="1"/>
    <filterColumn colId="2" hiddenButton="1"/>
  </autoFilter>
  <tableColumns count="3">
    <tableColumn id="1" xr3:uid="{1774DB79-679A-4049-8987-183D1340141E}" name="序号" dataDxfId="169">
      <calculatedColumnFormula>ROW()-4</calculatedColumnFormula>
    </tableColumn>
    <tableColumn id="2" xr3:uid="{EB4186D3-CBDA-45AB-B407-6521984E07A3}" name="项目"/>
    <tableColumn id="3" xr3:uid="{387A32F8-56BB-46B3-BA3D-AC0E7D50B0FE}" name="内容" dataDxfId="16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EA813BA-230B-4B09-8BB1-57E488C1685B}" name="工步信息3_2" displayName="工步信息3_2" ref="N14:R34" totalsRowShown="0">
  <autoFilter ref="N14:R34" xr:uid="{EEA813BA-230B-4B09-8BB1-57E488C1685B}"/>
  <tableColumns count="5">
    <tableColumn id="1" xr3:uid="{95D57F71-5389-4D35-A18F-313298A51879}" name="序号" dataDxfId="167">
      <calculatedColumnFormula>ROW()-14</calculatedColumnFormula>
    </tableColumn>
    <tableColumn id="2" xr3:uid="{47BEDA04-1B5D-40A4-A21C-8DAA392D3911}" name="工步"/>
    <tableColumn id="3" xr3:uid="{5F3D4C82-2810-4B44-BC9F-3AF504D81597}" name="具体步骤"/>
    <tableColumn id="8" xr3:uid="{B5D27F4F-5CFB-4D61-B82A-ABE13BBB33CB}" name="时间保护"/>
    <tableColumn id="11" xr3:uid="{886B0673-C74B-4DDE-97A9-885EB99F111A}" name="备注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1C2793-E57C-404C-AB7A-974BE2E6D459}" name="工步信息3_1" displayName="工步信息3_1" ref="N4:P12" totalsRowShown="0">
  <autoFilter ref="N4:P12" xr:uid="{291C2793-E57C-404C-AB7A-974BE2E6D459}">
    <filterColumn colId="0" hiddenButton="1"/>
    <filterColumn colId="1" hiddenButton="1"/>
    <filterColumn colId="2" hiddenButton="1"/>
  </autoFilter>
  <tableColumns count="3">
    <tableColumn id="1" xr3:uid="{2B4211B8-C1CE-4E38-8756-C9A2C83162CF}" name="序号" dataDxfId="166">
      <calculatedColumnFormula>ROW()-4</calculatedColumnFormula>
    </tableColumn>
    <tableColumn id="2" xr3:uid="{694675F9-4CF4-46C8-9382-9D64F8B062E0}" name="项目"/>
    <tableColumn id="3" xr3:uid="{7EC04741-C4CD-4EE6-B7DB-78246F31DCE9}" name="内容" dataDxfId="16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73B2801-2120-4C3C-B008-BA88A9F93696}" name="工步信息4_2" displayName="工步信息4_2" ref="B48:F68" totalsRowShown="0">
  <autoFilter ref="B48:F68" xr:uid="{373B2801-2120-4C3C-B008-BA88A9F9369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F0AD579-14FD-407E-8413-0E19EEFF611E}" name="序号" dataDxfId="164">
      <calculatedColumnFormula>ROW()-46</calculatedColumnFormula>
    </tableColumn>
    <tableColumn id="2" xr3:uid="{734B399A-143B-4FA2-B2A9-1C4811DB513F}" name="工步"/>
    <tableColumn id="3" xr3:uid="{87439318-33FD-4833-A15D-DE44FD9FC90F}" name="具体步骤"/>
    <tableColumn id="8" xr3:uid="{3949AC94-603C-49EF-8251-79ED80C53752}" name="时间保护"/>
    <tableColumn id="11" xr3:uid="{14368A63-92E5-4617-A1DC-6DEDA01EB449}" name="备注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963401-F5C7-4CD8-9BE5-4AB968988108}" name="工步信息4_1" displayName="工步信息4_1" ref="B38:D46" totalsRowShown="0">
  <autoFilter ref="B38:D46" xr:uid="{00963401-F5C7-4CD8-9BE5-4AB968988108}">
    <filterColumn colId="0" hiddenButton="1"/>
    <filterColumn colId="1" hiddenButton="1"/>
    <filterColumn colId="2" hiddenButton="1"/>
  </autoFilter>
  <tableColumns count="3">
    <tableColumn id="1" xr3:uid="{0B2D8FF6-C3EE-4DAD-AEC2-C99232FAFC89}" name="序号" dataDxfId="163">
      <calculatedColumnFormula>ROW()-38</calculatedColumnFormula>
    </tableColumn>
    <tableColumn id="2" xr3:uid="{F3BBE51F-B22C-4E99-9071-160C6FECD3B1}" name="项目"/>
    <tableColumn id="3" xr3:uid="{0B81AABF-FE2F-4665-8704-EC3148EDAA7A}" name="内容" dataDxfId="16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99E24A6-EEBF-42BF-800C-B1AA21CF8CBF}" name="工步信息5_2" displayName="工步信息5_2" ref="H48:L68" totalsRowShown="0">
  <autoFilter ref="H48:L68" xr:uid="{399E24A6-EEBF-42BF-800C-B1AA21CF8CBF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34D3FE8-A6CF-4CCC-809B-AE92C8E1DF76}" name="序号" dataDxfId="161">
      <calculatedColumnFormula>ROW()-46</calculatedColumnFormula>
    </tableColumn>
    <tableColumn id="2" xr3:uid="{97A30F8A-8984-416F-A211-4CADB18F1B4B}" name="工步"/>
    <tableColumn id="3" xr3:uid="{3D735512-DC20-4443-BD55-E788F01AD196}" name="具体步骤"/>
    <tableColumn id="8" xr3:uid="{40588ED8-4F56-4394-AF5C-BA4A7F42CE09}" name="时间保护"/>
    <tableColumn id="11" xr3:uid="{EE67A1FF-2B10-4497-A434-A05A2C2FAD11}" name="备注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6E916D9-8BA4-4D33-A117-AD7EEFB0B3C0}" name="工步信息5_1" displayName="工步信息5_1" ref="H38:J46" totalsRowShown="0">
  <autoFilter ref="H38:J46" xr:uid="{16E916D9-8BA4-4D33-A117-AD7EEFB0B3C0}">
    <filterColumn colId="0" hiddenButton="1"/>
    <filterColumn colId="1" hiddenButton="1"/>
    <filterColumn colId="2" hiddenButton="1"/>
  </autoFilter>
  <tableColumns count="3">
    <tableColumn id="1" xr3:uid="{3381BA70-F51B-4A88-867F-60EA571FCD79}" name="序号" dataDxfId="160">
      <calculatedColumnFormula>ROW()-38</calculatedColumnFormula>
    </tableColumn>
    <tableColumn id="2" xr3:uid="{6C96C378-3BC1-4284-97D2-B9039DEC995F}" name="项目"/>
    <tableColumn id="3" xr3:uid="{CA436C7B-98DD-4D06-9A91-7119E121E24D}" name="内容" dataDxfId="15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C0C92D7-FE71-4362-ABE6-D72C30FC6C6A}" name="工步信息6_2" displayName="工步信息6_2" ref="N48:R68" totalsRowShown="0">
  <autoFilter ref="N48:R68" xr:uid="{DC0C92D7-FE71-4362-ABE6-D72C30FC6C6A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BBE45DA-7F70-40A0-B429-BAFE4D2E4299}" name="序号" dataDxfId="158">
      <calculatedColumnFormula>ROW()-46</calculatedColumnFormula>
    </tableColumn>
    <tableColumn id="2" xr3:uid="{09C5F659-F833-48A6-9ED3-3AB4AAA21BFB}" name="工步"/>
    <tableColumn id="3" xr3:uid="{610F063D-613D-427F-98EC-5CEE520F07BD}" name="具体步骤"/>
    <tableColumn id="8" xr3:uid="{566F9965-8E3C-4E85-A95E-C0032946CEDE}" name="时间保护"/>
    <tableColumn id="11" xr3:uid="{4DEC81E1-8C0B-4457-A8ED-C7D634F4B830}" name="备注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9CC9F57-39CE-4B7B-8F3F-36DCA5DBECE1}" name="工步信息6_1" displayName="工步信息6_1" ref="N38:P46" totalsRowShown="0">
  <autoFilter ref="N38:P46" xr:uid="{F9CC9F57-39CE-4B7B-8F3F-36DCA5DBECE1}">
    <filterColumn colId="0" hiddenButton="1"/>
    <filterColumn colId="1" hiddenButton="1"/>
    <filterColumn colId="2" hiddenButton="1"/>
  </autoFilter>
  <tableColumns count="3">
    <tableColumn id="1" xr3:uid="{1B10D060-F6B5-4BFE-8DB4-6F2A3E4A4ABC}" name="序号" dataDxfId="157">
      <calculatedColumnFormula>ROW()-38</calculatedColumnFormula>
    </tableColumn>
    <tableColumn id="2" xr3:uid="{7467A599-6D2D-49CF-BDC7-56874E8D2427}" name="项目"/>
    <tableColumn id="3" xr3:uid="{B14B6972-664A-4170-B0CE-832E182B44A3}" name="内容" dataDxfId="15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4D33C4B-0920-4F67-AED5-BD5A8907310B}" name="颜色表" displayName="颜色表" ref="T3:U23" totalsRowShown="0" headerRowDxfId="155" dataDxfId="154">
  <autoFilter ref="T3:U23" xr:uid="{F4D33C4B-0920-4F67-AED5-BD5A8907310B}">
    <filterColumn colId="0" hiddenButton="1"/>
    <filterColumn colId="1" hiddenButton="1"/>
  </autoFilter>
  <tableColumns count="2">
    <tableColumn id="1" xr3:uid="{FCE32032-F66A-46FE-8426-72EED99773AE}" name="序号" dataDxfId="153"/>
    <tableColumn id="2" xr3:uid="{DC6C6984-ADBA-40E6-9121-2A82DEEE2ECB}" name="值" dataDxfId="152"/>
  </tableColumns>
  <tableStyleInfo name="TableStyleLight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8" xr:uid="{FF655057-30A1-4A87-80F7-4CC9F7AB1E74}" name="电池名字" displayName="电池名字" ref="T26:U46" totalsRowShown="0" headerRowDxfId="151" dataDxfId="150">
  <autoFilter ref="T26:U46" xr:uid="{FF655057-30A1-4A87-80F7-4CC9F7AB1E74}">
    <filterColumn colId="0" hiddenButton="1"/>
    <filterColumn colId="1" hiddenButton="1"/>
  </autoFilter>
  <tableColumns count="2">
    <tableColumn id="1" xr3:uid="{3F1C5DDF-3FA5-4290-BC0B-888772648150}" name="序号" dataDxfId="149">
      <calculatedColumnFormula>ROW()-26</calculatedColumnFormula>
    </tableColumn>
    <tableColumn id="2" xr3:uid="{F2181088-3053-4429-A386-175A419E2C24}" name="名字" dataDxfId="148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5AA5FD8-4F98-47B0-B228-80C08AA0139A}" name="表1_1" displayName="表1_1" ref="B3:U13" totalsRowShown="0" headerRowDxfId="145" dataDxfId="144">
  <autoFilter ref="B3:U13" xr:uid="{55AA5FD8-4F98-47B0-B228-80C08AA0139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ED723D4C-58B2-445B-A062-69DAE537B966}" name="序号" dataDxfId="143">
      <calculatedColumnFormula>ROW()-2</calculatedColumnFormula>
    </tableColumn>
    <tableColumn id="10" xr3:uid="{3539C67F-2714-492C-8D93-017D3E316C06}" name="测试报告标题" dataDxfId="142">
      <calculatedColumnFormula>IF(功能首页!F4&lt;&gt;"",功能首页!F4,"")</calculatedColumnFormula>
    </tableColumn>
    <tableColumn id="2" xr3:uid="{8EA130D8-A920-4B4D-B53F-95B626D13431}" name="中检间隔圈数" dataDxfId="141"/>
    <tableColumn id="21" xr3:uid="{97B15FFC-4098-44D5-B9AB-3E68078C6D29}" name="显示工步号" dataDxfId="140"/>
    <tableColumn id="22" xr3:uid="{F94DA384-59F6-462E-8BF5-8AA6206F3771}" name="容量标定方式" dataDxfId="139"/>
    <tableColumn id="3" xr3:uid="{C6F04077-3EE2-48F2-9EEC-5E8B99F03528}" name="90%SOC搁置工步号" dataDxfId="138"/>
    <tableColumn id="4" xr3:uid="{53A48924-07E6-4C59-8986-BD8BF40754A0}" name="90%SOC放电工步号" dataDxfId="137"/>
    <tableColumn id="5" xr3:uid="{15327E90-6A54-469B-95B3-121E772F2FAB}" name="50%SOC搁置工步号" dataDxfId="136"/>
    <tableColumn id="6" xr3:uid="{12FA3EB1-38C6-4B60-B781-A82A1259A373}" name="50%SOC放电工步号" dataDxfId="135"/>
    <tableColumn id="7" xr3:uid="{17A7E1C0-D312-45E9-B105-DD1A89CD2055}" name="10%SOC搁置工步号" dataDxfId="134"/>
    <tableColumn id="8" xr3:uid="{276E1BD1-3020-4003-9FD3-A7E171B6A112}" name="10%SOC放电工步号" dataDxfId="133"/>
    <tableColumn id="9" xr3:uid="{71E74E4F-65C2-4489-BAD4-49035288810F}" name="放电时间" dataDxfId="132"/>
    <tableColumn id="12" xr3:uid="{5253B7E5-A6AC-49F1-B1CC-305AD4BC67E7}" name="工步模板序号" dataDxfId="131"/>
    <tableColumn id="13" xr3:uid="{EB6BA218-2E33-4716-9ED4-BF4B91D8B8F2}" name="是否存在大中检" dataDxfId="130"/>
    <tableColumn id="14" xr3:uid="{1A00FEA2-370E-4CAC-96F8-910BF73645CF}" name="大中检90%SOC搁置工步号" dataDxfId="129"/>
    <tableColumn id="15" xr3:uid="{D1102953-CB12-4838-B061-8A3908A6B2DB}" name="大中检90%SOC放电工步号" dataDxfId="128"/>
    <tableColumn id="16" xr3:uid="{803D6AF2-A129-4702-A235-105CB4966513}" name="大中检50%SOC搁置工步号" dataDxfId="127"/>
    <tableColumn id="17" xr3:uid="{B0E60C5F-6114-4A48-8469-DA63DAFB3FED}" name="大中检50%SOC放电工步号" dataDxfId="126"/>
    <tableColumn id="18" xr3:uid="{AD2484F9-D5D9-4C3E-BC06-C69988B46176}" name="大中检10%SOC搁置工步号" dataDxfId="125"/>
    <tableColumn id="19" xr3:uid="{21098239-0F5E-448E-9F83-366C73D4DF8E}" name="大中检10%SOC放电工步号" dataDxfId="12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31D2DA-C221-48E9-8749-D8C4867C589A}" name="表2_1" displayName="表2_1" ref="B2:G12" totalsRowShown="0">
  <autoFilter ref="B2:G12" xr:uid="{1D31D2DA-C221-48E9-8749-D8C4867C589A}"/>
  <tableColumns count="6">
    <tableColumn id="1" xr3:uid="{E5C75583-B043-4914-95DC-83AA9B05872E}" name="序号" dataDxfId="123">
      <calculatedColumnFormula>ROW()-2</calculatedColumnFormula>
    </tableColumn>
    <tableColumn id="2" xr3:uid="{6F7747CD-71F2-4113-BE60-6CA40437D5AD}" name="测试报告标题" dataDxfId="122">
      <calculatedColumnFormula>IF(功能首页!E17&lt;&gt;"",功能首页!E17,"")</calculatedColumnFormula>
    </tableColumn>
    <tableColumn id="3" xr3:uid="{47167A4D-31BF-44CB-9342-59C9AB6EAB28}" name="中检间隔圈数"/>
    <tableColumn id="5" xr3:uid="{3983640A-E327-416D-9359-736CE913A72A}" name="放电时间" dataDxfId="121"/>
    <tableColumn id="6" xr3:uid="{0F51AE45-82B3-44F2-B6DE-288BD925B9F0}" name="实验单号" dataDxfId="120"/>
    <tableColumn id="4" xr3:uid="{4CCB28E6-732F-45A9-AFA9-380EEEA1AAA5}" name="工步模板行数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EE766122-FDD7-4111-94E5-D3AEB6043D1B}" name="表111" displayName="表111" ref="O2:T486" totalsRowShown="0">
  <autoFilter ref="O2:T486" xr:uid="{238217A6-E7C1-4A1B-B2C0-3F6A71DC32D2}"/>
  <tableColumns count="6">
    <tableColumn id="1" xr3:uid="{8B62CFD7-8964-4FE5-9666-8AA64E25F8ED}" name="循环周数"/>
    <tableColumn id="2" xr3:uid="{CBABE80B-22D0-4CA1-BE56-FFEB78E9179B}" name="放电能量"/>
    <tableColumn id="3" xr3:uid="{BEC41A43-A93A-4ED6-88E8-AEBB40AC3ECD}" name="能量保持率" dataDxfId="119"/>
    <tableColumn id="4" xr3:uid="{2A170CAF-1F2B-432E-8B01-DE3093EF8B12}" name="放电容量"/>
    <tableColumn id="5" xr3:uid="{7D6F6785-394D-4260-B62A-7988D12F836C}" name="容量保持率" dataDxfId="118"/>
    <tableColumn id="6" xr3:uid="{08172FED-8DCA-4B1F-BA40-51894F486C24}" name="工步号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950CF6F0-DECA-4DFD-96C7-2B0E10C99095}" name="表112" displayName="表112" ref="V2:AA495" totalsRowShown="0">
  <autoFilter ref="V2:AA495" xr:uid="{8D3720E2-0A4B-4A06-A214-9B58A2A0472A}"/>
  <tableColumns count="6">
    <tableColumn id="1" xr3:uid="{D452689F-AD55-4B2C-A40E-1378378C9C8C}" name="循环周数"/>
    <tableColumn id="2" xr3:uid="{DEEB0CB4-40F1-41B2-B273-46197F349CDC}" name="放电能量"/>
    <tableColumn id="3" xr3:uid="{63F20C9B-E9D1-48BB-B92D-BE89E2860D71}" name="能量保持率" dataDxfId="117"/>
    <tableColumn id="4" xr3:uid="{8D865883-6222-47FC-8384-06AD9D64E16B}" name="放电容量"/>
    <tableColumn id="5" xr3:uid="{AC93602C-F8D1-4C7A-BF4F-39E2BD220B36}" name="容量保持率" dataDxfId="116"/>
    <tableColumn id="6" xr3:uid="{AF1796F0-F139-4A11-85FE-2524D7C1E349}" name="工步号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FC675DE1-77FB-45FD-AF0B-DA3107DBD0F8}" name="表113" displayName="表113" ref="AC2:AH497" totalsRowShown="0">
  <autoFilter ref="AC2:AH497" xr:uid="{D9C9FD52-1A2A-4969-8B5B-53CB52B2C423}"/>
  <tableColumns count="6">
    <tableColumn id="1" xr3:uid="{2DD9E963-020C-4BFF-9B10-32400B31CF1B}" name="循环周数"/>
    <tableColumn id="2" xr3:uid="{44CD1CE2-EADC-46C4-9AD8-F8D181923AD7}" name="放电能量"/>
    <tableColumn id="3" xr3:uid="{67EC0080-E9BC-44E8-91FD-43FF51375673}" name="能量保持率" dataDxfId="115"/>
    <tableColumn id="4" xr3:uid="{DAA4A954-1259-47E0-BB03-8C9BCDC8A977}" name="放电容量"/>
    <tableColumn id="5" xr3:uid="{122064C8-EEFF-41E9-9D0A-116D1392B477}" name="容量保持率" dataDxfId="114"/>
    <tableColumn id="6" xr3:uid="{8E36CD89-6E51-4CC2-9AB1-26945EE66D48}" name="工步号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EFB22AFE-4D95-4B1C-8B8F-E582B957C553}" name="表114" displayName="表114" ref="AJ2:AO506" totalsRowShown="0">
  <autoFilter ref="AJ2:AO506" xr:uid="{A89959F4-CA4D-4A3B-8969-02993494A81B}"/>
  <tableColumns count="6">
    <tableColumn id="1" xr3:uid="{F7A78F20-4834-4C44-9693-9C6842CD239A}" name="循环周数"/>
    <tableColumn id="2" xr3:uid="{05805211-1D47-4CA2-B629-C670359C53FB}" name="放电能量"/>
    <tableColumn id="3" xr3:uid="{D3D1D8AF-6864-44F1-B182-2C9A4F54A855}" name="能量保持率" dataDxfId="113"/>
    <tableColumn id="4" xr3:uid="{4FE243B5-AC33-4454-8938-22F845A78F8D}" name="放电容量"/>
    <tableColumn id="5" xr3:uid="{44BCA4CC-C319-4B11-BAB9-3C566EDB3FDD}" name="容量保持率" dataDxfId="112"/>
    <tableColumn id="6" xr3:uid="{6E121F01-B541-4BCD-A513-6D9ED093AB7B}" name="工步号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86AFF6BF-B09D-4DBB-9432-52958260716B}" name="表115" displayName="表115" ref="AQ2:AV505" totalsRowShown="0">
  <autoFilter ref="AQ2:AV505" xr:uid="{047FE0E1-275B-4A71-BB21-18399AAFBBB1}"/>
  <tableColumns count="6">
    <tableColumn id="1" xr3:uid="{87DED0BB-0DB7-4EEA-8D2C-304A7CC67BC6}" name="循环周数"/>
    <tableColumn id="2" xr3:uid="{30F83263-DE3E-4D1B-BEE8-6B592540691E}" name="放电能量"/>
    <tableColumn id="3" xr3:uid="{B31D39CE-7E8E-4321-B91A-A5576D9A915C}" name="能量保持率" dataDxfId="111"/>
    <tableColumn id="4" xr3:uid="{86C1C0EB-DFC6-468B-8E1E-7075DFF97B10}" name="放电容量"/>
    <tableColumn id="5" xr3:uid="{1ADB5395-5E0B-4D15-9A43-63C97AA0C185}" name="容量保持率" dataDxfId="110"/>
    <tableColumn id="6" xr3:uid="{DAA1F925-9DEF-4B3F-8798-BED59D8695C4}" name="工步号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356CEC2B-DBDE-4AC5-A4C8-727CE35823A5}" name="表116" displayName="表116" ref="AX2:BC494" totalsRowShown="0">
  <autoFilter ref="AX2:BC494" xr:uid="{062BCADF-BFA0-4BD3-9B88-5DCA09D98CFB}"/>
  <tableColumns count="6">
    <tableColumn id="1" xr3:uid="{E2F95DB3-229D-4BFB-BE43-66CE98B0921C}" name="循环周数"/>
    <tableColumn id="2" xr3:uid="{8C85EDFF-A7D8-4262-98D0-97DC3B79CD55}" name="放电能量"/>
    <tableColumn id="3" xr3:uid="{F0EC8C3E-9E53-49D4-BFFB-1FA4E5546B83}" name="能量保持率" dataDxfId="109"/>
    <tableColumn id="4" xr3:uid="{1DD72669-179A-46ED-B489-27D32322007C}" name="放电容量"/>
    <tableColumn id="5" xr3:uid="{22CA2F92-BF54-41B7-85BE-6455EF55425B}" name="容量保持率" dataDxfId="108"/>
    <tableColumn id="6" xr3:uid="{DCF261D7-63A7-4397-979E-462A540B16BC}" name="工步号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AE42BF65-4B15-407B-AB21-6C424589BCFC}" name="表117" displayName="表117" ref="C19:G26" totalsRowShown="0" tableBorderDxfId="107">
  <tableColumns count="5">
    <tableColumn id="1" xr3:uid="{160586C3-F411-4CB4-A6B2-2879469AA9A4}" name="循环周数"/>
    <tableColumn id="2" xr3:uid="{450D905D-9D3E-44F2-829C-AB6740797BE6}" name="容量/Ah"/>
    <tableColumn id="3" xr3:uid="{D3BED95F-335B-40D4-9592-AE4AA48816F6}" name="能量/Wh"/>
    <tableColumn id="4" xr3:uid="{C2A8E241-FEDC-48AD-B227-6B49663B7354}" name="容量保持率" dataDxfId="106"/>
    <tableColumn id="5" xr3:uid="{6BD8F83F-2EF5-45B3-BBC1-10501FEBDF4C}" name="能量保持率" dataDxfId="105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10034620-E089-4D5D-A5F5-1E50010DE106}" name="表118" displayName="表118" ref="H19:J26" totalsRowShown="0" tableBorderDxfId="104">
  <tableColumns count="3">
    <tableColumn id="1" xr3:uid="{169A9F98-7C96-442A-8ECA-F6196F33848F}" name="90%"/>
    <tableColumn id="2" xr3:uid="{A9562ACC-3924-4DE4-B2CF-4E2D44DAC198}" name="50%"/>
    <tableColumn id="3" xr3:uid="{FA18FA6C-AD7B-42F1-A9EF-4C0158B25C80}" name="10%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2D91CBBA-4260-4FF6-B56D-C3D03D3573AB}" name="表119" displayName="表119" ref="K19:M26" totalsRowShown="0" tableBorderDxfId="103">
  <tableColumns count="3">
    <tableColumn id="1" xr3:uid="{3878491B-183B-49E0-ACDF-5FCB6BFAEC6B}" name="90%" dataDxfId="102"/>
    <tableColumn id="2" xr3:uid="{1EB66041-EADF-46D1-800B-342E02F3892C}" name="50%" dataDxfId="101"/>
    <tableColumn id="3" xr3:uid="{30FCDF45-C77E-475B-BC0E-48B7D25CE71F}" name="10%" dataDxfId="10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61367E11-E967-4EF3-B9C9-CE66C02D1A21}" name="表120" displayName="表120" ref="C29:G36" totalsRowShown="0" tableBorderDxfId="99">
  <tableColumns count="5">
    <tableColumn id="1" xr3:uid="{651DB534-BF80-479F-B0AF-85AFB818305A}" name="循环周数"/>
    <tableColumn id="2" xr3:uid="{11E38E6F-AB36-4B16-946C-2182D220301C}" name="容量/Ah"/>
    <tableColumn id="3" xr3:uid="{AED0FD89-50D7-4480-9360-BF21E4743BE2}" name="能量/Wh"/>
    <tableColumn id="4" xr3:uid="{4224B076-2375-47BD-A9B6-862E9C33EB1E}" name="容量保持率" dataDxfId="98"/>
    <tableColumn id="5" xr3:uid="{56F650A8-C835-4896-AF99-23F985CBD245}" name="能量保持率" dataDxfId="97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05ECED5A-F1AD-41EA-864D-96219444C15E}" name="表121" displayName="表121" ref="H29:J36" totalsRowShown="0" tableBorderDxfId="96">
  <tableColumns count="3">
    <tableColumn id="1" xr3:uid="{ED1A5EF3-BF2C-4CCA-85B6-36999760F9CE}" name="90%"/>
    <tableColumn id="2" xr3:uid="{2E77868D-D6FD-40C1-A024-EB673A53B2D4}" name="50%"/>
    <tableColumn id="3" xr3:uid="{12AB3B8F-30DE-4DA0-BB3C-711338E3BBA1}" name="10%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7F5EB54A-C27E-4A31-AFC7-B31D9E33D1C1}" name="表122" displayName="表122" ref="K29:M36" totalsRowShown="0" tableBorderDxfId="95">
  <tableColumns count="3">
    <tableColumn id="1" xr3:uid="{46794B1E-F3A8-4009-8146-1880E06300C8}" name="90%" dataDxfId="94"/>
    <tableColumn id="2" xr3:uid="{61ED0975-0372-4854-B829-A4E99BC23439}" name="50%" dataDxfId="93"/>
    <tableColumn id="3" xr3:uid="{D5C5B597-25D5-4406-931C-53870D7746CC}" name="10%" dataDxfId="9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BB7B4E34-FE9B-4E06-85C1-572EC792FB11}" name="表123" displayName="表123" ref="C39:G46" totalsRowShown="0" tableBorderDxfId="91">
  <tableColumns count="5">
    <tableColumn id="1" xr3:uid="{6BDA796D-2D08-41E5-BBEF-60F82F4D74D2}" name="循环周数"/>
    <tableColumn id="2" xr3:uid="{E8A55313-B403-4F81-ABE5-6B72D93952E0}" name="容量/Ah"/>
    <tableColumn id="3" xr3:uid="{0280EFD8-8D78-4ACD-B268-1E21B04EF6C0}" name="能量/Wh"/>
    <tableColumn id="4" xr3:uid="{B7AA52AB-B585-4104-BFAE-51DD46B52683}" name="容量保持率" dataDxfId="90"/>
    <tableColumn id="5" xr3:uid="{770E996B-5924-4EE6-82C3-0D4AF8596C70}" name="能量保持率" dataDxfId="89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25FA312B-D885-4077-B14B-A297F5D1F4F3}" name="表124" displayName="表124" ref="H39:J46" totalsRowShown="0" tableBorderDxfId="88">
  <tableColumns count="3">
    <tableColumn id="1" xr3:uid="{0898E04D-1E85-4B08-9EB2-F46AC8C62B4B}" name="90%"/>
    <tableColumn id="2" xr3:uid="{16CBD579-EFCC-41C3-BE0A-DED98B4D77CE}" name="50%"/>
    <tableColumn id="3" xr3:uid="{E26221E0-3A66-4A77-A2FB-6CDD99B8C7A6}" name="10%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AB1C29F4-5728-43FD-8385-4F07395ED8E0}" name="表125" displayName="表125" ref="K39:M46" totalsRowShown="0" tableBorderDxfId="87">
  <tableColumns count="3">
    <tableColumn id="1" xr3:uid="{4B57EE86-FDC0-4EED-8603-FE0F094B40A5}" name="90%" dataDxfId="86"/>
    <tableColumn id="2" xr3:uid="{333F4387-2D8B-4E92-90BF-F8021DBA3D53}" name="50%" dataDxfId="85"/>
    <tableColumn id="3" xr3:uid="{033E6964-F23E-4986-B2E4-02F7876162F6}" name="10%" dataDxfId="84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392C82E6-9813-489B-931E-ED5FBFAF4EBD}" name="表126" displayName="表126" ref="C49:G56" totalsRowShown="0" tableBorderDxfId="83">
  <tableColumns count="5">
    <tableColumn id="1" xr3:uid="{907A0A76-CA18-48D2-9735-5196EC25F9C8}" name="循环周数"/>
    <tableColumn id="2" xr3:uid="{DB47B47C-B860-4500-BC69-3CDD70C2074A}" name="容量/Ah"/>
    <tableColumn id="3" xr3:uid="{8BB110CC-4076-49EF-836C-C349AC006720}" name="能量/Wh"/>
    <tableColumn id="4" xr3:uid="{C7C1E59F-52E0-4A55-9987-B339FDDC8DDD}" name="容量保持率" dataDxfId="82"/>
    <tableColumn id="5" xr3:uid="{17491CD4-855E-4E51-8158-A12878A14C98}" name="能量保持率" dataDxfId="8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5F9F7EC7-0111-4839-A392-5614EA921C01}" name="表127" displayName="表127" ref="H49:J56" totalsRowShown="0" tableBorderDxfId="80">
  <tableColumns count="3">
    <tableColumn id="1" xr3:uid="{0051485A-F9E9-4D0E-8967-409C099299ED}" name="90%"/>
    <tableColumn id="2" xr3:uid="{09F8B506-55FF-4271-B7DF-293E5DFF0F9F}" name="50%"/>
    <tableColumn id="3" xr3:uid="{E3B8E1D5-DF73-4F90-AE05-0AF5426F0DFE}" name="10%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7568E73A-5EBC-4393-B3A5-E1CDC71411FA}" name="表128" displayName="表128" ref="K49:M56" totalsRowShown="0" tableBorderDxfId="79">
  <tableColumns count="3">
    <tableColumn id="1" xr3:uid="{4D9EACC9-48E2-4E89-85F7-957C461B8A7D}" name="90%" dataDxfId="78"/>
    <tableColumn id="2" xr3:uid="{4E31991D-2222-48C3-914D-6C7836769DF1}" name="50%" dataDxfId="77"/>
    <tableColumn id="3" xr3:uid="{B2438811-139C-4F0E-9D6F-059594CC109F}" name="10%" dataDxfId="76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DB587152-F47E-42E3-96D1-EA3F6C911549}" name="表129" displayName="表129" ref="C59:G66" totalsRowShown="0" tableBorderDxfId="75">
  <tableColumns count="5">
    <tableColumn id="1" xr3:uid="{B86C17BB-8E5D-4D78-B8C7-F1BA42394B09}" name="循环周数"/>
    <tableColumn id="2" xr3:uid="{570C77AA-A7B8-4A87-9774-5B619C1C40AE}" name="容量/Ah"/>
    <tableColumn id="3" xr3:uid="{ECE9D111-D48F-41AE-B7C1-4050ABAAE61F}" name="能量/Wh"/>
    <tableColumn id="4" xr3:uid="{14DBD7E0-C21C-4FC4-B3BD-8AEB6EEC0B61}" name="容量保持率" dataDxfId="74"/>
    <tableColumn id="5" xr3:uid="{00C27DF5-1359-4D53-974E-C0B0FB1863AB}" name="能量保持率" dataDxfId="73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8033F923-9831-4CCB-A9C4-23B12FC751FD}" name="表130" displayName="表130" ref="H59:J66" totalsRowShown="0" tableBorderDxfId="72">
  <tableColumns count="3">
    <tableColumn id="1" xr3:uid="{0F68A7F6-A92D-473E-9FBA-D1D9E7AE5637}" name="90%"/>
    <tableColumn id="2" xr3:uid="{22D8144E-6000-4640-AD1F-626352554F09}" name="50%"/>
    <tableColumn id="3" xr3:uid="{AB30F51A-EB92-45AA-A095-DEF41B8666B7}" name="10%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D0F457DF-1FAD-4233-9F8B-0A0FDCA88E1A}" name="表131" displayName="表131" ref="K59:M66" totalsRowShown="0" tableBorderDxfId="71">
  <tableColumns count="3">
    <tableColumn id="1" xr3:uid="{7770EAE0-FEB3-49A4-903E-7ECF765AC10E}" name="90%" dataDxfId="70"/>
    <tableColumn id="2" xr3:uid="{38CDF675-B384-4A92-8C1B-9AD6F7E8D863}" name="50%" dataDxfId="69"/>
    <tableColumn id="3" xr3:uid="{EF0E3D23-70C7-43A7-AD41-B5896AF57C75}" name="10%" dataDxfId="68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9B8BED28-6447-4B42-976C-85DD3A903565}" name="表132" displayName="表132" ref="C69:G76" totalsRowShown="0" tableBorderDxfId="67">
  <tableColumns count="5">
    <tableColumn id="1" xr3:uid="{5614CE87-E5AE-4162-9A57-07CB341C776D}" name="循环周数"/>
    <tableColumn id="2" xr3:uid="{E76B41FF-AA40-45BF-9EB7-466CD71DC72B}" name="容量/Ah"/>
    <tableColumn id="3" xr3:uid="{FC15851D-1BFD-491B-8AEF-72A54190950F}" name="能量/Wh"/>
    <tableColumn id="4" xr3:uid="{01EBAFF7-06AC-4C1E-B238-107EB196565E}" name="容量保持率" dataDxfId="66"/>
    <tableColumn id="5" xr3:uid="{8996E46F-AD56-487A-985F-BA27237AFEF0}" name="能量保持率" dataDxfId="65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7AA12A32-2BEB-43B4-935B-426564290459}" name="表133" displayName="表133" ref="H69:J76" totalsRowShown="0" tableBorderDxfId="64">
  <tableColumns count="3">
    <tableColumn id="1" xr3:uid="{B960F0C9-67E9-4857-9F86-FCFF5B603593}" name="90%"/>
    <tableColumn id="2" xr3:uid="{1F411D48-5F54-40F3-BD7C-E81AEDF2FDBB}" name="50%"/>
    <tableColumn id="3" xr3:uid="{B5F4FFD7-FC05-470C-B944-DBBD0016C7C8}" name="10%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477E48DE-067B-497F-88B6-CDD07CC8D07A}" name="表134" displayName="表134" ref="K69:M76" totalsRowShown="0" tableBorderDxfId="63">
  <tableColumns count="3">
    <tableColumn id="1" xr3:uid="{6689B098-4A71-4505-8853-04170E58A857}" name="90%" dataDxfId="62"/>
    <tableColumn id="2" xr3:uid="{4F85F1F2-4520-42EB-95A6-0E87524850E7}" name="50%" dataDxfId="61"/>
    <tableColumn id="3" xr3:uid="{326CC659-A049-458A-884F-15413FB7F73B}" name="10%" dataDxfId="60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A872F14E-60B6-42D2-B8D5-9C77A8A8830D}" name="表67" displayName="表67" ref="O2:T500" totalsRowShown="0">
  <autoFilter ref="O2:T500" xr:uid="{F118DD0D-57EF-4DA2-A81C-C34AB2C2DC37}"/>
  <tableColumns count="6">
    <tableColumn id="1" xr3:uid="{76BF2411-F103-4C47-A9C6-15F27334570C}" name="循环周数"/>
    <tableColumn id="2" xr3:uid="{C20B64D0-7C31-4A2E-90BB-69CAC1155D3E}" name="放电能量"/>
    <tableColumn id="3" xr3:uid="{93A2F53D-C19B-4EE0-81E6-2D35F34F4D67}" name="能量保持率" dataDxfId="59"/>
    <tableColumn id="4" xr3:uid="{5F6B6226-082B-4FAE-94E3-335C7FAE1526}" name="放电容量"/>
    <tableColumn id="5" xr3:uid="{6D2D68A6-27FC-42BB-8B18-F3050E57510D}" name="容量保持率" dataDxfId="58"/>
    <tableColumn id="6" xr3:uid="{927ADE02-EA25-4F04-811E-2C946EFE1624}" name="工步号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D7F9628-E3F5-4098-BEC6-A757B2BF3D37}" name="表68" displayName="表68" ref="V2:AA509" totalsRowShown="0">
  <autoFilter ref="V2:AA509" xr:uid="{68CC9C96-B17E-4AFB-8583-6CBC8441FD5B}"/>
  <tableColumns count="6">
    <tableColumn id="1" xr3:uid="{DFA5CE94-38A6-4F00-88F6-3A70834F347E}" name="循环周数"/>
    <tableColumn id="2" xr3:uid="{3B00676D-618A-45EC-BD9E-B76E4D75FD9B}" name="放电能量"/>
    <tableColumn id="3" xr3:uid="{C64F7A5F-3C9D-4A22-917C-09AB5FF60AB5}" name="能量保持率" dataDxfId="57"/>
    <tableColumn id="4" xr3:uid="{FBC23AD9-C78E-456F-96DE-FC46F78A521E}" name="放电容量"/>
    <tableColumn id="5" xr3:uid="{0357D6B4-3FB1-4E89-AA93-E88AFE73DB76}" name="容量保持率" dataDxfId="56"/>
    <tableColumn id="6" xr3:uid="{BD210F2B-D437-400D-9532-C115222D4151}" name="工步号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6515167-2CD9-4299-A936-42E26F984F8B}" name="表69" displayName="表69" ref="AC2:AH512" totalsRowShown="0">
  <autoFilter ref="AC2:AH512" xr:uid="{AAD0F279-DD43-4A0C-9023-5ADBB35F9828}"/>
  <tableColumns count="6">
    <tableColumn id="1" xr3:uid="{99F1FA5A-7A35-483B-B7A4-24D80789B327}" name="循环周数"/>
    <tableColumn id="2" xr3:uid="{BA12A332-19EC-4D91-A869-32C7743FA8F5}" name="放电能量"/>
    <tableColumn id="3" xr3:uid="{FDE8B19D-0170-4A7C-8F0E-7C0198BAC3AE}" name="能量保持率" dataDxfId="55"/>
    <tableColumn id="4" xr3:uid="{E2566412-310B-4891-A85A-3CAC6CE7E307}" name="放电容量"/>
    <tableColumn id="5" xr3:uid="{FCDF6C63-04AF-43FE-ACC5-A2A640BCDE63}" name="容量保持率" dataDxfId="54"/>
    <tableColumn id="6" xr3:uid="{AEA10EB1-4767-491C-AC56-72D2423D6D32}" name="工步号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4AD1223F-8866-4767-980C-2276DE59CEC3}" name="表70" displayName="表70" ref="AJ2:AO521" totalsRowShown="0">
  <autoFilter ref="AJ2:AO521" xr:uid="{5D63D01C-4C35-4897-B3CD-93C9001CB7CC}"/>
  <tableColumns count="6">
    <tableColumn id="1" xr3:uid="{9C714420-AEEC-4A9B-B5A9-3DD84AE4ED54}" name="循环周数"/>
    <tableColumn id="2" xr3:uid="{F7E62378-85D1-43F2-8CB3-00AD377A543D}" name="放电能量"/>
    <tableColumn id="3" xr3:uid="{0AE089C6-5C5C-40E5-8B26-73FD90FC1605}" name="能量保持率" dataDxfId="53"/>
    <tableColumn id="4" xr3:uid="{3870CA90-5796-4A89-B074-4E5812ECB3F6}" name="放电容量"/>
    <tableColumn id="5" xr3:uid="{070B9D3B-7664-458C-BFCF-D1F8E9C75BD3}" name="容量保持率" dataDxfId="52"/>
    <tableColumn id="6" xr3:uid="{A7832A7C-2747-409D-B864-9D8D186E3285}" name="工步号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813F2A74-E1E5-403B-BAEA-F3C1966D953E}" name="表71" displayName="表71" ref="AQ2:AV520" totalsRowShown="0">
  <autoFilter ref="AQ2:AV520" xr:uid="{6069A6F7-E6EE-4332-A0D8-BDD053D492BB}"/>
  <tableColumns count="6">
    <tableColumn id="1" xr3:uid="{6942488A-4585-49C7-850E-693F13347DA8}" name="循环周数"/>
    <tableColumn id="2" xr3:uid="{1FFE06AA-87F6-4D87-804B-305E176C39EB}" name="放电能量"/>
    <tableColumn id="3" xr3:uid="{7BD2286B-B703-4BED-9891-E72BA4C40D2B}" name="能量保持率" dataDxfId="51"/>
    <tableColumn id="4" xr3:uid="{EB697401-E41F-4EA5-A4A2-E3CC53A879AE}" name="放电容量"/>
    <tableColumn id="5" xr3:uid="{B03014A2-C426-48DE-A235-651491D168FA}" name="容量保持率" dataDxfId="50"/>
    <tableColumn id="6" xr3:uid="{6DF3C39E-EC73-4F5A-A4F6-EDD6D8E4960E}" name="工步号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26EE9EFF-4C5E-44D4-84C9-A855EC765B52}" name="表72" displayName="表72" ref="AX2:BC509" totalsRowShown="0">
  <autoFilter ref="AX2:BC509" xr:uid="{F45CBCD3-7142-4C13-A5A3-9A5E2EDC43FD}"/>
  <tableColumns count="6">
    <tableColumn id="1" xr3:uid="{26EA7CE9-E042-4455-A039-9C0E218A334E}" name="循环周数"/>
    <tableColumn id="2" xr3:uid="{18401069-3B2D-4341-99D7-26FB937F35D9}" name="放电能量"/>
    <tableColumn id="3" xr3:uid="{2562C1FA-98A6-40AC-8A36-59960E0A8A99}" name="能量保持率" dataDxfId="49"/>
    <tableColumn id="4" xr3:uid="{4E000B86-57C7-44B6-A35F-69BF285C64CE}" name="放电容量"/>
    <tableColumn id="5" xr3:uid="{AA04AAD8-5403-4D30-AAAD-CC58B0E8620E}" name="容量保持率" dataDxfId="48"/>
    <tableColumn id="6" xr3:uid="{97E77D56-9EC9-497F-AA38-77071BC14C90}" name="工步号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D1A72158-FCB7-4EA2-BF3D-7D75941D1C48}" name="表73" displayName="表73" ref="C19:G26" totalsRowShown="0" tableBorderDxfId="47">
  <tableColumns count="5">
    <tableColumn id="1" xr3:uid="{8FA0854A-DC29-4071-B825-9E30F166A1FC}" name="循环周数"/>
    <tableColumn id="2" xr3:uid="{53008182-708C-4009-8365-79FDA275E62F}" name="容量/Ah"/>
    <tableColumn id="3" xr3:uid="{F0ADEBD7-95CD-4811-8FB0-C997F73F8496}" name="能量/Wh"/>
    <tableColumn id="4" xr3:uid="{A4FE3DF0-80A7-4224-B77B-3946447BAE9C}" name="容量保持率" dataDxfId="46"/>
    <tableColumn id="5" xr3:uid="{43D9B1E0-F0FA-4950-89AE-DF9D875D7781}" name="能量保持率" dataDxfId="45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740E643A-A9C1-4B62-B2DB-C62664553427}" name="表74" displayName="表74" ref="H19:J26" totalsRowShown="0" tableBorderDxfId="44">
  <tableColumns count="3">
    <tableColumn id="1" xr3:uid="{A7388195-3DA8-4CE6-B89E-E3D9D95E9AF9}" name="90%"/>
    <tableColumn id="2" xr3:uid="{F89B9389-B37F-4B1A-B0AF-26260E1A6CE7}" name="50%"/>
    <tableColumn id="3" xr3:uid="{E00D84B7-222B-4012-B0CE-FCBA9266B9F1}" name="10%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FA556AA-11B5-4596-A47A-2B089BA8180D}" name="表75" displayName="表75" ref="K19:M26" totalsRowShown="0" tableBorderDxfId="43">
  <tableColumns count="3">
    <tableColumn id="1" xr3:uid="{9166F9A4-2E67-4438-B08B-3BB0C5A7374C}" name="90%" dataDxfId="42"/>
    <tableColumn id="2" xr3:uid="{150FED72-969B-4F9B-AC61-AA418DF5D5CA}" name="50%" dataDxfId="41"/>
    <tableColumn id="3" xr3:uid="{E2805694-F97E-4D83-9F2F-07E24A1A70AD}" name="10%" dataDxfId="40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3CE02AEC-872C-40D9-8CF2-2CF3ADC1861A}" name="表76" displayName="表76" ref="C29:G36" totalsRowShown="0" tableBorderDxfId="39">
  <tableColumns count="5">
    <tableColumn id="1" xr3:uid="{8016EC0D-04B9-4C12-8878-68ADDE10EB19}" name="循环周数"/>
    <tableColumn id="2" xr3:uid="{AC623888-7D05-4CA7-A075-5E23C3CFE74D}" name="容量/Ah"/>
    <tableColumn id="3" xr3:uid="{6769D2EF-C1D5-45C0-B904-D3B2BCCDB139}" name="能量/Wh"/>
    <tableColumn id="4" xr3:uid="{325B4BE6-4960-4806-905F-48362A47E0CD}" name="容量保持率" dataDxfId="38"/>
    <tableColumn id="5" xr3:uid="{182E7F63-B2F5-4167-8C59-DF01F789336E}" name="能量保持率" dataDxfId="37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A34AAC00-3D9F-49C1-8438-E5F06EAF523A}" name="表77" displayName="表77" ref="H29:J36" totalsRowShown="0" tableBorderDxfId="36">
  <tableColumns count="3">
    <tableColumn id="1" xr3:uid="{F672A4B8-77F4-44EE-A8FA-D84BBC95295F}" name="90%"/>
    <tableColumn id="2" xr3:uid="{1BC057F3-AC7D-435B-96B8-8FBF7C19AAD7}" name="50%"/>
    <tableColumn id="3" xr3:uid="{30A1043F-6697-418A-AA96-A24B29D969BF}" name="10%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849928B-CF4B-4652-A308-397F130A0125}" name="表78" displayName="表78" ref="K29:M36" totalsRowShown="0" tableBorderDxfId="35">
  <tableColumns count="3">
    <tableColumn id="1" xr3:uid="{2A817B59-B5E7-4A56-B323-8ADF2B81C2A2}" name="90%" dataDxfId="34"/>
    <tableColumn id="2" xr3:uid="{61571BC9-D764-4AC1-B958-138747406E28}" name="50%" dataDxfId="33"/>
    <tableColumn id="3" xr3:uid="{4CB95726-258E-422B-8B9E-FFF90C3ABA05}" name="10%" dataDxfId="32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4E2273B-9441-4609-B138-0C2CD46DDC6B}" name="表79" displayName="表79" ref="C39:G46" totalsRowShown="0" tableBorderDxfId="31">
  <tableColumns count="5">
    <tableColumn id="1" xr3:uid="{1D4C800B-04B5-4F2A-BBFD-3BC4C3DB3675}" name="循环周数"/>
    <tableColumn id="2" xr3:uid="{CC3B8777-4BB0-4C51-9133-A4FD8D37CCE3}" name="容量/Ah"/>
    <tableColumn id="3" xr3:uid="{F7C0864A-2896-4D43-AC0A-F2E9FE08182B}" name="能量/Wh"/>
    <tableColumn id="4" xr3:uid="{6FA6B6F2-A398-480B-AA05-45CD02B55ABC}" name="容量保持率" dataDxfId="30"/>
    <tableColumn id="5" xr3:uid="{09B78661-600F-403A-8E08-2DAF8B2C89CD}" name="能量保持率" dataDxfId="29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A6CD9CB2-2DBC-4603-A244-85BCC70F2686}" name="表80" displayName="表80" ref="H39:J46" totalsRowShown="0" tableBorderDxfId="28">
  <tableColumns count="3">
    <tableColumn id="1" xr3:uid="{6619554D-D741-425B-99E9-5D297D51691F}" name="90%"/>
    <tableColumn id="2" xr3:uid="{D54BBF61-BB5A-444B-B564-0F20F2E82E06}" name="50%"/>
    <tableColumn id="3" xr3:uid="{87DE8357-4FBF-4AFC-AC0E-3040441B1765}" name="10%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FE1657BF-1636-488E-8B89-7303FFBDE1FB}" name="表81" displayName="表81" ref="K39:M46" totalsRowShown="0" tableBorderDxfId="27">
  <tableColumns count="3">
    <tableColumn id="1" xr3:uid="{C76261C8-A851-495D-8D03-2F095483C0E0}" name="90%" dataDxfId="26"/>
    <tableColumn id="2" xr3:uid="{6A1597F5-A505-4CE2-AF6B-E412254D36EF}" name="50%" dataDxfId="25"/>
    <tableColumn id="3" xr3:uid="{03DF7945-4FAB-43A0-98B9-E326B72FDEC4}" name="10%" dataDxfId="24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FFC8059D-E67F-47C8-A8D3-DE06226CCF22}" name="表82" displayName="表82" ref="C49:G56" totalsRowShown="0" tableBorderDxfId="23">
  <tableColumns count="5">
    <tableColumn id="1" xr3:uid="{B91C89C8-1D27-4BDD-8504-2B25CC7146EF}" name="循环周数"/>
    <tableColumn id="2" xr3:uid="{9AD0166D-961A-4ADD-9CA4-80ADFD9859CD}" name="容量/Ah"/>
    <tableColumn id="3" xr3:uid="{6F93E4B0-E987-420D-93A4-A95D76AFCF4B}" name="能量/Wh"/>
    <tableColumn id="4" xr3:uid="{8CFB38BB-2EFB-4B1A-A22E-526D1595AA07}" name="容量保持率" dataDxfId="22"/>
    <tableColumn id="5" xr3:uid="{ACE3B4C5-B7C2-427B-91B4-CF06FC9F9380}" name="能量保持率" dataDxfId="21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1320E6A8-94DD-450A-A9FD-E25C00F34A07}" name="表83" displayName="表83" ref="H49:J56" totalsRowShown="0" tableBorderDxfId="20">
  <tableColumns count="3">
    <tableColumn id="1" xr3:uid="{A9316F09-E214-40BB-8007-379C4EFEFF99}" name="90%"/>
    <tableColumn id="2" xr3:uid="{E8CDFAD9-F43C-48BA-9EFC-8E82AD33A559}" name="50%"/>
    <tableColumn id="3" xr3:uid="{4AE8E67C-5B16-436E-8912-8B6AFEC58EF8}" name="10%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19019DFB-33D1-48C7-82A2-6715AF13BC83}" name="表84" displayName="表84" ref="K49:M56" totalsRowShown="0" tableBorderDxfId="19">
  <tableColumns count="3">
    <tableColumn id="1" xr3:uid="{D6407B40-F34E-4569-A9C2-72682CE36933}" name="90%" dataDxfId="18"/>
    <tableColumn id="2" xr3:uid="{BDEB69D4-173F-4691-AC63-DCF4EDEDDDA7}" name="50%" dataDxfId="17"/>
    <tableColumn id="3" xr3:uid="{C9D2D83B-A104-4F67-AC08-8AC43437CE31}" name="10%" dataDxfId="16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85F7D93-F058-47DA-8FA8-327721992FD7}" name="表85" displayName="表85" ref="C59:G66" totalsRowShown="0" tableBorderDxfId="15">
  <tableColumns count="5">
    <tableColumn id="1" xr3:uid="{23F8EEFB-6BE7-40D3-9C8B-4CEDC0DDFDEA}" name="循环周数"/>
    <tableColumn id="2" xr3:uid="{E3CCF465-3DAE-4246-8CB9-FD3835BA93F8}" name="容量/Ah"/>
    <tableColumn id="3" xr3:uid="{1E9D628D-E993-4D1C-B73B-CFF5DD30591D}" name="能量/Wh"/>
    <tableColumn id="4" xr3:uid="{820918CC-032D-4243-93A9-4F2783923236}" name="容量保持率" dataDxfId="14"/>
    <tableColumn id="5" xr3:uid="{801809DD-9EB4-4872-A3D5-2CE6033AF7B7}" name="能量保持率" dataDxfId="13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1A520ABB-C5BB-47CC-A574-193FA620A0D9}" name="表86" displayName="表86" ref="H59:J66" totalsRowShown="0" tableBorderDxfId="12">
  <tableColumns count="3">
    <tableColumn id="1" xr3:uid="{DC8446F8-0081-49AC-93A5-C184D0A8F42A}" name="90%"/>
    <tableColumn id="2" xr3:uid="{547E012C-99DF-403A-81B2-1C60D45D8CA3}" name="50%"/>
    <tableColumn id="3" xr3:uid="{F962CF65-833B-45FD-8156-DC39505C25E3}" name="10%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9E430527-7239-4808-AF71-037E0FEE24EB}" name="表87" displayName="表87" ref="K59:M66" totalsRowShown="0" tableBorderDxfId="11">
  <tableColumns count="3">
    <tableColumn id="1" xr3:uid="{674B7222-578A-4C44-B4D3-0D682AF0D795}" name="90%" dataDxfId="10"/>
    <tableColumn id="2" xr3:uid="{D21CDD47-5DF1-4DBE-A156-06CFCBFDDBC6}" name="50%" dataDxfId="9"/>
    <tableColumn id="3" xr3:uid="{6D4AF3E1-22F5-4AB6-907F-F6A4E9D7D682}" name="10%" dataDxfId="8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68648DE9-1FC5-4591-889B-0CDB2ECBB3BF}" name="表88" displayName="表88" ref="C69:G76" totalsRowShown="0" tableBorderDxfId="7">
  <tableColumns count="5">
    <tableColumn id="1" xr3:uid="{9B412A9A-1AE1-4688-B35E-D811327B0728}" name="循环周数"/>
    <tableColumn id="2" xr3:uid="{16010528-419F-4728-A89B-84BEA827989F}" name="容量/Ah"/>
    <tableColumn id="3" xr3:uid="{8BB5598C-DD3C-470B-8F15-58F76B4E6845}" name="能量/Wh"/>
    <tableColumn id="4" xr3:uid="{85E3B7E4-E107-47F3-AD34-FE220B9F7316}" name="容量保持率" dataDxfId="6"/>
    <tableColumn id="5" xr3:uid="{FD366A1C-DEDB-4367-BA3F-231DFB9125BC}" name="能量保持率" dataDxfId="5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7AA6671E-8ED8-4E48-AA69-E95E0DEE068B}" name="表89" displayName="表89" ref="H69:J76" totalsRowShown="0" tableBorderDxfId="4">
  <tableColumns count="3">
    <tableColumn id="1" xr3:uid="{535B6CA0-52D9-4351-9226-124E518C3BA0}" name="90%"/>
    <tableColumn id="2" xr3:uid="{F8136DD6-3214-4AE2-857B-6FCC2D693394}" name="50%"/>
    <tableColumn id="3" xr3:uid="{9302C539-FA9C-403F-9E0E-9E8D407F38D0}" name="10%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E783C2E3-A462-4BD7-8899-314CA5864D29}" name="表90" displayName="表90" ref="K69:M76" totalsRowShown="0" tableBorderDxfId="3">
  <tableColumns count="3">
    <tableColumn id="1" xr3:uid="{AFD92A15-E16B-4F60-A66C-506D5A283967}" name="90%" dataDxfId="2"/>
    <tableColumn id="2" xr3:uid="{81E9F9B9-438B-4719-AA22-DE69F6BB323C}" name="50%" dataDxfId="1"/>
    <tableColumn id="3" xr3:uid="{799A66EF-508C-402B-B6C3-ABC3B9C392C1}" name="10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5.xml"/><Relationship Id="rId13" Type="http://schemas.openxmlformats.org/officeDocument/2006/relationships/table" Target="../tables/table30.xml"/><Relationship Id="rId18" Type="http://schemas.openxmlformats.org/officeDocument/2006/relationships/table" Target="../tables/table35.xml"/><Relationship Id="rId26" Type="http://schemas.openxmlformats.org/officeDocument/2006/relationships/table" Target="../tables/table43.xml"/><Relationship Id="rId3" Type="http://schemas.openxmlformats.org/officeDocument/2006/relationships/table" Target="../tables/table20.xml"/><Relationship Id="rId21" Type="http://schemas.openxmlformats.org/officeDocument/2006/relationships/table" Target="../tables/table38.xml"/><Relationship Id="rId7" Type="http://schemas.openxmlformats.org/officeDocument/2006/relationships/table" Target="../tables/table24.xml"/><Relationship Id="rId12" Type="http://schemas.openxmlformats.org/officeDocument/2006/relationships/table" Target="../tables/table29.xml"/><Relationship Id="rId17" Type="http://schemas.openxmlformats.org/officeDocument/2006/relationships/table" Target="../tables/table34.xml"/><Relationship Id="rId25" Type="http://schemas.openxmlformats.org/officeDocument/2006/relationships/table" Target="../tables/table42.xml"/><Relationship Id="rId2" Type="http://schemas.openxmlformats.org/officeDocument/2006/relationships/drawing" Target="../drawings/drawing4.xml"/><Relationship Id="rId16" Type="http://schemas.openxmlformats.org/officeDocument/2006/relationships/table" Target="../tables/table33.xml"/><Relationship Id="rId20" Type="http://schemas.openxmlformats.org/officeDocument/2006/relationships/table" Target="../tables/table3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3.xml"/><Relationship Id="rId11" Type="http://schemas.openxmlformats.org/officeDocument/2006/relationships/table" Target="../tables/table28.xml"/><Relationship Id="rId24" Type="http://schemas.openxmlformats.org/officeDocument/2006/relationships/table" Target="../tables/table41.xml"/><Relationship Id="rId5" Type="http://schemas.openxmlformats.org/officeDocument/2006/relationships/table" Target="../tables/table22.xml"/><Relationship Id="rId15" Type="http://schemas.openxmlformats.org/officeDocument/2006/relationships/table" Target="../tables/table32.xml"/><Relationship Id="rId23" Type="http://schemas.openxmlformats.org/officeDocument/2006/relationships/table" Target="../tables/table40.xml"/><Relationship Id="rId10" Type="http://schemas.openxmlformats.org/officeDocument/2006/relationships/table" Target="../tables/table27.xml"/><Relationship Id="rId19" Type="http://schemas.openxmlformats.org/officeDocument/2006/relationships/table" Target="../tables/table36.xml"/><Relationship Id="rId4" Type="http://schemas.openxmlformats.org/officeDocument/2006/relationships/table" Target="../tables/table21.xml"/><Relationship Id="rId9" Type="http://schemas.openxmlformats.org/officeDocument/2006/relationships/table" Target="../tables/table26.xml"/><Relationship Id="rId14" Type="http://schemas.openxmlformats.org/officeDocument/2006/relationships/table" Target="../tables/table31.xml"/><Relationship Id="rId22" Type="http://schemas.openxmlformats.org/officeDocument/2006/relationships/table" Target="../tables/table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0.xml"/><Relationship Id="rId13" Type="http://schemas.openxmlformats.org/officeDocument/2006/relationships/table" Target="../tables/table55.xml"/><Relationship Id="rId18" Type="http://schemas.openxmlformats.org/officeDocument/2006/relationships/table" Target="../tables/table60.xml"/><Relationship Id="rId3" Type="http://schemas.openxmlformats.org/officeDocument/2006/relationships/table" Target="../tables/table45.xml"/><Relationship Id="rId21" Type="http://schemas.openxmlformats.org/officeDocument/2006/relationships/table" Target="../tables/table63.xml"/><Relationship Id="rId7" Type="http://schemas.openxmlformats.org/officeDocument/2006/relationships/table" Target="../tables/table49.xml"/><Relationship Id="rId12" Type="http://schemas.openxmlformats.org/officeDocument/2006/relationships/table" Target="../tables/table54.xml"/><Relationship Id="rId17" Type="http://schemas.openxmlformats.org/officeDocument/2006/relationships/table" Target="../tables/table59.xml"/><Relationship Id="rId25" Type="http://schemas.openxmlformats.org/officeDocument/2006/relationships/table" Target="../tables/table67.xml"/><Relationship Id="rId2" Type="http://schemas.openxmlformats.org/officeDocument/2006/relationships/table" Target="../tables/table44.xml"/><Relationship Id="rId16" Type="http://schemas.openxmlformats.org/officeDocument/2006/relationships/table" Target="../tables/table58.xml"/><Relationship Id="rId20" Type="http://schemas.openxmlformats.org/officeDocument/2006/relationships/table" Target="../tables/table62.xml"/><Relationship Id="rId1" Type="http://schemas.openxmlformats.org/officeDocument/2006/relationships/drawing" Target="../drawings/drawing5.xml"/><Relationship Id="rId6" Type="http://schemas.openxmlformats.org/officeDocument/2006/relationships/table" Target="../tables/table48.xml"/><Relationship Id="rId11" Type="http://schemas.openxmlformats.org/officeDocument/2006/relationships/table" Target="../tables/table53.xml"/><Relationship Id="rId24" Type="http://schemas.openxmlformats.org/officeDocument/2006/relationships/table" Target="../tables/table66.xml"/><Relationship Id="rId5" Type="http://schemas.openxmlformats.org/officeDocument/2006/relationships/table" Target="../tables/table47.xml"/><Relationship Id="rId15" Type="http://schemas.openxmlformats.org/officeDocument/2006/relationships/table" Target="../tables/table57.xml"/><Relationship Id="rId23" Type="http://schemas.openxmlformats.org/officeDocument/2006/relationships/table" Target="../tables/table65.xml"/><Relationship Id="rId10" Type="http://schemas.openxmlformats.org/officeDocument/2006/relationships/table" Target="../tables/table52.xml"/><Relationship Id="rId19" Type="http://schemas.openxmlformats.org/officeDocument/2006/relationships/table" Target="../tables/table61.xml"/><Relationship Id="rId4" Type="http://schemas.openxmlformats.org/officeDocument/2006/relationships/table" Target="../tables/table46.xml"/><Relationship Id="rId9" Type="http://schemas.openxmlformats.org/officeDocument/2006/relationships/table" Target="../tables/table51.xml"/><Relationship Id="rId14" Type="http://schemas.openxmlformats.org/officeDocument/2006/relationships/table" Target="../tables/table56.xml"/><Relationship Id="rId22" Type="http://schemas.openxmlformats.org/officeDocument/2006/relationships/table" Target="../tables/table6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4DDD4-53D3-418A-88F7-3B7E3D301729}">
  <dimension ref="A1:Y58"/>
  <sheetViews>
    <sheetView zoomScale="90" zoomScaleNormal="90" workbookViewId="0">
      <selection activeCell="Y22" sqref="Y22"/>
    </sheetView>
  </sheetViews>
  <sheetFormatPr defaultRowHeight="14.25" customHeight="1" x14ac:dyDescent="0.35"/>
  <cols>
    <col min="1" max="1" width="9" style="5"/>
    <col min="9" max="9" width="9" style="39"/>
  </cols>
  <sheetData>
    <row r="1" spans="1:24" ht="14.25" customHeight="1" x14ac:dyDescent="0.35">
      <c r="A1" s="40" t="s">
        <v>159</v>
      </c>
      <c r="B1" s="52" t="s">
        <v>130</v>
      </c>
      <c r="C1" s="52"/>
      <c r="D1" s="52"/>
      <c r="E1" s="52"/>
      <c r="F1" s="52"/>
      <c r="G1" s="52"/>
      <c r="H1" s="52"/>
      <c r="I1" s="36"/>
      <c r="J1" s="40" t="s">
        <v>159</v>
      </c>
      <c r="K1" s="52" t="s">
        <v>132</v>
      </c>
      <c r="L1" s="52"/>
      <c r="M1" s="52"/>
      <c r="N1" s="52"/>
      <c r="O1" s="52"/>
      <c r="P1" s="52"/>
      <c r="Q1" s="52"/>
      <c r="R1" s="52" t="s">
        <v>133</v>
      </c>
      <c r="S1" s="52"/>
      <c r="T1" s="52"/>
      <c r="U1" s="52"/>
      <c r="V1" s="52"/>
      <c r="W1" s="52"/>
      <c r="X1" s="52"/>
    </row>
    <row r="2" spans="1:24" ht="14.25" customHeight="1" x14ac:dyDescent="0.35">
      <c r="A2" s="53" t="s">
        <v>128</v>
      </c>
      <c r="B2" s="27"/>
      <c r="C2" s="28"/>
      <c r="D2" s="28"/>
      <c r="E2" s="28"/>
      <c r="F2" s="28"/>
      <c r="G2" s="28"/>
      <c r="H2" s="29"/>
      <c r="I2" s="37"/>
      <c r="J2" s="56" t="s">
        <v>158</v>
      </c>
      <c r="K2" s="27"/>
      <c r="L2" s="28"/>
      <c r="M2" s="28"/>
      <c r="N2" s="28"/>
      <c r="O2" s="28"/>
      <c r="P2" s="28"/>
      <c r="Q2" s="29"/>
      <c r="R2" s="27"/>
      <c r="S2" s="28"/>
      <c r="T2" s="28"/>
      <c r="U2" s="28"/>
      <c r="V2" s="28"/>
      <c r="W2" s="28"/>
      <c r="X2" s="29"/>
    </row>
    <row r="3" spans="1:24" ht="14.25" customHeight="1" x14ac:dyDescent="0.35">
      <c r="A3" s="54"/>
      <c r="B3" s="30"/>
      <c r="C3" s="31"/>
      <c r="D3" s="31"/>
      <c r="E3" s="31"/>
      <c r="F3" s="31"/>
      <c r="G3" s="31"/>
      <c r="H3" s="32"/>
      <c r="I3" s="38"/>
      <c r="J3" s="52"/>
      <c r="K3" s="30"/>
      <c r="L3" s="31"/>
      <c r="M3" s="31"/>
      <c r="N3" s="31"/>
      <c r="O3" s="31"/>
      <c r="P3" s="31"/>
      <c r="Q3" s="32"/>
      <c r="R3" s="30"/>
      <c r="S3" s="31"/>
      <c r="T3" s="31"/>
      <c r="U3" s="31"/>
      <c r="V3" s="31"/>
      <c r="W3" s="31"/>
      <c r="X3" s="32"/>
    </row>
    <row r="4" spans="1:24" ht="14.25" customHeight="1" x14ac:dyDescent="0.35">
      <c r="A4" s="54"/>
      <c r="B4" s="30"/>
      <c r="C4" s="31"/>
      <c r="D4" s="31"/>
      <c r="E4" s="31"/>
      <c r="F4" s="31"/>
      <c r="G4" s="31"/>
      <c r="H4" s="32"/>
      <c r="I4" s="38"/>
      <c r="J4" s="52"/>
      <c r="K4" s="30"/>
      <c r="L4" s="31"/>
      <c r="M4" s="31"/>
      <c r="N4" s="31"/>
      <c r="O4" s="31"/>
      <c r="P4" s="31"/>
      <c r="Q4" s="32"/>
      <c r="R4" s="30"/>
      <c r="S4" s="31"/>
      <c r="T4" s="31"/>
      <c r="U4" s="31"/>
      <c r="V4" s="31"/>
      <c r="W4" s="31"/>
      <c r="X4" s="32"/>
    </row>
    <row r="5" spans="1:24" ht="14.25" customHeight="1" x14ac:dyDescent="0.35">
      <c r="A5" s="54"/>
      <c r="B5" s="30"/>
      <c r="C5" s="31"/>
      <c r="D5" s="31"/>
      <c r="E5" s="31"/>
      <c r="F5" s="31"/>
      <c r="G5" s="31"/>
      <c r="H5" s="32"/>
      <c r="I5" s="38"/>
      <c r="J5" s="52"/>
      <c r="K5" s="30"/>
      <c r="L5" s="31"/>
      <c r="M5" s="31"/>
      <c r="N5" s="31"/>
      <c r="O5" s="31"/>
      <c r="P5" s="31"/>
      <c r="Q5" s="32"/>
      <c r="R5" s="30"/>
      <c r="S5" s="31"/>
      <c r="T5" s="31"/>
      <c r="U5" s="31"/>
      <c r="V5" s="31"/>
      <c r="W5" s="31"/>
      <c r="X5" s="32"/>
    </row>
    <row r="6" spans="1:24" ht="14.25" customHeight="1" x14ac:dyDescent="0.35">
      <c r="A6" s="54"/>
      <c r="B6" s="30"/>
      <c r="C6" s="31"/>
      <c r="D6" s="31"/>
      <c r="E6" s="31"/>
      <c r="F6" s="31"/>
      <c r="G6" s="31"/>
      <c r="H6" s="32"/>
      <c r="I6" s="38"/>
      <c r="J6" s="52"/>
      <c r="K6" s="30"/>
      <c r="L6" s="31"/>
      <c r="M6" s="31"/>
      <c r="N6" s="31"/>
      <c r="O6" s="31"/>
      <c r="P6" s="31"/>
      <c r="Q6" s="32"/>
      <c r="R6" s="30"/>
      <c r="S6" s="31"/>
      <c r="T6" s="31"/>
      <c r="U6" s="31"/>
      <c r="V6" s="31"/>
      <c r="W6" s="31"/>
      <c r="X6" s="32"/>
    </row>
    <row r="7" spans="1:24" ht="14.25" customHeight="1" x14ac:dyDescent="0.35">
      <c r="A7" s="54"/>
      <c r="B7" s="30"/>
      <c r="C7" s="31"/>
      <c r="D7" s="31"/>
      <c r="E7" s="31"/>
      <c r="F7" s="31"/>
      <c r="G7" s="31"/>
      <c r="H7" s="32"/>
      <c r="I7" s="38"/>
      <c r="J7" s="52"/>
      <c r="K7" s="30"/>
      <c r="L7" s="31"/>
      <c r="M7" s="31"/>
      <c r="N7" s="31"/>
      <c r="O7" s="31"/>
      <c r="P7" s="31"/>
      <c r="Q7" s="32"/>
      <c r="R7" s="30"/>
      <c r="S7" s="31"/>
      <c r="T7" s="31"/>
      <c r="U7" s="31"/>
      <c r="V7" s="31"/>
      <c r="W7" s="31"/>
      <c r="X7" s="32"/>
    </row>
    <row r="8" spans="1:24" ht="14.25" customHeight="1" x14ac:dyDescent="0.35">
      <c r="A8" s="54"/>
      <c r="B8" s="30"/>
      <c r="C8" s="31"/>
      <c r="D8" s="31"/>
      <c r="E8" s="31"/>
      <c r="F8" s="31"/>
      <c r="G8" s="31"/>
      <c r="H8" s="32"/>
      <c r="I8" s="38"/>
      <c r="J8" s="52"/>
      <c r="K8" s="30"/>
      <c r="L8" s="31"/>
      <c r="M8" s="31"/>
      <c r="N8" s="31"/>
      <c r="O8" s="31"/>
      <c r="P8" s="31"/>
      <c r="Q8" s="32"/>
      <c r="R8" s="30"/>
      <c r="S8" s="31"/>
      <c r="T8" s="31"/>
      <c r="U8" s="31"/>
      <c r="V8" s="31"/>
      <c r="W8" s="31"/>
      <c r="X8" s="32"/>
    </row>
    <row r="9" spans="1:24" ht="14.25" customHeight="1" x14ac:dyDescent="0.35">
      <c r="A9" s="54"/>
      <c r="B9" s="30"/>
      <c r="C9" s="31"/>
      <c r="D9" s="31"/>
      <c r="E9" s="31"/>
      <c r="F9" s="31"/>
      <c r="G9" s="31"/>
      <c r="H9" s="32"/>
      <c r="I9" s="38"/>
      <c r="J9" s="52"/>
      <c r="K9" s="30"/>
      <c r="L9" s="31"/>
      <c r="M9" s="31"/>
      <c r="N9" s="31"/>
      <c r="O9" s="31"/>
      <c r="P9" s="31"/>
      <c r="Q9" s="32"/>
      <c r="R9" s="30"/>
      <c r="S9" s="31"/>
      <c r="T9" s="31"/>
      <c r="U9" s="31"/>
      <c r="V9" s="31"/>
      <c r="W9" s="31"/>
      <c r="X9" s="32"/>
    </row>
    <row r="10" spans="1:24" ht="14.25" customHeight="1" x14ac:dyDescent="0.35">
      <c r="A10" s="54"/>
      <c r="B10" s="30"/>
      <c r="C10" s="31"/>
      <c r="D10" s="31"/>
      <c r="E10" s="31"/>
      <c r="F10" s="31"/>
      <c r="G10" s="31"/>
      <c r="H10" s="32"/>
      <c r="I10" s="38"/>
      <c r="J10" s="52"/>
      <c r="K10" s="30"/>
      <c r="L10" s="31"/>
      <c r="M10" s="31"/>
      <c r="N10" s="31"/>
      <c r="O10" s="31"/>
      <c r="P10" s="31"/>
      <c r="Q10" s="32"/>
      <c r="R10" s="30"/>
      <c r="S10" s="31"/>
      <c r="T10" s="31"/>
      <c r="U10" s="31"/>
      <c r="V10" s="31"/>
      <c r="W10" s="31"/>
      <c r="X10" s="32"/>
    </row>
    <row r="11" spans="1:24" ht="14.25" customHeight="1" x14ac:dyDescent="0.35">
      <c r="A11" s="54"/>
      <c r="B11" s="30"/>
      <c r="C11" s="31"/>
      <c r="D11" s="31"/>
      <c r="E11" s="31"/>
      <c r="F11" s="31"/>
      <c r="G11" s="31"/>
      <c r="H11" s="32"/>
      <c r="I11" s="38"/>
      <c r="J11" s="52"/>
      <c r="K11" s="30"/>
      <c r="L11" s="31"/>
      <c r="M11" s="31"/>
      <c r="N11" s="31"/>
      <c r="O11" s="31"/>
      <c r="P11" s="31"/>
      <c r="Q11" s="32"/>
      <c r="R11" s="30"/>
      <c r="S11" s="31"/>
      <c r="T11" s="31"/>
      <c r="U11" s="31"/>
      <c r="V11" s="31"/>
      <c r="W11" s="31"/>
      <c r="X11" s="32"/>
    </row>
    <row r="12" spans="1:24" ht="14.25" customHeight="1" x14ac:dyDescent="0.35">
      <c r="A12" s="54"/>
      <c r="B12" s="30"/>
      <c r="C12" s="31"/>
      <c r="D12" s="31"/>
      <c r="E12" s="31"/>
      <c r="F12" s="31"/>
      <c r="G12" s="31"/>
      <c r="H12" s="32"/>
      <c r="I12" s="38"/>
      <c r="J12" s="52"/>
      <c r="K12" s="30"/>
      <c r="L12" s="31"/>
      <c r="M12" s="31"/>
      <c r="N12" s="31"/>
      <c r="O12" s="31"/>
      <c r="P12" s="31"/>
      <c r="Q12" s="32"/>
      <c r="R12" s="30"/>
      <c r="S12" s="31"/>
      <c r="T12" s="31"/>
      <c r="U12" s="31"/>
      <c r="V12" s="31"/>
      <c r="W12" s="31"/>
      <c r="X12" s="32"/>
    </row>
    <row r="13" spans="1:24" ht="14.25" customHeight="1" x14ac:dyDescent="0.35">
      <c r="A13" s="54"/>
      <c r="B13" s="30"/>
      <c r="C13" s="31"/>
      <c r="D13" s="31"/>
      <c r="E13" s="31"/>
      <c r="F13" s="31"/>
      <c r="G13" s="31"/>
      <c r="H13" s="32"/>
      <c r="I13" s="38"/>
      <c r="J13" s="52"/>
      <c r="K13" s="30"/>
      <c r="L13" s="31"/>
      <c r="M13" s="31"/>
      <c r="N13" s="31"/>
      <c r="O13" s="31"/>
      <c r="P13" s="31"/>
      <c r="Q13" s="32"/>
      <c r="R13" s="30"/>
      <c r="S13" s="31"/>
      <c r="T13" s="31"/>
      <c r="U13" s="31"/>
      <c r="V13" s="31"/>
      <c r="W13" s="31"/>
      <c r="X13" s="32"/>
    </row>
    <row r="14" spans="1:24" ht="14.25" customHeight="1" x14ac:dyDescent="0.35">
      <c r="A14" s="54"/>
      <c r="B14" s="30"/>
      <c r="C14" s="31"/>
      <c r="D14" s="31"/>
      <c r="E14" s="31"/>
      <c r="F14" s="31"/>
      <c r="G14" s="31"/>
      <c r="H14" s="32"/>
      <c r="I14" s="38"/>
      <c r="J14" s="52"/>
      <c r="K14" s="30"/>
      <c r="L14" s="31"/>
      <c r="M14" s="31"/>
      <c r="N14" s="31"/>
      <c r="O14" s="31"/>
      <c r="P14" s="31"/>
      <c r="Q14" s="32"/>
      <c r="R14" s="30"/>
      <c r="S14" s="31"/>
      <c r="T14" s="31"/>
      <c r="U14" s="31"/>
      <c r="V14" s="31"/>
      <c r="W14" s="31"/>
      <c r="X14" s="32"/>
    </row>
    <row r="15" spans="1:24" ht="14.25" customHeight="1" x14ac:dyDescent="0.35">
      <c r="A15" s="54"/>
      <c r="B15" s="30"/>
      <c r="C15" s="31"/>
      <c r="D15" s="31"/>
      <c r="E15" s="31"/>
      <c r="F15" s="31"/>
      <c r="G15" s="31"/>
      <c r="H15" s="32"/>
      <c r="I15" s="38"/>
      <c r="J15" s="52"/>
      <c r="K15" s="30"/>
      <c r="L15" s="31"/>
      <c r="M15" s="31"/>
      <c r="N15" s="31"/>
      <c r="O15" s="31"/>
      <c r="P15" s="31"/>
      <c r="Q15" s="32"/>
      <c r="R15" s="30"/>
      <c r="S15" s="31"/>
      <c r="T15" s="31"/>
      <c r="U15" s="31"/>
      <c r="V15" s="31"/>
      <c r="W15" s="31"/>
      <c r="X15" s="32"/>
    </row>
    <row r="16" spans="1:24" ht="14.25" customHeight="1" x14ac:dyDescent="0.35">
      <c r="A16" s="54"/>
      <c r="B16" s="30"/>
      <c r="C16" s="31"/>
      <c r="D16" s="31"/>
      <c r="E16" s="31"/>
      <c r="F16" s="31"/>
      <c r="G16" s="31"/>
      <c r="H16" s="32"/>
      <c r="I16" s="38"/>
      <c r="J16" s="52"/>
      <c r="K16" s="30"/>
      <c r="L16" s="31"/>
      <c r="M16" s="31"/>
      <c r="N16" s="31"/>
      <c r="O16" s="31"/>
      <c r="P16" s="31"/>
      <c r="Q16" s="32"/>
      <c r="R16" s="30"/>
      <c r="S16" s="31"/>
      <c r="T16" s="31"/>
      <c r="U16" s="31"/>
      <c r="V16" s="31"/>
      <c r="W16" s="31"/>
      <c r="X16" s="32"/>
    </row>
    <row r="17" spans="1:25" ht="14.25" customHeight="1" x14ac:dyDescent="0.35">
      <c r="A17" s="54"/>
      <c r="B17" s="30"/>
      <c r="C17" s="31"/>
      <c r="D17" s="31"/>
      <c r="E17" s="31"/>
      <c r="F17" s="31"/>
      <c r="G17" s="31"/>
      <c r="H17" s="32"/>
      <c r="I17" s="38"/>
      <c r="J17" s="52"/>
      <c r="K17" s="30"/>
      <c r="L17" s="31"/>
      <c r="M17" s="31"/>
      <c r="N17" s="31"/>
      <c r="O17" s="31"/>
      <c r="P17" s="31"/>
      <c r="Q17" s="32"/>
      <c r="R17" s="30"/>
      <c r="S17" s="31"/>
      <c r="T17" s="31"/>
      <c r="U17" s="31"/>
      <c r="V17" s="31"/>
      <c r="W17" s="31"/>
      <c r="X17" s="32"/>
    </row>
    <row r="18" spans="1:25" ht="14.25" customHeight="1" x14ac:dyDescent="0.35">
      <c r="A18" s="54"/>
      <c r="B18" s="30"/>
      <c r="C18" s="31"/>
      <c r="D18" s="31"/>
      <c r="E18" s="31"/>
      <c r="F18" s="31"/>
      <c r="G18" s="31"/>
      <c r="H18" s="32"/>
      <c r="I18" s="38"/>
      <c r="J18" s="52"/>
      <c r="K18" s="30"/>
      <c r="L18" s="31"/>
      <c r="M18" s="31"/>
      <c r="N18" s="31"/>
      <c r="O18" s="31"/>
      <c r="P18" s="31"/>
      <c r="Q18" s="32"/>
      <c r="R18" s="30"/>
      <c r="S18" s="31"/>
      <c r="T18" s="31"/>
      <c r="U18" s="31"/>
      <c r="V18" s="31"/>
      <c r="W18" s="31"/>
      <c r="X18" s="32"/>
    </row>
    <row r="19" spans="1:25" ht="14.25" customHeight="1" x14ac:dyDescent="0.35">
      <c r="A19" s="55"/>
      <c r="B19" s="33"/>
      <c r="C19" s="34"/>
      <c r="D19" s="34"/>
      <c r="E19" s="34"/>
      <c r="F19" s="34"/>
      <c r="G19" s="34"/>
      <c r="H19" s="35"/>
      <c r="I19" s="38"/>
      <c r="J19" s="52"/>
      <c r="K19" s="33"/>
      <c r="L19" s="34"/>
      <c r="M19" s="34"/>
      <c r="N19" s="34"/>
      <c r="O19" s="34"/>
      <c r="P19" s="34"/>
      <c r="Q19" s="35"/>
      <c r="R19" s="33"/>
      <c r="S19" s="34"/>
      <c r="T19" s="34"/>
      <c r="U19" s="34"/>
      <c r="V19" s="34"/>
      <c r="W19" s="34"/>
      <c r="X19" s="35"/>
    </row>
    <row r="20" spans="1:25" ht="14.25" customHeight="1" x14ac:dyDescent="0.35">
      <c r="A20" s="56" t="s">
        <v>131</v>
      </c>
      <c r="B20" s="27"/>
      <c r="C20" s="28"/>
      <c r="D20" s="28"/>
      <c r="E20" s="28"/>
      <c r="F20" s="28"/>
      <c r="G20" s="28"/>
      <c r="H20" s="29"/>
      <c r="I20" s="38"/>
      <c r="J20" s="56" t="s">
        <v>190</v>
      </c>
      <c r="K20" s="27"/>
      <c r="L20" s="28"/>
      <c r="M20" s="28"/>
      <c r="N20" s="28"/>
      <c r="O20" s="28"/>
      <c r="P20" s="28"/>
      <c r="Q20" s="29"/>
      <c r="R20" s="27"/>
      <c r="S20" s="28"/>
      <c r="T20" s="28"/>
      <c r="U20" s="28"/>
      <c r="V20" s="28"/>
      <c r="W20" s="28"/>
      <c r="X20" s="29"/>
      <c r="Y20" s="31"/>
    </row>
    <row r="21" spans="1:25" ht="14.25" customHeight="1" x14ac:dyDescent="0.35">
      <c r="A21" s="52"/>
      <c r="B21" s="30"/>
      <c r="C21" s="31"/>
      <c r="D21" s="31"/>
      <c r="E21" s="31"/>
      <c r="F21" s="31"/>
      <c r="G21" s="31"/>
      <c r="H21" s="32"/>
      <c r="I21" s="38"/>
      <c r="J21" s="52"/>
      <c r="K21" s="30"/>
      <c r="L21" s="31"/>
      <c r="M21" s="31"/>
      <c r="N21" s="31"/>
      <c r="O21" s="31"/>
      <c r="P21" s="31"/>
      <c r="Q21" s="32"/>
      <c r="R21" s="30"/>
      <c r="S21" s="31"/>
      <c r="T21" s="31"/>
      <c r="U21" s="31"/>
      <c r="V21" s="31"/>
      <c r="W21" s="31"/>
      <c r="X21" s="32"/>
      <c r="Y21" s="31"/>
    </row>
    <row r="22" spans="1:25" ht="14.25" customHeight="1" x14ac:dyDescent="0.35">
      <c r="A22" s="52"/>
      <c r="B22" s="30"/>
      <c r="C22" s="31"/>
      <c r="D22" s="31"/>
      <c r="E22" s="31"/>
      <c r="F22" s="31"/>
      <c r="G22" s="31"/>
      <c r="H22" s="32"/>
      <c r="I22" s="38"/>
      <c r="J22" s="52"/>
      <c r="K22" s="30"/>
      <c r="L22" s="31"/>
      <c r="M22" s="31"/>
      <c r="N22" s="31"/>
      <c r="O22" s="31"/>
      <c r="P22" s="31"/>
      <c r="Q22" s="32"/>
      <c r="R22" s="30"/>
      <c r="S22" s="31"/>
      <c r="T22" s="31"/>
      <c r="U22" s="31"/>
      <c r="V22" s="31"/>
      <c r="W22" s="31"/>
      <c r="X22" s="32"/>
      <c r="Y22" s="31"/>
    </row>
    <row r="23" spans="1:25" ht="14.25" customHeight="1" x14ac:dyDescent="0.35">
      <c r="A23" s="52"/>
      <c r="B23" s="30"/>
      <c r="C23" s="31"/>
      <c r="D23" s="31"/>
      <c r="E23" s="31"/>
      <c r="F23" s="31"/>
      <c r="G23" s="31"/>
      <c r="H23" s="32"/>
      <c r="I23" s="38"/>
      <c r="J23" s="52"/>
      <c r="K23" s="30"/>
      <c r="L23" s="31"/>
      <c r="M23" s="31"/>
      <c r="N23" s="31"/>
      <c r="O23" s="31"/>
      <c r="P23" s="31"/>
      <c r="Q23" s="32"/>
      <c r="R23" s="30"/>
      <c r="S23" s="31"/>
      <c r="T23" s="31"/>
      <c r="U23" s="31"/>
      <c r="V23" s="31"/>
      <c r="W23" s="31"/>
      <c r="X23" s="32"/>
      <c r="Y23" s="31"/>
    </row>
    <row r="24" spans="1:25" ht="14.25" customHeight="1" x14ac:dyDescent="0.35">
      <c r="A24" s="52"/>
      <c r="B24" s="30"/>
      <c r="C24" s="31"/>
      <c r="D24" s="31"/>
      <c r="E24" s="31"/>
      <c r="F24" s="31"/>
      <c r="G24" s="31"/>
      <c r="H24" s="32"/>
      <c r="I24" s="38"/>
      <c r="J24" s="52"/>
      <c r="K24" s="30"/>
      <c r="L24" s="31"/>
      <c r="M24" s="31"/>
      <c r="N24" s="31"/>
      <c r="O24" s="31"/>
      <c r="P24" s="31"/>
      <c r="Q24" s="32"/>
      <c r="R24" s="30"/>
      <c r="S24" s="31"/>
      <c r="T24" s="31"/>
      <c r="U24" s="31"/>
      <c r="V24" s="31"/>
      <c r="W24" s="31"/>
      <c r="X24" s="32"/>
      <c r="Y24" s="31"/>
    </row>
    <row r="25" spans="1:25" ht="14.25" customHeight="1" x14ac:dyDescent="0.35">
      <c r="A25" s="52"/>
      <c r="B25" s="30"/>
      <c r="C25" s="31"/>
      <c r="D25" s="31"/>
      <c r="E25" s="31"/>
      <c r="F25" s="31"/>
      <c r="G25" s="31"/>
      <c r="H25" s="32"/>
      <c r="I25" s="38"/>
      <c r="J25" s="52"/>
      <c r="K25" s="30"/>
      <c r="L25" s="31"/>
      <c r="M25" s="31"/>
      <c r="N25" s="31"/>
      <c r="O25" s="31"/>
      <c r="P25" s="31"/>
      <c r="Q25" s="32"/>
      <c r="R25" s="30"/>
      <c r="S25" s="31"/>
      <c r="T25" s="31"/>
      <c r="U25" s="31"/>
      <c r="V25" s="31"/>
      <c r="W25" s="31"/>
      <c r="X25" s="32"/>
      <c r="Y25" s="31"/>
    </row>
    <row r="26" spans="1:25" ht="14.25" customHeight="1" x14ac:dyDescent="0.35">
      <c r="A26" s="52"/>
      <c r="B26" s="30"/>
      <c r="C26" s="31"/>
      <c r="D26" s="31"/>
      <c r="E26" s="31"/>
      <c r="F26" s="31"/>
      <c r="G26" s="31"/>
      <c r="H26" s="32"/>
      <c r="I26" s="38"/>
      <c r="J26" s="52"/>
      <c r="K26" s="30"/>
      <c r="L26" s="31"/>
      <c r="M26" s="31"/>
      <c r="N26" s="31"/>
      <c r="O26" s="31"/>
      <c r="P26" s="31"/>
      <c r="Q26" s="32"/>
      <c r="R26" s="30"/>
      <c r="S26" s="31"/>
      <c r="T26" s="31"/>
      <c r="U26" s="31"/>
      <c r="V26" s="31"/>
      <c r="W26" s="31"/>
      <c r="X26" s="32"/>
      <c r="Y26" s="31"/>
    </row>
    <row r="27" spans="1:25" ht="14.25" customHeight="1" x14ac:dyDescent="0.35">
      <c r="A27" s="52"/>
      <c r="B27" s="30"/>
      <c r="C27" s="31"/>
      <c r="D27" s="31"/>
      <c r="E27" s="31"/>
      <c r="F27" s="31"/>
      <c r="G27" s="31"/>
      <c r="H27" s="32"/>
      <c r="I27" s="38"/>
      <c r="J27" s="52"/>
      <c r="K27" s="30"/>
      <c r="L27" s="31"/>
      <c r="M27" s="31"/>
      <c r="N27" s="31"/>
      <c r="O27" s="31"/>
      <c r="P27" s="31"/>
      <c r="Q27" s="32"/>
      <c r="R27" s="30"/>
      <c r="S27" s="31"/>
      <c r="T27" s="31"/>
      <c r="U27" s="31"/>
      <c r="V27" s="31"/>
      <c r="W27" s="31"/>
      <c r="X27" s="32"/>
      <c r="Y27" s="31"/>
    </row>
    <row r="28" spans="1:25" ht="14.25" customHeight="1" x14ac:dyDescent="0.35">
      <c r="A28" s="52"/>
      <c r="B28" s="30"/>
      <c r="C28" s="31"/>
      <c r="D28" s="31"/>
      <c r="E28" s="31"/>
      <c r="F28" s="31"/>
      <c r="G28" s="31"/>
      <c r="H28" s="32"/>
      <c r="I28" s="38"/>
      <c r="J28" s="52"/>
      <c r="K28" s="30"/>
      <c r="L28" s="31"/>
      <c r="M28" s="31"/>
      <c r="N28" s="31"/>
      <c r="O28" s="31"/>
      <c r="P28" s="31"/>
      <c r="Q28" s="32"/>
      <c r="R28" s="30"/>
      <c r="S28" s="31"/>
      <c r="T28" s="31"/>
      <c r="U28" s="31"/>
      <c r="V28" s="31"/>
      <c r="W28" s="31"/>
      <c r="X28" s="32"/>
      <c r="Y28" s="31"/>
    </row>
    <row r="29" spans="1:25" ht="14.25" customHeight="1" x14ac:dyDescent="0.35">
      <c r="A29" s="52"/>
      <c r="B29" s="30"/>
      <c r="C29" s="31"/>
      <c r="D29" s="31"/>
      <c r="E29" s="31"/>
      <c r="F29" s="31"/>
      <c r="G29" s="31"/>
      <c r="H29" s="32"/>
      <c r="I29" s="38"/>
      <c r="J29" s="52"/>
      <c r="K29" s="30"/>
      <c r="L29" s="31"/>
      <c r="M29" s="31"/>
      <c r="N29" s="31"/>
      <c r="O29" s="31"/>
      <c r="P29" s="31"/>
      <c r="Q29" s="32"/>
      <c r="R29" s="30"/>
      <c r="S29" s="31"/>
      <c r="T29" s="31"/>
      <c r="U29" s="31"/>
      <c r="V29" s="31"/>
      <c r="W29" s="31"/>
      <c r="X29" s="32"/>
      <c r="Y29" s="31"/>
    </row>
    <row r="30" spans="1:25" ht="14.25" customHeight="1" x14ac:dyDescent="0.35">
      <c r="A30" s="52"/>
      <c r="B30" s="30"/>
      <c r="C30" s="31"/>
      <c r="D30" s="31"/>
      <c r="E30" s="31"/>
      <c r="F30" s="31"/>
      <c r="G30" s="31"/>
      <c r="H30" s="32"/>
      <c r="I30" s="38"/>
      <c r="J30" s="52"/>
      <c r="K30" s="30"/>
      <c r="L30" s="31"/>
      <c r="M30" s="31"/>
      <c r="N30" s="31"/>
      <c r="O30" s="31"/>
      <c r="P30" s="31"/>
      <c r="Q30" s="32"/>
      <c r="R30" s="30"/>
      <c r="S30" s="31"/>
      <c r="T30" s="31"/>
      <c r="U30" s="31"/>
      <c r="V30" s="31"/>
      <c r="W30" s="31"/>
      <c r="X30" s="32"/>
      <c r="Y30" s="31"/>
    </row>
    <row r="31" spans="1:25" ht="14.25" customHeight="1" x14ac:dyDescent="0.35">
      <c r="A31" s="52"/>
      <c r="B31" s="30"/>
      <c r="C31" s="31"/>
      <c r="D31" s="31"/>
      <c r="E31" s="31"/>
      <c r="F31" s="31"/>
      <c r="G31" s="31"/>
      <c r="H31" s="32"/>
      <c r="I31" s="38"/>
      <c r="J31" s="52"/>
      <c r="K31" s="30"/>
      <c r="L31" s="31"/>
      <c r="M31" s="31"/>
      <c r="N31" s="31"/>
      <c r="O31" s="31"/>
      <c r="P31" s="31"/>
      <c r="Q31" s="32"/>
      <c r="R31" s="30"/>
      <c r="S31" s="31"/>
      <c r="T31" s="31"/>
      <c r="U31" s="31"/>
      <c r="V31" s="31"/>
      <c r="W31" s="31"/>
      <c r="X31" s="32"/>
      <c r="Y31" s="31"/>
    </row>
    <row r="32" spans="1:25" ht="14.25" customHeight="1" x14ac:dyDescent="0.35">
      <c r="A32" s="52"/>
      <c r="B32" s="30"/>
      <c r="C32" s="31"/>
      <c r="D32" s="31"/>
      <c r="E32" s="31"/>
      <c r="F32" s="31"/>
      <c r="G32" s="31"/>
      <c r="H32" s="32"/>
      <c r="I32" s="38"/>
      <c r="J32" s="52"/>
      <c r="K32" s="30"/>
      <c r="L32" s="31"/>
      <c r="M32" s="31"/>
      <c r="N32" s="31"/>
      <c r="O32" s="31"/>
      <c r="P32" s="31"/>
      <c r="Q32" s="32"/>
      <c r="R32" s="30"/>
      <c r="S32" s="31"/>
      <c r="T32" s="31"/>
      <c r="U32" s="31"/>
      <c r="V32" s="31"/>
      <c r="W32" s="31"/>
      <c r="X32" s="32"/>
      <c r="Y32" s="31"/>
    </row>
    <row r="33" spans="1:25" ht="14.25" customHeight="1" x14ac:dyDescent="0.35">
      <c r="A33" s="52"/>
      <c r="B33" s="30"/>
      <c r="C33" s="31"/>
      <c r="D33" s="31"/>
      <c r="E33" s="31"/>
      <c r="F33" s="31"/>
      <c r="G33" s="31"/>
      <c r="H33" s="32"/>
      <c r="I33" s="38"/>
      <c r="J33" s="52"/>
      <c r="K33" s="30"/>
      <c r="L33" s="31"/>
      <c r="M33" s="31"/>
      <c r="N33" s="31"/>
      <c r="O33" s="31"/>
      <c r="P33" s="31"/>
      <c r="Q33" s="32"/>
      <c r="R33" s="30"/>
      <c r="S33" s="31"/>
      <c r="T33" s="31"/>
      <c r="U33" s="31"/>
      <c r="V33" s="31"/>
      <c r="W33" s="31"/>
      <c r="X33" s="32"/>
      <c r="Y33" s="31"/>
    </row>
    <row r="34" spans="1:25" ht="14.25" customHeight="1" x14ac:dyDescent="0.35">
      <c r="A34" s="52"/>
      <c r="B34" s="30"/>
      <c r="C34" s="31"/>
      <c r="D34" s="31"/>
      <c r="E34" s="31"/>
      <c r="F34" s="31"/>
      <c r="G34" s="31"/>
      <c r="H34" s="32"/>
      <c r="I34" s="38"/>
      <c r="J34" s="52"/>
      <c r="K34" s="30"/>
      <c r="L34" s="31"/>
      <c r="M34" s="31"/>
      <c r="N34" s="31"/>
      <c r="O34" s="31"/>
      <c r="P34" s="31"/>
      <c r="Q34" s="32"/>
      <c r="R34" s="30"/>
      <c r="S34" s="31"/>
      <c r="T34" s="31"/>
      <c r="U34" s="31"/>
      <c r="V34" s="31"/>
      <c r="W34" s="31"/>
      <c r="X34" s="32"/>
      <c r="Y34" s="31"/>
    </row>
    <row r="35" spans="1:25" ht="14.25" customHeight="1" x14ac:dyDescent="0.35">
      <c r="A35" s="52"/>
      <c r="B35" s="30"/>
      <c r="C35" s="31"/>
      <c r="D35" s="31"/>
      <c r="E35" s="31"/>
      <c r="F35" s="31"/>
      <c r="G35" s="31"/>
      <c r="H35" s="32"/>
      <c r="I35" s="38"/>
      <c r="J35" s="52"/>
      <c r="K35" s="30"/>
      <c r="L35" s="31"/>
      <c r="M35" s="31"/>
      <c r="N35" s="31"/>
      <c r="O35" s="31"/>
      <c r="P35" s="31"/>
      <c r="Q35" s="32"/>
      <c r="R35" s="30"/>
      <c r="S35" s="31"/>
      <c r="T35" s="31"/>
      <c r="U35" s="31"/>
      <c r="V35" s="31"/>
      <c r="W35" s="31"/>
      <c r="X35" s="32"/>
      <c r="Y35" s="31"/>
    </row>
    <row r="36" spans="1:25" ht="14.25" customHeight="1" x14ac:dyDescent="0.35">
      <c r="A36" s="52"/>
      <c r="B36" s="30"/>
      <c r="C36" s="31"/>
      <c r="D36" s="31"/>
      <c r="E36" s="31"/>
      <c r="F36" s="31"/>
      <c r="G36" s="31"/>
      <c r="H36" s="32"/>
      <c r="I36" s="38"/>
      <c r="J36" s="52"/>
      <c r="K36" s="30"/>
      <c r="L36" s="31"/>
      <c r="M36" s="31"/>
      <c r="N36" s="31"/>
      <c r="O36" s="31"/>
      <c r="P36" s="31"/>
      <c r="Q36" s="32"/>
      <c r="R36" s="30"/>
      <c r="S36" s="31"/>
      <c r="T36" s="31"/>
      <c r="U36" s="31"/>
      <c r="V36" s="31"/>
      <c r="W36" s="31"/>
      <c r="X36" s="32"/>
      <c r="Y36" s="31"/>
    </row>
    <row r="37" spans="1:25" ht="14.25" customHeight="1" x14ac:dyDescent="0.35">
      <c r="A37" s="52"/>
      <c r="B37" s="33"/>
      <c r="C37" s="34"/>
      <c r="D37" s="34"/>
      <c r="E37" s="34"/>
      <c r="F37" s="34"/>
      <c r="G37" s="34"/>
      <c r="H37" s="35"/>
      <c r="I37" s="38"/>
      <c r="J37" s="52"/>
      <c r="K37" s="33"/>
      <c r="L37" s="34"/>
      <c r="M37" s="34"/>
      <c r="N37" s="34"/>
      <c r="O37" s="34"/>
      <c r="P37" s="34"/>
      <c r="Q37" s="35"/>
      <c r="R37" s="33"/>
      <c r="S37" s="34"/>
      <c r="T37" s="34"/>
      <c r="U37" s="34"/>
      <c r="V37" s="34"/>
      <c r="W37" s="34"/>
      <c r="X37" s="35"/>
      <c r="Y37" s="31"/>
    </row>
    <row r="38" spans="1:25" ht="14.25" customHeight="1" x14ac:dyDescent="0.35">
      <c r="A38" s="56" t="s">
        <v>129</v>
      </c>
      <c r="B38" s="27"/>
      <c r="C38" s="28"/>
      <c r="D38" s="28"/>
      <c r="E38" s="28"/>
      <c r="F38" s="28"/>
      <c r="G38" s="28"/>
      <c r="H38" s="29"/>
      <c r="I38" s="38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</row>
    <row r="39" spans="1:25" ht="14.25" customHeight="1" x14ac:dyDescent="0.35">
      <c r="A39" s="52"/>
      <c r="B39" s="30"/>
      <c r="C39" s="31"/>
      <c r="D39" s="31"/>
      <c r="E39" s="31"/>
      <c r="F39" s="31"/>
      <c r="G39" s="31"/>
      <c r="H39" s="32"/>
      <c r="I39" s="38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</row>
    <row r="40" spans="1:25" ht="14.25" customHeight="1" x14ac:dyDescent="0.35">
      <c r="A40" s="52"/>
      <c r="B40" s="30"/>
      <c r="C40" s="31"/>
      <c r="D40" s="31"/>
      <c r="E40" s="31"/>
      <c r="F40" s="31"/>
      <c r="G40" s="31"/>
      <c r="H40" s="32"/>
      <c r="I40" s="38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</row>
    <row r="41" spans="1:25" ht="14.25" customHeight="1" x14ac:dyDescent="0.35">
      <c r="A41" s="52"/>
      <c r="B41" s="30"/>
      <c r="C41" s="31"/>
      <c r="D41" s="31"/>
      <c r="E41" s="31"/>
      <c r="F41" s="31"/>
      <c r="G41" s="31"/>
      <c r="H41" s="32"/>
      <c r="I41" s="38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</row>
    <row r="42" spans="1:25" ht="14.25" customHeight="1" x14ac:dyDescent="0.35">
      <c r="A42" s="52"/>
      <c r="B42" s="30"/>
      <c r="C42" s="31"/>
      <c r="D42" s="31"/>
      <c r="E42" s="31"/>
      <c r="F42" s="31"/>
      <c r="G42" s="31"/>
      <c r="H42" s="32"/>
      <c r="I42" s="38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</row>
    <row r="43" spans="1:25" ht="14.25" customHeight="1" x14ac:dyDescent="0.35">
      <c r="A43" s="52"/>
      <c r="B43" s="30"/>
      <c r="C43" s="31"/>
      <c r="D43" s="31"/>
      <c r="E43" s="31"/>
      <c r="F43" s="31"/>
      <c r="G43" s="31"/>
      <c r="H43" s="32"/>
      <c r="I43" s="38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</row>
    <row r="44" spans="1:25" ht="14.25" customHeight="1" x14ac:dyDescent="0.35">
      <c r="A44" s="52"/>
      <c r="B44" s="30"/>
      <c r="C44" s="31"/>
      <c r="D44" s="31"/>
      <c r="E44" s="31"/>
      <c r="F44" s="31"/>
      <c r="G44" s="31"/>
      <c r="H44" s="32"/>
      <c r="I44" s="38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</row>
    <row r="45" spans="1:25" ht="14.25" customHeight="1" x14ac:dyDescent="0.35">
      <c r="A45" s="52"/>
      <c r="B45" s="30"/>
      <c r="C45" s="31"/>
      <c r="D45" s="31"/>
      <c r="E45" s="31"/>
      <c r="F45" s="31"/>
      <c r="G45" s="31"/>
      <c r="H45" s="32"/>
      <c r="I45" s="38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</row>
    <row r="46" spans="1:25" ht="14.25" customHeight="1" x14ac:dyDescent="0.35">
      <c r="A46" s="52"/>
      <c r="B46" s="30"/>
      <c r="C46" s="31"/>
      <c r="D46" s="31"/>
      <c r="E46" s="31"/>
      <c r="F46" s="31"/>
      <c r="G46" s="31"/>
      <c r="H46" s="32"/>
      <c r="I46" s="38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</row>
    <row r="47" spans="1:25" ht="14.25" customHeight="1" x14ac:dyDescent="0.35">
      <c r="A47" s="52"/>
      <c r="B47" s="30"/>
      <c r="C47" s="31"/>
      <c r="D47" s="31"/>
      <c r="E47" s="31"/>
      <c r="F47" s="31"/>
      <c r="G47" s="31"/>
      <c r="H47" s="32"/>
      <c r="I47" s="38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</row>
    <row r="48" spans="1:25" ht="14.25" customHeight="1" x14ac:dyDescent="0.35">
      <c r="A48" s="52"/>
      <c r="B48" s="30"/>
      <c r="C48" s="31"/>
      <c r="D48" s="31"/>
      <c r="E48" s="31"/>
      <c r="F48" s="31"/>
      <c r="G48" s="31"/>
      <c r="H48" s="32"/>
      <c r="I48" s="38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</row>
    <row r="49" spans="1:25" ht="14.25" customHeight="1" x14ac:dyDescent="0.35">
      <c r="A49" s="52"/>
      <c r="B49" s="30"/>
      <c r="C49" s="31"/>
      <c r="D49" s="31"/>
      <c r="E49" s="31"/>
      <c r="F49" s="31"/>
      <c r="G49" s="31"/>
      <c r="H49" s="32"/>
      <c r="I49" s="38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</row>
    <row r="50" spans="1:25" ht="14.25" customHeight="1" x14ac:dyDescent="0.35">
      <c r="A50" s="52"/>
      <c r="B50" s="30"/>
      <c r="C50" s="31"/>
      <c r="D50" s="31"/>
      <c r="E50" s="31"/>
      <c r="F50" s="31"/>
      <c r="G50" s="31"/>
      <c r="H50" s="32"/>
      <c r="I50" s="38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</row>
    <row r="51" spans="1:25" ht="14.25" customHeight="1" x14ac:dyDescent="0.35">
      <c r="A51" s="52"/>
      <c r="B51" s="30"/>
      <c r="C51" s="31"/>
      <c r="D51" s="31"/>
      <c r="E51" s="31"/>
      <c r="F51" s="31"/>
      <c r="G51" s="31"/>
      <c r="H51" s="32"/>
      <c r="I51" s="38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</row>
    <row r="52" spans="1:25" ht="14.25" customHeight="1" x14ac:dyDescent="0.35">
      <c r="A52" s="52"/>
      <c r="B52" s="30"/>
      <c r="C52" s="31"/>
      <c r="D52" s="31"/>
      <c r="E52" s="31"/>
      <c r="F52" s="31"/>
      <c r="G52" s="31"/>
      <c r="H52" s="32"/>
      <c r="I52" s="38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</row>
    <row r="53" spans="1:25" ht="14.25" customHeight="1" x14ac:dyDescent="0.35">
      <c r="A53" s="52"/>
      <c r="B53" s="30"/>
      <c r="C53" s="31"/>
      <c r="D53" s="31"/>
      <c r="E53" s="31"/>
      <c r="F53" s="31"/>
      <c r="G53" s="31"/>
      <c r="H53" s="32"/>
      <c r="I53" s="38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</row>
    <row r="54" spans="1:25" ht="14.25" customHeight="1" x14ac:dyDescent="0.35">
      <c r="A54" s="52"/>
      <c r="B54" s="30"/>
      <c r="C54" s="31"/>
      <c r="D54" s="31"/>
      <c r="E54" s="31"/>
      <c r="F54" s="31"/>
      <c r="G54" s="31"/>
      <c r="H54" s="32"/>
      <c r="I54" s="38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</row>
    <row r="55" spans="1:25" ht="14.25" customHeight="1" x14ac:dyDescent="0.35">
      <c r="A55" s="52"/>
      <c r="B55" s="33"/>
      <c r="C55" s="34"/>
      <c r="D55" s="34"/>
      <c r="E55" s="34"/>
      <c r="F55" s="34"/>
      <c r="G55" s="34"/>
      <c r="H55" s="35"/>
      <c r="I55" s="38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</row>
    <row r="56" spans="1:25" ht="14.25" customHeight="1" x14ac:dyDescent="0.35">
      <c r="I56" s="38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</row>
    <row r="57" spans="1:25" ht="14.25" customHeight="1" x14ac:dyDescent="0.35">
      <c r="I57" s="38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</row>
    <row r="58" spans="1:25" ht="14.25" customHeight="1" x14ac:dyDescent="0.35">
      <c r="I58" s="38"/>
    </row>
  </sheetData>
  <mergeCells count="8">
    <mergeCell ref="R1:X1"/>
    <mergeCell ref="A2:A19"/>
    <mergeCell ref="A20:A37"/>
    <mergeCell ref="A38:A55"/>
    <mergeCell ref="B1:H1"/>
    <mergeCell ref="K1:Q1"/>
    <mergeCell ref="J2:J19"/>
    <mergeCell ref="J20:J37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9CC84-D43F-4B95-852E-6DE836B403B6}">
  <sheetPr codeName="Sheet1"/>
  <dimension ref="B1:M38"/>
  <sheetViews>
    <sheetView showGridLines="0" zoomScale="80" zoomScaleNormal="80" workbookViewId="0">
      <selection activeCell="M18" sqref="M18"/>
    </sheetView>
  </sheetViews>
  <sheetFormatPr defaultRowHeight="16.5" x14ac:dyDescent="0.35"/>
  <cols>
    <col min="1" max="1" width="2.125" customWidth="1"/>
    <col min="2" max="2" width="6.75" bestFit="1" customWidth="1"/>
    <col min="3" max="3" width="26.25" bestFit="1" customWidth="1"/>
    <col min="4" max="4" width="39.75" customWidth="1"/>
    <col min="5" max="5" width="40.75" customWidth="1"/>
    <col min="6" max="6" width="33.625" customWidth="1"/>
    <col min="7" max="7" width="2.625" customWidth="1"/>
    <col min="8" max="8" width="7" customWidth="1"/>
    <col min="9" max="9" width="2.375" bestFit="1" customWidth="1"/>
    <col min="10" max="10" width="6.5" bestFit="1" customWidth="1"/>
  </cols>
  <sheetData>
    <row r="1" spans="2:13" x14ac:dyDescent="0.35">
      <c r="B1" t="s">
        <v>105</v>
      </c>
      <c r="D1" s="11" t="s">
        <v>97</v>
      </c>
      <c r="E1" t="s">
        <v>98</v>
      </c>
    </row>
    <row r="2" spans="2:13" ht="18" x14ac:dyDescent="0.35">
      <c r="B2" s="57" t="s">
        <v>15</v>
      </c>
      <c r="C2" s="58"/>
      <c r="D2" s="58"/>
      <c r="E2" s="58"/>
      <c r="F2" s="58"/>
    </row>
    <row r="3" spans="2:13" x14ac:dyDescent="0.35">
      <c r="B3" s="1" t="s">
        <v>0</v>
      </c>
      <c r="C3" s="1" t="s">
        <v>19</v>
      </c>
      <c r="D3" s="1" t="s">
        <v>18</v>
      </c>
      <c r="E3" s="1" t="s">
        <v>17</v>
      </c>
      <c r="F3" s="1" t="s">
        <v>79</v>
      </c>
      <c r="G3" s="1"/>
      <c r="H3" s="1" t="s">
        <v>1</v>
      </c>
      <c r="I3" s="3">
        <v>1</v>
      </c>
      <c r="J3" s="1" t="s">
        <v>2</v>
      </c>
      <c r="M3" t="s">
        <v>175</v>
      </c>
    </row>
    <row r="4" spans="2:13" x14ac:dyDescent="0.35">
      <c r="B4" s="1">
        <f>ROW()-3</f>
        <v>1</v>
      </c>
      <c r="C4" s="17" t="s">
        <v>109</v>
      </c>
      <c r="D4" s="17" t="s">
        <v>110</v>
      </c>
      <c r="E4" s="17" t="s">
        <v>113</v>
      </c>
      <c r="F4" s="17" t="s">
        <v>154</v>
      </c>
      <c r="G4" s="1"/>
      <c r="H4" s="1"/>
      <c r="I4" s="1"/>
      <c r="J4" s="1"/>
      <c r="M4" s="41"/>
    </row>
    <row r="5" spans="2:13" x14ac:dyDescent="0.35">
      <c r="B5" s="1">
        <f>ROW()-3</f>
        <v>2</v>
      </c>
      <c r="C5" s="18" t="s">
        <v>111</v>
      </c>
      <c r="D5" s="17" t="s">
        <v>112</v>
      </c>
      <c r="E5" s="17" t="s">
        <v>152</v>
      </c>
      <c r="F5" s="18" t="s">
        <v>155</v>
      </c>
      <c r="G5" s="1"/>
      <c r="H5" s="1"/>
      <c r="I5" s="1"/>
      <c r="J5" s="1"/>
      <c r="M5" s="42">
        <v>58</v>
      </c>
    </row>
    <row r="6" spans="2:13" x14ac:dyDescent="0.35">
      <c r="B6" s="1">
        <f>ROW()-3</f>
        <v>3</v>
      </c>
      <c r="C6" s="2" t="s">
        <v>176</v>
      </c>
      <c r="D6" s="2" t="s">
        <v>177</v>
      </c>
      <c r="E6" s="2" t="s">
        <v>178</v>
      </c>
      <c r="F6" s="18" t="s">
        <v>116</v>
      </c>
      <c r="G6" s="1"/>
      <c r="H6" s="1"/>
      <c r="I6" s="1"/>
      <c r="J6" s="1"/>
      <c r="M6" s="41">
        <v>51</v>
      </c>
    </row>
    <row r="7" spans="2:13" x14ac:dyDescent="0.35">
      <c r="B7" s="1">
        <f>ROW()-3</f>
        <v>4</v>
      </c>
      <c r="C7" s="2" t="s">
        <v>119</v>
      </c>
      <c r="D7" s="2" t="s">
        <v>120</v>
      </c>
      <c r="E7" s="2" t="s">
        <v>118</v>
      </c>
      <c r="F7" s="18" t="s">
        <v>117</v>
      </c>
      <c r="G7" s="1"/>
      <c r="H7" s="1"/>
      <c r="I7" s="1"/>
      <c r="J7" s="1"/>
      <c r="M7" s="42">
        <v>55</v>
      </c>
    </row>
    <row r="8" spans="2:13" x14ac:dyDescent="0.35">
      <c r="B8" s="1">
        <f t="shared" ref="B8:B13" si="0">ROW()-3</f>
        <v>5</v>
      </c>
      <c r="C8" s="2" t="s">
        <v>138</v>
      </c>
      <c r="D8" s="2" t="s">
        <v>137</v>
      </c>
      <c r="E8" s="2" t="s">
        <v>139</v>
      </c>
      <c r="F8" s="18" t="s">
        <v>156</v>
      </c>
      <c r="G8" s="1"/>
      <c r="H8" s="1"/>
      <c r="I8" s="1"/>
      <c r="J8" s="1"/>
      <c r="M8" s="41">
        <v>58</v>
      </c>
    </row>
    <row r="9" spans="2:13" x14ac:dyDescent="0.35">
      <c r="B9" s="1">
        <f t="shared" si="0"/>
        <v>6</v>
      </c>
      <c r="C9" s="2" t="s">
        <v>135</v>
      </c>
      <c r="D9" s="2" t="s">
        <v>134</v>
      </c>
      <c r="E9" s="2" t="s">
        <v>136</v>
      </c>
      <c r="F9" s="18" t="s">
        <v>157</v>
      </c>
      <c r="G9" s="1"/>
      <c r="H9" s="1"/>
      <c r="I9" s="1"/>
      <c r="J9" s="1"/>
      <c r="M9" s="42">
        <v>58</v>
      </c>
    </row>
    <row r="10" spans="2:13" x14ac:dyDescent="0.35">
      <c r="B10" s="1">
        <f t="shared" si="0"/>
        <v>7</v>
      </c>
      <c r="C10" s="2" t="s">
        <v>192</v>
      </c>
      <c r="D10" s="2" t="s">
        <v>193</v>
      </c>
      <c r="E10" s="2" t="s">
        <v>191</v>
      </c>
      <c r="F10" s="46" t="s">
        <v>194</v>
      </c>
      <c r="G10" s="1"/>
      <c r="H10" s="1"/>
      <c r="I10" s="1"/>
      <c r="J10" s="1"/>
    </row>
    <row r="11" spans="2:13" x14ac:dyDescent="0.35">
      <c r="B11" s="1">
        <f t="shared" si="0"/>
        <v>8</v>
      </c>
      <c r="C11" s="2" t="s">
        <v>202</v>
      </c>
      <c r="D11" s="2" t="s">
        <v>200</v>
      </c>
      <c r="E11" s="2" t="s">
        <v>201</v>
      </c>
      <c r="F11" s="46" t="s">
        <v>199</v>
      </c>
      <c r="G11" s="1"/>
      <c r="H11" s="1"/>
      <c r="I11" s="1"/>
      <c r="J11" s="1"/>
    </row>
    <row r="12" spans="2:13" x14ac:dyDescent="0.35">
      <c r="B12" s="1">
        <f t="shared" si="0"/>
        <v>9</v>
      </c>
      <c r="C12" s="2"/>
      <c r="D12" s="2"/>
      <c r="E12" s="2"/>
      <c r="F12" s="2"/>
      <c r="G12" s="1"/>
      <c r="H12" s="1"/>
      <c r="I12" s="1"/>
      <c r="J12" s="1"/>
    </row>
    <row r="13" spans="2:13" x14ac:dyDescent="0.35">
      <c r="B13" s="1">
        <f t="shared" si="0"/>
        <v>10</v>
      </c>
      <c r="C13" s="2"/>
      <c r="D13" s="2"/>
      <c r="E13" s="2"/>
      <c r="F13" s="2"/>
      <c r="G13" s="1"/>
      <c r="H13" s="1"/>
      <c r="I13" s="1"/>
      <c r="J13" s="1"/>
    </row>
    <row r="15" spans="2:13" ht="18" x14ac:dyDescent="0.35">
      <c r="B15" s="59" t="s">
        <v>16</v>
      </c>
      <c r="C15" s="60"/>
      <c r="D15" s="60"/>
      <c r="E15" s="60"/>
      <c r="H15" s="1" t="s">
        <v>1</v>
      </c>
      <c r="I15" s="3">
        <v>1</v>
      </c>
      <c r="J15" s="1" t="s">
        <v>2</v>
      </c>
    </row>
    <row r="16" spans="2:13" x14ac:dyDescent="0.35">
      <c r="B16" s="1" t="s">
        <v>0</v>
      </c>
      <c r="C16" s="1" t="s">
        <v>18</v>
      </c>
      <c r="D16" s="1" t="s">
        <v>17</v>
      </c>
      <c r="E16" s="1" t="s">
        <v>3</v>
      </c>
    </row>
    <row r="17" spans="2:13" x14ac:dyDescent="0.35">
      <c r="B17" s="1">
        <f t="shared" ref="B17:B26" si="1">ROW()-16</f>
        <v>1</v>
      </c>
      <c r="C17" s="2"/>
      <c r="D17" s="2"/>
      <c r="E17" s="2"/>
    </row>
    <row r="18" spans="2:13" x14ac:dyDescent="0.35">
      <c r="B18" s="1">
        <f t="shared" si="1"/>
        <v>2</v>
      </c>
      <c r="C18" s="2"/>
      <c r="D18" s="2"/>
      <c r="E18" s="2"/>
    </row>
    <row r="19" spans="2:13" x14ac:dyDescent="0.35">
      <c r="B19" s="1">
        <f t="shared" si="1"/>
        <v>3</v>
      </c>
      <c r="C19" s="2"/>
      <c r="D19" s="2"/>
      <c r="E19" s="2"/>
    </row>
    <row r="20" spans="2:13" x14ac:dyDescent="0.35">
      <c r="B20" s="1">
        <f t="shared" si="1"/>
        <v>4</v>
      </c>
      <c r="C20" s="2"/>
      <c r="D20" s="2"/>
      <c r="E20" s="2"/>
    </row>
    <row r="21" spans="2:13" x14ac:dyDescent="0.35">
      <c r="B21" s="1">
        <f t="shared" si="1"/>
        <v>5</v>
      </c>
      <c r="C21" s="2"/>
      <c r="D21" s="2"/>
      <c r="E21" s="2"/>
    </row>
    <row r="22" spans="2:13" x14ac:dyDescent="0.35">
      <c r="B22" s="1">
        <f t="shared" si="1"/>
        <v>6</v>
      </c>
      <c r="C22" s="2"/>
      <c r="D22" s="2"/>
      <c r="E22" s="2"/>
    </row>
    <row r="23" spans="2:13" x14ac:dyDescent="0.35">
      <c r="B23" s="1">
        <f t="shared" si="1"/>
        <v>7</v>
      </c>
      <c r="C23" s="2"/>
      <c r="D23" s="2"/>
      <c r="E23" s="2"/>
    </row>
    <row r="24" spans="2:13" x14ac:dyDescent="0.35">
      <c r="B24" s="1">
        <f t="shared" si="1"/>
        <v>8</v>
      </c>
      <c r="C24" s="2"/>
      <c r="D24" s="2"/>
      <c r="E24" s="2"/>
    </row>
    <row r="25" spans="2:13" x14ac:dyDescent="0.35">
      <c r="B25" s="1">
        <f t="shared" si="1"/>
        <v>9</v>
      </c>
      <c r="C25" s="2"/>
      <c r="D25" s="2"/>
      <c r="E25" s="2"/>
    </row>
    <row r="26" spans="2:13" x14ac:dyDescent="0.35">
      <c r="B26" s="1">
        <f t="shared" si="1"/>
        <v>10</v>
      </c>
      <c r="C26" s="2"/>
      <c r="D26" s="2"/>
      <c r="E26" s="2"/>
    </row>
    <row r="27" spans="2:13" x14ac:dyDescent="0.35">
      <c r="M27" s="16"/>
    </row>
    <row r="28" spans="2:13" ht="18" x14ac:dyDescent="0.35">
      <c r="B28" s="59" t="s">
        <v>34</v>
      </c>
      <c r="C28" s="60"/>
      <c r="D28" s="60"/>
      <c r="E28" s="60"/>
      <c r="M28" s="16"/>
    </row>
    <row r="29" spans="2:13" x14ac:dyDescent="0.35">
      <c r="B29" s="1" t="s">
        <v>32</v>
      </c>
      <c r="C29" s="1" t="s">
        <v>30</v>
      </c>
      <c r="D29" s="1" t="s">
        <v>31</v>
      </c>
      <c r="E29" s="1" t="s">
        <v>33</v>
      </c>
    </row>
    <row r="30" spans="2:13" x14ac:dyDescent="0.35">
      <c r="B30" s="1">
        <f t="shared" ref="B30:B38" si="2">ROW()-29</f>
        <v>1</v>
      </c>
    </row>
    <row r="31" spans="2:13" x14ac:dyDescent="0.35">
      <c r="B31" s="1">
        <f t="shared" si="2"/>
        <v>2</v>
      </c>
    </row>
    <row r="32" spans="2:13" x14ac:dyDescent="0.35">
      <c r="B32" s="1">
        <f t="shared" si="2"/>
        <v>3</v>
      </c>
    </row>
    <row r="33" spans="2:2" x14ac:dyDescent="0.35">
      <c r="B33" s="1">
        <f t="shared" si="2"/>
        <v>4</v>
      </c>
    </row>
    <row r="34" spans="2:2" x14ac:dyDescent="0.35">
      <c r="B34" s="1">
        <f t="shared" si="2"/>
        <v>5</v>
      </c>
    </row>
    <row r="35" spans="2:2" x14ac:dyDescent="0.35">
      <c r="B35" s="1">
        <f t="shared" si="2"/>
        <v>6</v>
      </c>
    </row>
    <row r="36" spans="2:2" x14ac:dyDescent="0.35">
      <c r="B36" s="1">
        <f t="shared" si="2"/>
        <v>7</v>
      </c>
    </row>
    <row r="37" spans="2:2" x14ac:dyDescent="0.35">
      <c r="B37" s="1">
        <f t="shared" si="2"/>
        <v>8</v>
      </c>
    </row>
    <row r="38" spans="2:2" x14ac:dyDescent="0.35">
      <c r="B38" s="1">
        <f t="shared" si="2"/>
        <v>9</v>
      </c>
    </row>
  </sheetData>
  <dataConsolidate/>
  <mergeCells count="3">
    <mergeCell ref="B2:F2"/>
    <mergeCell ref="B15:E15"/>
    <mergeCell ref="B28:E28"/>
  </mergeCells>
  <phoneticPr fontId="4" type="noConversion"/>
  <dataValidations count="1">
    <dataValidation type="whole" operator="greaterThan" allowBlank="1" showInputMessage="1" showErrorMessage="1" sqref="I3 I15 M4:M9" xr:uid="{9740B056-AA6C-4AEC-A5D0-BC2916E1473E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ExportReport">
                <anchor moveWithCells="1" sizeWithCells="1">
                  <from>
                    <xdr:col>10</xdr:col>
                    <xdr:colOff>142875</xdr:colOff>
                    <xdr:row>2</xdr:row>
                    <xdr:rowOff>19050</xdr:rowOff>
                  </from>
                  <to>
                    <xdr:col>11</xdr:col>
                    <xdr:colOff>257175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47D53-931E-4712-97EC-137D3A29804C}">
  <sheetPr codeName="Sheet8"/>
  <dimension ref="B2:Z68"/>
  <sheetViews>
    <sheetView showGridLines="0" zoomScale="85" zoomScaleNormal="85" workbookViewId="0">
      <selection activeCell="U4" sqref="U4:U9"/>
    </sheetView>
  </sheetViews>
  <sheetFormatPr defaultRowHeight="16.5" x14ac:dyDescent="0.35"/>
  <cols>
    <col min="1" max="1" width="1.75" customWidth="1"/>
    <col min="2" max="2" width="6.75" bestFit="1" customWidth="1"/>
    <col min="3" max="3" width="9.25" bestFit="1" customWidth="1"/>
    <col min="4" max="4" width="26.375" bestFit="1" customWidth="1"/>
    <col min="5" max="5" width="10.25" bestFit="1" customWidth="1"/>
    <col min="6" max="6" width="10.5" bestFit="1" customWidth="1"/>
    <col min="7" max="7" width="1.75" customWidth="1"/>
    <col min="8" max="8" width="6.75" bestFit="1" customWidth="1"/>
    <col min="9" max="9" width="9.25" bestFit="1" customWidth="1"/>
    <col min="10" max="10" width="26.375" bestFit="1" customWidth="1"/>
    <col min="11" max="11" width="10.25" bestFit="1" customWidth="1"/>
    <col min="12" max="12" width="10.5" bestFit="1" customWidth="1"/>
    <col min="13" max="13" width="1.75" customWidth="1"/>
    <col min="14" max="14" width="6.75" bestFit="1" customWidth="1"/>
    <col min="15" max="15" width="9.25" bestFit="1" customWidth="1"/>
    <col min="16" max="16" width="26.375" bestFit="1" customWidth="1"/>
    <col min="17" max="17" width="10.25" bestFit="1" customWidth="1"/>
    <col min="18" max="18" width="10.5" bestFit="1" customWidth="1"/>
    <col min="19" max="19" width="2.25" customWidth="1"/>
  </cols>
  <sheetData>
    <row r="2" spans="2:25" x14ac:dyDescent="0.35">
      <c r="B2" s="63" t="s">
        <v>73</v>
      </c>
      <c r="C2" s="64"/>
      <c r="D2" s="64"/>
      <c r="E2" s="64"/>
      <c r="F2" s="65"/>
      <c r="H2" s="63" t="s">
        <v>74</v>
      </c>
      <c r="I2" s="64"/>
      <c r="J2" s="64"/>
      <c r="K2" s="64"/>
      <c r="L2" s="65"/>
      <c r="N2" s="63" t="s">
        <v>75</v>
      </c>
      <c r="O2" s="64"/>
      <c r="P2" s="64"/>
      <c r="Q2" s="64"/>
      <c r="R2" s="65"/>
      <c r="T2" s="61" t="s">
        <v>91</v>
      </c>
      <c r="U2" s="62"/>
    </row>
    <row r="3" spans="2:25" x14ac:dyDescent="0.35">
      <c r="T3" s="8" t="s">
        <v>0</v>
      </c>
      <c r="U3" s="8" t="s">
        <v>90</v>
      </c>
    </row>
    <row r="4" spans="2:25" x14ac:dyDescent="0.35">
      <c r="B4" t="s">
        <v>0</v>
      </c>
      <c r="C4" t="s">
        <v>42</v>
      </c>
      <c r="D4" t="s">
        <v>43</v>
      </c>
      <c r="H4" t="s">
        <v>0</v>
      </c>
      <c r="I4" t="s">
        <v>42</v>
      </c>
      <c r="J4" t="s">
        <v>43</v>
      </c>
      <c r="N4" t="s">
        <v>0</v>
      </c>
      <c r="O4" t="s">
        <v>42</v>
      </c>
      <c r="P4" t="s">
        <v>43</v>
      </c>
      <c r="T4" s="1">
        <v>1</v>
      </c>
      <c r="U4" s="19"/>
      <c r="V4" s="19"/>
      <c r="W4" s="19"/>
      <c r="X4" s="19"/>
      <c r="Y4" s="19"/>
    </row>
    <row r="5" spans="2:25" x14ac:dyDescent="0.35">
      <c r="B5" s="1">
        <f t="shared" ref="B5:B11" si="0">ROW()-4</f>
        <v>1</v>
      </c>
      <c r="C5" t="s">
        <v>44</v>
      </c>
      <c r="D5" s="6">
        <v>3</v>
      </c>
      <c r="H5" s="1">
        <f t="shared" ref="H5:H11" si="1">ROW()-4</f>
        <v>1</v>
      </c>
      <c r="I5" t="s">
        <v>44</v>
      </c>
      <c r="J5" s="6">
        <v>3</v>
      </c>
      <c r="N5" s="1">
        <f t="shared" ref="N5:N11" si="2">ROW()-4</f>
        <v>1</v>
      </c>
      <c r="O5" t="s">
        <v>44</v>
      </c>
      <c r="P5" s="6">
        <v>3</v>
      </c>
      <c r="T5" s="1">
        <v>2</v>
      </c>
      <c r="U5" s="19"/>
      <c r="V5" s="20"/>
      <c r="W5" s="19"/>
      <c r="X5" s="19"/>
      <c r="Y5" s="20"/>
    </row>
    <row r="6" spans="2:25" x14ac:dyDescent="0.35">
      <c r="B6" s="1">
        <f t="shared" si="0"/>
        <v>2</v>
      </c>
      <c r="C6" t="s">
        <v>45</v>
      </c>
      <c r="D6" s="6" t="s">
        <v>49</v>
      </c>
      <c r="H6" s="1">
        <f t="shared" si="1"/>
        <v>2</v>
      </c>
      <c r="I6" t="s">
        <v>45</v>
      </c>
      <c r="J6" s="6" t="s">
        <v>49</v>
      </c>
      <c r="N6" s="1">
        <f t="shared" si="2"/>
        <v>2</v>
      </c>
      <c r="O6" t="s">
        <v>45</v>
      </c>
      <c r="P6" s="6" t="s">
        <v>49</v>
      </c>
      <c r="T6" s="1">
        <v>3</v>
      </c>
      <c r="U6" s="19"/>
      <c r="V6" s="21"/>
      <c r="W6" s="19"/>
      <c r="X6" s="19"/>
      <c r="Y6" s="21"/>
    </row>
    <row r="7" spans="2:25" x14ac:dyDescent="0.35">
      <c r="B7" s="1">
        <f t="shared" si="0"/>
        <v>3</v>
      </c>
      <c r="C7" t="s">
        <v>46</v>
      </c>
      <c r="D7" s="6" t="s">
        <v>50</v>
      </c>
      <c r="H7" s="1">
        <f t="shared" si="1"/>
        <v>3</v>
      </c>
      <c r="I7" t="s">
        <v>46</v>
      </c>
      <c r="J7" s="6" t="s">
        <v>50</v>
      </c>
      <c r="N7" s="1">
        <f t="shared" si="2"/>
        <v>3</v>
      </c>
      <c r="O7" t="s">
        <v>46</v>
      </c>
      <c r="P7" s="6" t="s">
        <v>50</v>
      </c>
      <c r="T7" s="1">
        <v>4</v>
      </c>
      <c r="U7" s="20"/>
      <c r="V7" s="22"/>
      <c r="W7" s="20"/>
      <c r="X7" s="20"/>
      <c r="Y7" s="22"/>
    </row>
    <row r="8" spans="2:25" x14ac:dyDescent="0.35">
      <c r="B8" s="1">
        <f t="shared" si="0"/>
        <v>4</v>
      </c>
      <c r="C8" t="s">
        <v>47</v>
      </c>
      <c r="D8" s="6" t="s">
        <v>51</v>
      </c>
      <c r="H8" s="1">
        <f t="shared" si="1"/>
        <v>4</v>
      </c>
      <c r="I8" t="s">
        <v>47</v>
      </c>
      <c r="J8" s="6" t="s">
        <v>51</v>
      </c>
      <c r="N8" s="1">
        <f t="shared" si="2"/>
        <v>4</v>
      </c>
      <c r="O8" t="s">
        <v>47</v>
      </c>
      <c r="P8" s="6" t="s">
        <v>51</v>
      </c>
      <c r="T8" s="1">
        <v>5</v>
      </c>
      <c r="U8" s="20"/>
      <c r="V8" s="23"/>
      <c r="W8" s="20"/>
      <c r="X8" s="20"/>
      <c r="Y8" s="23"/>
    </row>
    <row r="9" spans="2:25" x14ac:dyDescent="0.35">
      <c r="B9" s="1">
        <f t="shared" si="0"/>
        <v>5</v>
      </c>
      <c r="C9" t="s">
        <v>13</v>
      </c>
      <c r="D9" s="6" t="s">
        <v>52</v>
      </c>
      <c r="H9" s="1">
        <f t="shared" si="1"/>
        <v>5</v>
      </c>
      <c r="I9" t="s">
        <v>13</v>
      </c>
      <c r="J9" s="6" t="s">
        <v>99</v>
      </c>
      <c r="N9" s="1">
        <f t="shared" si="2"/>
        <v>5</v>
      </c>
      <c r="O9" t="s">
        <v>13</v>
      </c>
      <c r="P9" s="6" t="s">
        <v>52</v>
      </c>
      <c r="T9" s="1">
        <v>6</v>
      </c>
      <c r="U9" s="20"/>
      <c r="V9" s="24"/>
      <c r="W9" s="20"/>
      <c r="X9" s="20"/>
      <c r="Y9" s="24"/>
    </row>
    <row r="10" spans="2:25" x14ac:dyDescent="0.35">
      <c r="B10" s="1">
        <f t="shared" si="0"/>
        <v>6</v>
      </c>
      <c r="C10" t="s">
        <v>48</v>
      </c>
      <c r="D10" s="6" t="s">
        <v>53</v>
      </c>
      <c r="H10" s="1">
        <f t="shared" si="1"/>
        <v>6</v>
      </c>
      <c r="I10" t="s">
        <v>48</v>
      </c>
      <c r="J10" s="6" t="s">
        <v>53</v>
      </c>
      <c r="N10" s="1">
        <f t="shared" si="2"/>
        <v>6</v>
      </c>
      <c r="O10" t="s">
        <v>48</v>
      </c>
      <c r="P10" s="6" t="s">
        <v>53</v>
      </c>
      <c r="T10" s="1">
        <v>7</v>
      </c>
      <c r="U10" s="47"/>
      <c r="X10" s="21"/>
      <c r="Y10" s="47"/>
    </row>
    <row r="11" spans="2:25" x14ac:dyDescent="0.35">
      <c r="B11" s="1">
        <f t="shared" si="0"/>
        <v>7</v>
      </c>
      <c r="C11" t="s">
        <v>55</v>
      </c>
      <c r="D11" s="6" t="s">
        <v>54</v>
      </c>
      <c r="H11" s="1">
        <f t="shared" si="1"/>
        <v>7</v>
      </c>
      <c r="I11" t="s">
        <v>55</v>
      </c>
      <c r="J11" s="6" t="s">
        <v>54</v>
      </c>
      <c r="N11" s="1">
        <f t="shared" si="2"/>
        <v>7</v>
      </c>
      <c r="O11" t="s">
        <v>55</v>
      </c>
      <c r="P11" s="6" t="s">
        <v>54</v>
      </c>
      <c r="T11" s="1">
        <v>8</v>
      </c>
      <c r="U11" s="49"/>
      <c r="X11" s="21"/>
      <c r="Y11" s="49"/>
    </row>
    <row r="12" spans="2:25" ht="33" x14ac:dyDescent="0.35">
      <c r="B12" s="1">
        <f>ROW()-4</f>
        <v>8</v>
      </c>
      <c r="C12" t="s">
        <v>82</v>
      </c>
      <c r="D12" s="7" t="s">
        <v>107</v>
      </c>
      <c r="H12" s="1">
        <f>ROW()-4</f>
        <v>8</v>
      </c>
      <c r="I12" t="s">
        <v>82</v>
      </c>
      <c r="J12" s="7" t="s">
        <v>100</v>
      </c>
      <c r="N12" s="1">
        <f>ROW()-4</f>
        <v>8</v>
      </c>
      <c r="O12" t="s">
        <v>82</v>
      </c>
      <c r="P12" s="7" t="s">
        <v>81</v>
      </c>
      <c r="T12" s="1">
        <v>9</v>
      </c>
      <c r="U12" s="50"/>
      <c r="X12" s="21"/>
      <c r="Y12" s="50"/>
    </row>
    <row r="13" spans="2:25" x14ac:dyDescent="0.35">
      <c r="T13" s="1">
        <v>10</v>
      </c>
      <c r="U13" s="48"/>
      <c r="X13" s="22"/>
      <c r="Y13" s="48"/>
    </row>
    <row r="14" spans="2:25" x14ac:dyDescent="0.35">
      <c r="B14" t="s">
        <v>24</v>
      </c>
      <c r="C14" t="s">
        <v>25</v>
      </c>
      <c r="D14" t="s">
        <v>26</v>
      </c>
      <c r="E14" t="s">
        <v>27</v>
      </c>
      <c r="F14" t="s">
        <v>28</v>
      </c>
      <c r="H14" t="s">
        <v>24</v>
      </c>
      <c r="I14" t="s">
        <v>25</v>
      </c>
      <c r="J14" t="s">
        <v>26</v>
      </c>
      <c r="K14" t="s">
        <v>27</v>
      </c>
      <c r="L14" t="s">
        <v>28</v>
      </c>
      <c r="N14" t="s">
        <v>24</v>
      </c>
      <c r="O14" t="s">
        <v>25</v>
      </c>
      <c r="P14" t="s">
        <v>26</v>
      </c>
      <c r="Q14" t="s">
        <v>27</v>
      </c>
      <c r="R14" t="s">
        <v>28</v>
      </c>
      <c r="T14" s="1">
        <v>11</v>
      </c>
      <c r="U14" s="22"/>
      <c r="X14" s="22"/>
    </row>
    <row r="15" spans="2:25" x14ac:dyDescent="0.35">
      <c r="B15" s="1">
        <f t="shared" ref="B15:B34" si="3">ROW()-14</f>
        <v>1</v>
      </c>
      <c r="C15" t="s">
        <v>56</v>
      </c>
      <c r="H15" s="1">
        <f t="shared" ref="H15:H34" si="4">ROW()-14</f>
        <v>1</v>
      </c>
      <c r="I15" t="s">
        <v>56</v>
      </c>
      <c r="N15" s="1">
        <f t="shared" ref="N15:N34" si="5">ROW()-14</f>
        <v>1</v>
      </c>
      <c r="O15" t="s">
        <v>56</v>
      </c>
      <c r="T15" s="1">
        <v>12</v>
      </c>
      <c r="U15" s="22"/>
      <c r="X15" s="22"/>
    </row>
    <row r="16" spans="2:25" x14ac:dyDescent="0.35">
      <c r="B16" s="1">
        <f t="shared" si="3"/>
        <v>2</v>
      </c>
      <c r="C16" t="s">
        <v>57</v>
      </c>
      <c r="D16" t="s">
        <v>62</v>
      </c>
      <c r="E16" t="s">
        <v>69</v>
      </c>
      <c r="H16" s="1">
        <f t="shared" si="4"/>
        <v>2</v>
      </c>
      <c r="I16" t="s">
        <v>57</v>
      </c>
      <c r="J16" t="s">
        <v>62</v>
      </c>
      <c r="K16" t="s">
        <v>69</v>
      </c>
      <c r="N16" s="1">
        <f t="shared" si="5"/>
        <v>2</v>
      </c>
      <c r="O16" t="s">
        <v>57</v>
      </c>
      <c r="P16" t="s">
        <v>62</v>
      </c>
      <c r="Q16" t="s">
        <v>69</v>
      </c>
      <c r="T16" s="1">
        <v>13</v>
      </c>
      <c r="U16" s="23"/>
      <c r="X16" s="23"/>
    </row>
    <row r="17" spans="2:26" x14ac:dyDescent="0.35">
      <c r="B17" s="1">
        <f t="shared" si="3"/>
        <v>3</v>
      </c>
      <c r="C17" t="s">
        <v>58</v>
      </c>
      <c r="D17" t="s">
        <v>63</v>
      </c>
      <c r="H17" s="1">
        <f t="shared" si="4"/>
        <v>3</v>
      </c>
      <c r="I17" t="s">
        <v>58</v>
      </c>
      <c r="J17" t="s">
        <v>101</v>
      </c>
      <c r="N17" s="1">
        <f t="shared" si="5"/>
        <v>3</v>
      </c>
      <c r="O17" t="s">
        <v>58</v>
      </c>
      <c r="P17" t="s">
        <v>63</v>
      </c>
      <c r="T17" s="1">
        <v>14</v>
      </c>
      <c r="U17" s="23"/>
      <c r="X17" s="23"/>
    </row>
    <row r="18" spans="2:26" x14ac:dyDescent="0.35">
      <c r="B18" s="1">
        <f t="shared" si="3"/>
        <v>4</v>
      </c>
      <c r="C18" t="s">
        <v>59</v>
      </c>
      <c r="D18" t="s">
        <v>64</v>
      </c>
      <c r="E18" t="s">
        <v>70</v>
      </c>
      <c r="H18" s="1">
        <f t="shared" si="4"/>
        <v>4</v>
      </c>
      <c r="I18" t="s">
        <v>59</v>
      </c>
      <c r="J18" t="s">
        <v>64</v>
      </c>
      <c r="K18" t="s">
        <v>70</v>
      </c>
      <c r="N18" s="1">
        <f t="shared" si="5"/>
        <v>4</v>
      </c>
      <c r="O18" t="s">
        <v>59</v>
      </c>
      <c r="P18" t="s">
        <v>64</v>
      </c>
      <c r="Q18" t="s">
        <v>70</v>
      </c>
      <c r="T18" s="1">
        <v>15</v>
      </c>
      <c r="U18" s="23"/>
      <c r="X18" s="23"/>
    </row>
    <row r="19" spans="2:26" x14ac:dyDescent="0.35">
      <c r="B19" s="1">
        <f t="shared" si="3"/>
        <v>5</v>
      </c>
      <c r="C19" t="s">
        <v>58</v>
      </c>
      <c r="D19" t="s">
        <v>63</v>
      </c>
      <c r="H19" s="1">
        <f t="shared" si="4"/>
        <v>5</v>
      </c>
      <c r="I19" t="s">
        <v>58</v>
      </c>
      <c r="J19" t="s">
        <v>101</v>
      </c>
      <c r="N19" s="1">
        <f t="shared" si="5"/>
        <v>5</v>
      </c>
      <c r="O19" t="s">
        <v>58</v>
      </c>
      <c r="P19" t="s">
        <v>63</v>
      </c>
      <c r="T19" s="1">
        <v>16</v>
      </c>
      <c r="U19" s="24"/>
      <c r="X19" s="24"/>
    </row>
    <row r="20" spans="2:26" x14ac:dyDescent="0.35">
      <c r="B20" s="1">
        <f t="shared" si="3"/>
        <v>6</v>
      </c>
      <c r="C20" t="s">
        <v>57</v>
      </c>
      <c r="D20" t="s">
        <v>65</v>
      </c>
      <c r="E20" t="s">
        <v>69</v>
      </c>
      <c r="H20" s="1">
        <f t="shared" si="4"/>
        <v>6</v>
      </c>
      <c r="I20" t="s">
        <v>57</v>
      </c>
      <c r="J20" t="s">
        <v>65</v>
      </c>
      <c r="K20" t="s">
        <v>69</v>
      </c>
      <c r="N20" s="1">
        <f t="shared" si="5"/>
        <v>6</v>
      </c>
      <c r="O20" t="s">
        <v>57</v>
      </c>
      <c r="P20" t="s">
        <v>65</v>
      </c>
      <c r="Q20" t="s">
        <v>69</v>
      </c>
      <c r="T20" s="1">
        <v>17</v>
      </c>
      <c r="U20" s="24"/>
      <c r="X20" s="24"/>
    </row>
    <row r="21" spans="2:26" x14ac:dyDescent="0.35">
      <c r="B21" s="1">
        <f t="shared" si="3"/>
        <v>7</v>
      </c>
      <c r="C21" t="s">
        <v>58</v>
      </c>
      <c r="D21" t="s">
        <v>63</v>
      </c>
      <c r="H21" s="1">
        <f t="shared" si="4"/>
        <v>7</v>
      </c>
      <c r="I21" t="s">
        <v>58</v>
      </c>
      <c r="J21" t="s">
        <v>101</v>
      </c>
      <c r="N21" s="1">
        <f t="shared" si="5"/>
        <v>7</v>
      </c>
      <c r="O21" t="s">
        <v>58</v>
      </c>
      <c r="P21" t="s">
        <v>63</v>
      </c>
      <c r="T21" s="1">
        <v>18</v>
      </c>
      <c r="U21" s="24"/>
      <c r="X21" s="24"/>
    </row>
    <row r="22" spans="2:26" x14ac:dyDescent="0.35">
      <c r="B22" s="1">
        <f t="shared" si="3"/>
        <v>8</v>
      </c>
      <c r="C22" t="s">
        <v>60</v>
      </c>
      <c r="D22" t="s">
        <v>66</v>
      </c>
      <c r="F22" t="s">
        <v>71</v>
      </c>
      <c r="H22" s="1">
        <f t="shared" si="4"/>
        <v>8</v>
      </c>
      <c r="I22" t="s">
        <v>60</v>
      </c>
      <c r="J22" t="s">
        <v>102</v>
      </c>
      <c r="L22" t="s">
        <v>103</v>
      </c>
      <c r="N22" s="1">
        <f t="shared" si="5"/>
        <v>8</v>
      </c>
      <c r="O22" t="s">
        <v>60</v>
      </c>
      <c r="P22" t="s">
        <v>66</v>
      </c>
      <c r="R22" t="s">
        <v>71</v>
      </c>
      <c r="T22" s="1">
        <v>19</v>
      </c>
      <c r="U22" s="26"/>
    </row>
    <row r="23" spans="2:26" x14ac:dyDescent="0.35">
      <c r="B23" s="1">
        <f t="shared" si="3"/>
        <v>9</v>
      </c>
      <c r="C23" t="s">
        <v>60</v>
      </c>
      <c r="D23" t="s">
        <v>67</v>
      </c>
      <c r="F23" t="s">
        <v>72</v>
      </c>
      <c r="H23" s="1">
        <f t="shared" si="4"/>
        <v>9</v>
      </c>
      <c r="I23" t="s">
        <v>60</v>
      </c>
      <c r="J23" t="s">
        <v>104</v>
      </c>
      <c r="L23" t="s">
        <v>72</v>
      </c>
      <c r="N23" s="1">
        <f t="shared" si="5"/>
        <v>9</v>
      </c>
      <c r="O23" t="s">
        <v>60</v>
      </c>
      <c r="P23" t="s">
        <v>67</v>
      </c>
      <c r="R23" t="s">
        <v>72</v>
      </c>
      <c r="T23" s="1">
        <v>20</v>
      </c>
      <c r="U23" s="26"/>
    </row>
    <row r="24" spans="2:26" x14ac:dyDescent="0.35">
      <c r="B24" s="1">
        <f t="shared" si="3"/>
        <v>10</v>
      </c>
      <c r="C24" t="s">
        <v>61</v>
      </c>
      <c r="D24" t="s">
        <v>68</v>
      </c>
      <c r="H24" s="1">
        <f t="shared" si="4"/>
        <v>10</v>
      </c>
      <c r="I24" t="s">
        <v>61</v>
      </c>
      <c r="J24" t="s">
        <v>68</v>
      </c>
      <c r="N24" s="1">
        <f t="shared" si="5"/>
        <v>10</v>
      </c>
      <c r="O24" t="s">
        <v>61</v>
      </c>
      <c r="P24" t="s">
        <v>68</v>
      </c>
    </row>
    <row r="25" spans="2:26" x14ac:dyDescent="0.35">
      <c r="B25" s="1">
        <f t="shared" si="3"/>
        <v>11</v>
      </c>
      <c r="H25" s="1">
        <f t="shared" si="4"/>
        <v>11</v>
      </c>
      <c r="N25" s="1">
        <f t="shared" si="5"/>
        <v>11</v>
      </c>
      <c r="T25" s="61" t="s">
        <v>94</v>
      </c>
      <c r="U25" s="62"/>
    </row>
    <row r="26" spans="2:26" x14ac:dyDescent="0.35">
      <c r="B26" s="1">
        <f t="shared" si="3"/>
        <v>12</v>
      </c>
      <c r="H26" s="1">
        <f t="shared" si="4"/>
        <v>12</v>
      </c>
      <c r="N26" s="1">
        <f t="shared" si="5"/>
        <v>12</v>
      </c>
      <c r="T26" s="1" t="s">
        <v>0</v>
      </c>
      <c r="U26" s="1" t="s">
        <v>95</v>
      </c>
    </row>
    <row r="27" spans="2:26" x14ac:dyDescent="0.35">
      <c r="B27" s="1">
        <f t="shared" si="3"/>
        <v>13</v>
      </c>
      <c r="H27" s="1">
        <f t="shared" si="4"/>
        <v>13</v>
      </c>
      <c r="N27" s="1">
        <f t="shared" si="5"/>
        <v>13</v>
      </c>
      <c r="T27" s="1">
        <f t="shared" ref="T27:T46" si="6">ROW()-26</f>
        <v>1</v>
      </c>
      <c r="U27" s="25" t="s">
        <v>173</v>
      </c>
      <c r="W27" s="25" t="s">
        <v>121</v>
      </c>
      <c r="X27" t="s">
        <v>146</v>
      </c>
      <c r="Y27" s="25" t="s">
        <v>140</v>
      </c>
      <c r="Z27" s="25" t="s">
        <v>121</v>
      </c>
    </row>
    <row r="28" spans="2:26" x14ac:dyDescent="0.35">
      <c r="B28" s="1">
        <f t="shared" si="3"/>
        <v>14</v>
      </c>
      <c r="H28" s="1">
        <f t="shared" si="4"/>
        <v>14</v>
      </c>
      <c r="N28" s="1">
        <f t="shared" si="5"/>
        <v>14</v>
      </c>
      <c r="T28" s="1">
        <f t="shared" si="6"/>
        <v>2</v>
      </c>
      <c r="U28" s="25" t="s">
        <v>147</v>
      </c>
      <c r="W28" s="25" t="s">
        <v>122</v>
      </c>
      <c r="X28" t="s">
        <v>147</v>
      </c>
      <c r="Y28" s="25"/>
      <c r="Z28" s="25" t="s">
        <v>122</v>
      </c>
    </row>
    <row r="29" spans="2:26" x14ac:dyDescent="0.35">
      <c r="B29" s="1">
        <f t="shared" si="3"/>
        <v>15</v>
      </c>
      <c r="H29" s="1">
        <f t="shared" si="4"/>
        <v>15</v>
      </c>
      <c r="N29" s="1">
        <f t="shared" si="5"/>
        <v>15</v>
      </c>
      <c r="T29" s="1">
        <f t="shared" si="6"/>
        <v>3</v>
      </c>
      <c r="U29" s="25" t="s">
        <v>148</v>
      </c>
      <c r="W29" s="25" t="s">
        <v>123</v>
      </c>
      <c r="X29" t="s">
        <v>148</v>
      </c>
      <c r="Y29" s="25"/>
      <c r="Z29" s="25" t="s">
        <v>123</v>
      </c>
    </row>
    <row r="30" spans="2:26" x14ac:dyDescent="0.35">
      <c r="B30" s="1">
        <f t="shared" si="3"/>
        <v>16</v>
      </c>
      <c r="H30" s="1">
        <f t="shared" si="4"/>
        <v>16</v>
      </c>
      <c r="N30" s="1">
        <f t="shared" si="5"/>
        <v>16</v>
      </c>
      <c r="T30" s="1">
        <f t="shared" si="6"/>
        <v>4</v>
      </c>
      <c r="U30" s="25" t="s">
        <v>174</v>
      </c>
      <c r="W30" s="25" t="s">
        <v>124</v>
      </c>
      <c r="X30" t="s">
        <v>149</v>
      </c>
      <c r="Y30" s="25" t="s">
        <v>141</v>
      </c>
      <c r="Z30" s="25" t="s">
        <v>124</v>
      </c>
    </row>
    <row r="31" spans="2:26" x14ac:dyDescent="0.35">
      <c r="B31" s="1">
        <f t="shared" si="3"/>
        <v>17</v>
      </c>
      <c r="H31" s="1">
        <f t="shared" si="4"/>
        <v>17</v>
      </c>
      <c r="N31" s="1">
        <f t="shared" si="5"/>
        <v>17</v>
      </c>
      <c r="T31" s="1">
        <f t="shared" si="6"/>
        <v>5</v>
      </c>
      <c r="U31" s="25" t="s">
        <v>150</v>
      </c>
      <c r="W31" s="25" t="s">
        <v>125</v>
      </c>
      <c r="X31" t="s">
        <v>150</v>
      </c>
      <c r="Y31" s="25"/>
      <c r="Z31" s="25" t="s">
        <v>125</v>
      </c>
    </row>
    <row r="32" spans="2:26" x14ac:dyDescent="0.35">
      <c r="B32" s="1">
        <f t="shared" si="3"/>
        <v>18</v>
      </c>
      <c r="H32" s="1">
        <f t="shared" si="4"/>
        <v>18</v>
      </c>
      <c r="N32" s="1">
        <f t="shared" si="5"/>
        <v>18</v>
      </c>
      <c r="T32" s="1">
        <f t="shared" si="6"/>
        <v>6</v>
      </c>
      <c r="U32" s="25" t="s">
        <v>151</v>
      </c>
      <c r="W32" s="25" t="s">
        <v>126</v>
      </c>
      <c r="X32" t="s">
        <v>151</v>
      </c>
      <c r="Y32" s="25"/>
      <c r="Z32" s="25" t="s">
        <v>126</v>
      </c>
    </row>
    <row r="33" spans="2:26" x14ac:dyDescent="0.35">
      <c r="B33" s="1">
        <f t="shared" si="3"/>
        <v>19</v>
      </c>
      <c r="H33" s="1">
        <f t="shared" si="4"/>
        <v>19</v>
      </c>
      <c r="N33" s="1">
        <f t="shared" si="5"/>
        <v>19</v>
      </c>
      <c r="T33" s="1">
        <f t="shared" si="6"/>
        <v>7</v>
      </c>
      <c r="U33" s="25"/>
      <c r="Y33" s="25" t="s">
        <v>142</v>
      </c>
      <c r="Z33" s="25" t="s">
        <v>195</v>
      </c>
    </row>
    <row r="34" spans="2:26" x14ac:dyDescent="0.35">
      <c r="B34" s="1">
        <f t="shared" si="3"/>
        <v>20</v>
      </c>
      <c r="H34" s="1">
        <f t="shared" si="4"/>
        <v>20</v>
      </c>
      <c r="N34" s="1">
        <f t="shared" si="5"/>
        <v>20</v>
      </c>
      <c r="T34" s="1">
        <f t="shared" si="6"/>
        <v>8</v>
      </c>
      <c r="U34" s="25"/>
      <c r="Y34" s="25"/>
      <c r="Z34" s="25" t="s">
        <v>196</v>
      </c>
    </row>
    <row r="35" spans="2:26" ht="24.6" customHeight="1" x14ac:dyDescent="0.35">
      <c r="T35" s="1">
        <f t="shared" si="6"/>
        <v>9</v>
      </c>
      <c r="U35" s="25"/>
      <c r="Y35" s="25"/>
      <c r="Z35" s="25" t="s">
        <v>197</v>
      </c>
    </row>
    <row r="36" spans="2:26" x14ac:dyDescent="0.35">
      <c r="B36" s="63" t="s">
        <v>76</v>
      </c>
      <c r="C36" s="64"/>
      <c r="D36" s="64"/>
      <c r="E36" s="64"/>
      <c r="F36" s="65"/>
      <c r="H36" s="63" t="s">
        <v>77</v>
      </c>
      <c r="I36" s="64"/>
      <c r="J36" s="64"/>
      <c r="K36" s="64"/>
      <c r="L36" s="65"/>
      <c r="N36" s="63" t="s">
        <v>78</v>
      </c>
      <c r="O36" s="64"/>
      <c r="P36" s="64"/>
      <c r="Q36" s="64"/>
      <c r="R36" s="65"/>
      <c r="T36" s="1">
        <f t="shared" si="6"/>
        <v>10</v>
      </c>
      <c r="U36" s="25"/>
      <c r="Y36" s="25" t="s">
        <v>143</v>
      </c>
      <c r="Z36" s="25" t="s">
        <v>198</v>
      </c>
    </row>
    <row r="37" spans="2:26" x14ac:dyDescent="0.35">
      <c r="T37" s="1">
        <f t="shared" si="6"/>
        <v>11</v>
      </c>
      <c r="U37" s="25"/>
      <c r="Y37" s="25"/>
    </row>
    <row r="38" spans="2:26" x14ac:dyDescent="0.35">
      <c r="B38" t="s">
        <v>0</v>
      </c>
      <c r="C38" t="s">
        <v>42</v>
      </c>
      <c r="D38" t="s">
        <v>43</v>
      </c>
      <c r="H38" t="s">
        <v>0</v>
      </c>
      <c r="I38" t="s">
        <v>42</v>
      </c>
      <c r="J38" t="s">
        <v>43</v>
      </c>
      <c r="N38" t="s">
        <v>0</v>
      </c>
      <c r="O38" t="s">
        <v>42</v>
      </c>
      <c r="P38" t="s">
        <v>43</v>
      </c>
      <c r="T38" s="1">
        <f t="shared" si="6"/>
        <v>12</v>
      </c>
      <c r="U38" s="25"/>
      <c r="Y38" s="25"/>
    </row>
    <row r="39" spans="2:26" x14ac:dyDescent="0.35">
      <c r="B39" s="1">
        <f t="shared" ref="B39:B46" si="7">ROW()-38</f>
        <v>1</v>
      </c>
      <c r="C39" t="s">
        <v>44</v>
      </c>
      <c r="D39" s="6">
        <v>3</v>
      </c>
      <c r="H39" s="1">
        <f t="shared" ref="H39:H46" si="8">ROW()-38</f>
        <v>1</v>
      </c>
      <c r="I39" t="s">
        <v>44</v>
      </c>
      <c r="J39" s="6">
        <v>3</v>
      </c>
      <c r="N39" s="1">
        <f t="shared" ref="N39:N46" si="9">ROW()-38</f>
        <v>1</v>
      </c>
      <c r="O39" t="s">
        <v>44</v>
      </c>
      <c r="P39" s="6">
        <v>3</v>
      </c>
      <c r="T39" s="1">
        <f t="shared" si="6"/>
        <v>13</v>
      </c>
      <c r="U39" s="25"/>
      <c r="Y39" s="25" t="s">
        <v>144</v>
      </c>
    </row>
    <row r="40" spans="2:26" x14ac:dyDescent="0.35">
      <c r="B40" s="1">
        <f t="shared" si="7"/>
        <v>2</v>
      </c>
      <c r="C40" t="s">
        <v>45</v>
      </c>
      <c r="D40" s="6" t="s">
        <v>49</v>
      </c>
      <c r="H40" s="1">
        <f t="shared" si="8"/>
        <v>2</v>
      </c>
      <c r="I40" t="s">
        <v>45</v>
      </c>
      <c r="J40" s="6" t="s">
        <v>49</v>
      </c>
      <c r="N40" s="1">
        <f t="shared" si="9"/>
        <v>2</v>
      </c>
      <c r="O40" t="s">
        <v>45</v>
      </c>
      <c r="P40" s="6" t="s">
        <v>49</v>
      </c>
      <c r="T40" s="1">
        <f t="shared" si="6"/>
        <v>14</v>
      </c>
      <c r="U40" s="25"/>
      <c r="Y40" s="25"/>
    </row>
    <row r="41" spans="2:26" x14ac:dyDescent="0.35">
      <c r="B41" s="1">
        <f t="shared" si="7"/>
        <v>3</v>
      </c>
      <c r="C41" t="s">
        <v>46</v>
      </c>
      <c r="D41" s="6" t="s">
        <v>50</v>
      </c>
      <c r="H41" s="1">
        <f t="shared" si="8"/>
        <v>3</v>
      </c>
      <c r="I41" t="s">
        <v>46</v>
      </c>
      <c r="J41" s="6" t="s">
        <v>50</v>
      </c>
      <c r="N41" s="1">
        <f t="shared" si="9"/>
        <v>3</v>
      </c>
      <c r="O41" t="s">
        <v>46</v>
      </c>
      <c r="P41" s="6" t="s">
        <v>50</v>
      </c>
      <c r="T41" s="1">
        <f t="shared" si="6"/>
        <v>15</v>
      </c>
      <c r="U41" s="25"/>
      <c r="Y41" s="25"/>
    </row>
    <row r="42" spans="2:26" x14ac:dyDescent="0.35">
      <c r="B42" s="1">
        <f t="shared" si="7"/>
        <v>4</v>
      </c>
      <c r="C42" t="s">
        <v>47</v>
      </c>
      <c r="D42" s="6" t="s">
        <v>51</v>
      </c>
      <c r="H42" s="1">
        <f t="shared" si="8"/>
        <v>4</v>
      </c>
      <c r="I42" t="s">
        <v>47</v>
      </c>
      <c r="J42" s="6" t="s">
        <v>51</v>
      </c>
      <c r="N42" s="1">
        <f t="shared" si="9"/>
        <v>4</v>
      </c>
      <c r="O42" t="s">
        <v>47</v>
      </c>
      <c r="P42" s="6" t="s">
        <v>51</v>
      </c>
      <c r="T42" s="1">
        <f t="shared" si="6"/>
        <v>16</v>
      </c>
      <c r="U42" s="25"/>
      <c r="Y42" s="25" t="s">
        <v>145</v>
      </c>
    </row>
    <row r="43" spans="2:26" x14ac:dyDescent="0.35">
      <c r="B43" s="1">
        <f t="shared" si="7"/>
        <v>5</v>
      </c>
      <c r="C43" t="s">
        <v>13</v>
      </c>
      <c r="D43" s="6" t="s">
        <v>52</v>
      </c>
      <c r="H43" s="1">
        <f t="shared" si="8"/>
        <v>5</v>
      </c>
      <c r="I43" t="s">
        <v>13</v>
      </c>
      <c r="J43" s="6" t="s">
        <v>52</v>
      </c>
      <c r="N43" s="1">
        <f t="shared" si="9"/>
        <v>5</v>
      </c>
      <c r="O43" t="s">
        <v>13</v>
      </c>
      <c r="P43" s="6" t="s">
        <v>52</v>
      </c>
      <c r="T43" s="1">
        <f t="shared" si="6"/>
        <v>17</v>
      </c>
      <c r="U43" s="25"/>
      <c r="Y43" s="25"/>
    </row>
    <row r="44" spans="2:26" x14ac:dyDescent="0.35">
      <c r="B44" s="1">
        <f t="shared" si="7"/>
        <v>6</v>
      </c>
      <c r="C44" t="s">
        <v>48</v>
      </c>
      <c r="D44" s="6" t="s">
        <v>53</v>
      </c>
      <c r="H44" s="1">
        <f t="shared" si="8"/>
        <v>6</v>
      </c>
      <c r="I44" t="s">
        <v>48</v>
      </c>
      <c r="J44" s="6" t="s">
        <v>53</v>
      </c>
      <c r="N44" s="1">
        <f t="shared" si="9"/>
        <v>6</v>
      </c>
      <c r="O44" t="s">
        <v>48</v>
      </c>
      <c r="P44" s="6" t="s">
        <v>53</v>
      </c>
      <c r="T44" s="1">
        <f t="shared" si="6"/>
        <v>18</v>
      </c>
      <c r="U44" s="25"/>
      <c r="Y44" s="25"/>
    </row>
    <row r="45" spans="2:26" x14ac:dyDescent="0.35">
      <c r="B45" s="1">
        <f t="shared" si="7"/>
        <v>7</v>
      </c>
      <c r="C45" t="s">
        <v>55</v>
      </c>
      <c r="D45" s="6" t="s">
        <v>54</v>
      </c>
      <c r="H45" s="1">
        <f t="shared" si="8"/>
        <v>7</v>
      </c>
      <c r="I45" t="s">
        <v>55</v>
      </c>
      <c r="J45" s="6" t="s">
        <v>54</v>
      </c>
      <c r="N45" s="1">
        <f t="shared" si="9"/>
        <v>7</v>
      </c>
      <c r="O45" t="s">
        <v>55</v>
      </c>
      <c r="P45" s="6" t="s">
        <v>54</v>
      </c>
      <c r="T45" s="1">
        <f t="shared" si="6"/>
        <v>19</v>
      </c>
      <c r="U45" s="25"/>
      <c r="Y45" s="25"/>
    </row>
    <row r="46" spans="2:26" ht="33" x14ac:dyDescent="0.35">
      <c r="B46" s="1">
        <f t="shared" si="7"/>
        <v>8</v>
      </c>
      <c r="C46" t="s">
        <v>82</v>
      </c>
      <c r="D46" s="7" t="s">
        <v>81</v>
      </c>
      <c r="H46" s="1">
        <f t="shared" si="8"/>
        <v>8</v>
      </c>
      <c r="I46" t="s">
        <v>82</v>
      </c>
      <c r="J46" s="7" t="s">
        <v>81</v>
      </c>
      <c r="N46" s="1">
        <f t="shared" si="9"/>
        <v>8</v>
      </c>
      <c r="O46" t="s">
        <v>82</v>
      </c>
      <c r="P46" s="7" t="s">
        <v>81</v>
      </c>
      <c r="T46" s="1">
        <f t="shared" si="6"/>
        <v>20</v>
      </c>
      <c r="U46" s="1"/>
    </row>
    <row r="48" spans="2:26" x14ac:dyDescent="0.35">
      <c r="B48" t="s">
        <v>24</v>
      </c>
      <c r="C48" t="s">
        <v>25</v>
      </c>
      <c r="D48" t="s">
        <v>26</v>
      </c>
      <c r="E48" t="s">
        <v>27</v>
      </c>
      <c r="F48" t="s">
        <v>28</v>
      </c>
      <c r="H48" t="s">
        <v>24</v>
      </c>
      <c r="I48" t="s">
        <v>25</v>
      </c>
      <c r="J48" t="s">
        <v>26</v>
      </c>
      <c r="K48" t="s">
        <v>27</v>
      </c>
      <c r="L48" t="s">
        <v>28</v>
      </c>
      <c r="N48" t="s">
        <v>24</v>
      </c>
      <c r="O48" t="s">
        <v>25</v>
      </c>
      <c r="P48" t="s">
        <v>26</v>
      </c>
      <c r="Q48" t="s">
        <v>27</v>
      </c>
      <c r="R48" t="s">
        <v>28</v>
      </c>
    </row>
    <row r="49" spans="2:23" x14ac:dyDescent="0.35">
      <c r="B49" s="1">
        <f t="shared" ref="B49:B68" si="10">ROW()-46</f>
        <v>3</v>
      </c>
      <c r="C49" t="s">
        <v>56</v>
      </c>
      <c r="H49" s="1">
        <f t="shared" ref="H49:H68" si="11">ROW()-46</f>
        <v>3</v>
      </c>
      <c r="I49" t="s">
        <v>56</v>
      </c>
      <c r="N49" s="1">
        <f t="shared" ref="N49:N68" si="12">ROW()-46</f>
        <v>3</v>
      </c>
      <c r="O49" t="s">
        <v>56</v>
      </c>
    </row>
    <row r="50" spans="2:23" x14ac:dyDescent="0.35">
      <c r="B50" s="1">
        <f t="shared" si="10"/>
        <v>4</v>
      </c>
      <c r="C50" t="s">
        <v>57</v>
      </c>
      <c r="D50" t="s">
        <v>62</v>
      </c>
      <c r="E50" t="s">
        <v>69</v>
      </c>
      <c r="H50" s="1">
        <f t="shared" si="11"/>
        <v>4</v>
      </c>
      <c r="I50" t="s">
        <v>57</v>
      </c>
      <c r="J50" t="s">
        <v>62</v>
      </c>
      <c r="K50" t="s">
        <v>69</v>
      </c>
      <c r="N50" s="1">
        <f t="shared" si="12"/>
        <v>4</v>
      </c>
      <c r="O50" t="s">
        <v>57</v>
      </c>
      <c r="P50" t="s">
        <v>62</v>
      </c>
      <c r="Q50" t="s">
        <v>69</v>
      </c>
    </row>
    <row r="51" spans="2:23" x14ac:dyDescent="0.35">
      <c r="B51" s="1">
        <f t="shared" si="10"/>
        <v>5</v>
      </c>
      <c r="C51" t="s">
        <v>58</v>
      </c>
      <c r="D51" t="s">
        <v>63</v>
      </c>
      <c r="H51" s="1">
        <f t="shared" si="11"/>
        <v>5</v>
      </c>
      <c r="I51" t="s">
        <v>58</v>
      </c>
      <c r="J51" t="s">
        <v>63</v>
      </c>
      <c r="N51" s="1">
        <f t="shared" si="12"/>
        <v>5</v>
      </c>
      <c r="O51" t="s">
        <v>58</v>
      </c>
      <c r="P51" t="s">
        <v>63</v>
      </c>
    </row>
    <row r="52" spans="2:23" x14ac:dyDescent="0.35">
      <c r="B52" s="1">
        <f t="shared" si="10"/>
        <v>6</v>
      </c>
      <c r="C52" t="s">
        <v>59</v>
      </c>
      <c r="D52" t="s">
        <v>64</v>
      </c>
      <c r="E52" t="s">
        <v>70</v>
      </c>
      <c r="H52" s="1">
        <f t="shared" si="11"/>
        <v>6</v>
      </c>
      <c r="I52" t="s">
        <v>59</v>
      </c>
      <c r="J52" t="s">
        <v>64</v>
      </c>
      <c r="K52" t="s">
        <v>70</v>
      </c>
      <c r="N52" s="1">
        <f t="shared" si="12"/>
        <v>6</v>
      </c>
      <c r="O52" t="s">
        <v>59</v>
      </c>
      <c r="P52" t="s">
        <v>64</v>
      </c>
      <c r="Q52" t="s">
        <v>70</v>
      </c>
      <c r="V52" t="s">
        <v>171</v>
      </c>
    </row>
    <row r="53" spans="2:23" x14ac:dyDescent="0.35">
      <c r="B53" s="1">
        <f t="shared" si="10"/>
        <v>7</v>
      </c>
      <c r="C53" t="s">
        <v>58</v>
      </c>
      <c r="D53" t="s">
        <v>63</v>
      </c>
      <c r="H53" s="1">
        <f t="shared" si="11"/>
        <v>7</v>
      </c>
      <c r="I53" t="s">
        <v>58</v>
      </c>
      <c r="J53" t="s">
        <v>63</v>
      </c>
      <c r="N53" s="1">
        <f t="shared" si="12"/>
        <v>7</v>
      </c>
      <c r="O53" t="s">
        <v>58</v>
      </c>
      <c r="P53" t="s">
        <v>63</v>
      </c>
      <c r="V53" t="s">
        <v>172</v>
      </c>
      <c r="W53">
        <v>58</v>
      </c>
    </row>
    <row r="54" spans="2:23" x14ac:dyDescent="0.35">
      <c r="B54" s="1">
        <f t="shared" si="10"/>
        <v>8</v>
      </c>
      <c r="C54" t="s">
        <v>57</v>
      </c>
      <c r="D54" t="s">
        <v>65</v>
      </c>
      <c r="E54" t="s">
        <v>69</v>
      </c>
      <c r="H54" s="1">
        <f t="shared" si="11"/>
        <v>8</v>
      </c>
      <c r="I54" t="s">
        <v>57</v>
      </c>
      <c r="J54" t="s">
        <v>65</v>
      </c>
      <c r="K54" t="s">
        <v>69</v>
      </c>
      <c r="N54" s="1">
        <f t="shared" si="12"/>
        <v>8</v>
      </c>
      <c r="O54" t="s">
        <v>57</v>
      </c>
      <c r="P54" t="s">
        <v>65</v>
      </c>
      <c r="Q54" t="s">
        <v>69</v>
      </c>
    </row>
    <row r="55" spans="2:23" x14ac:dyDescent="0.35">
      <c r="B55" s="1">
        <f t="shared" si="10"/>
        <v>9</v>
      </c>
      <c r="C55" t="s">
        <v>58</v>
      </c>
      <c r="D55" t="s">
        <v>63</v>
      </c>
      <c r="H55" s="1">
        <f t="shared" si="11"/>
        <v>9</v>
      </c>
      <c r="I55" t="s">
        <v>58</v>
      </c>
      <c r="J55" t="s">
        <v>63</v>
      </c>
      <c r="N55" s="1">
        <f t="shared" si="12"/>
        <v>9</v>
      </c>
      <c r="O55" t="s">
        <v>58</v>
      </c>
      <c r="P55" t="s">
        <v>63</v>
      </c>
    </row>
    <row r="56" spans="2:23" x14ac:dyDescent="0.35">
      <c r="B56" s="1">
        <f t="shared" si="10"/>
        <v>10</v>
      </c>
      <c r="C56" t="s">
        <v>60</v>
      </c>
      <c r="D56" t="s">
        <v>66</v>
      </c>
      <c r="F56" t="s">
        <v>71</v>
      </c>
      <c r="H56" s="1">
        <f t="shared" si="11"/>
        <v>10</v>
      </c>
      <c r="I56" t="s">
        <v>60</v>
      </c>
      <c r="J56" t="s">
        <v>66</v>
      </c>
      <c r="L56" t="s">
        <v>71</v>
      </c>
      <c r="N56" s="1">
        <f t="shared" si="12"/>
        <v>10</v>
      </c>
      <c r="O56" t="s">
        <v>60</v>
      </c>
      <c r="P56" t="s">
        <v>66</v>
      </c>
      <c r="R56" t="s">
        <v>71</v>
      </c>
    </row>
    <row r="57" spans="2:23" x14ac:dyDescent="0.35">
      <c r="B57" s="1">
        <f t="shared" si="10"/>
        <v>11</v>
      </c>
      <c r="C57" t="s">
        <v>60</v>
      </c>
      <c r="D57" t="s">
        <v>67</v>
      </c>
      <c r="F57" t="s">
        <v>72</v>
      </c>
      <c r="H57" s="1">
        <f t="shared" si="11"/>
        <v>11</v>
      </c>
      <c r="I57" t="s">
        <v>60</v>
      </c>
      <c r="J57" t="s">
        <v>67</v>
      </c>
      <c r="L57" t="s">
        <v>72</v>
      </c>
      <c r="N57" s="1">
        <f t="shared" si="12"/>
        <v>11</v>
      </c>
      <c r="O57" t="s">
        <v>60</v>
      </c>
      <c r="P57" t="s">
        <v>67</v>
      </c>
      <c r="R57" t="s">
        <v>72</v>
      </c>
    </row>
    <row r="58" spans="2:23" x14ac:dyDescent="0.35">
      <c r="B58" s="1">
        <f t="shared" si="10"/>
        <v>12</v>
      </c>
      <c r="C58" t="s">
        <v>61</v>
      </c>
      <c r="D58" t="s">
        <v>68</v>
      </c>
      <c r="H58" s="1">
        <f t="shared" si="11"/>
        <v>12</v>
      </c>
      <c r="I58" t="s">
        <v>61</v>
      </c>
      <c r="J58" t="s">
        <v>68</v>
      </c>
      <c r="N58" s="1">
        <f t="shared" si="12"/>
        <v>12</v>
      </c>
      <c r="O58" t="s">
        <v>61</v>
      </c>
      <c r="P58" t="s">
        <v>68</v>
      </c>
    </row>
    <row r="59" spans="2:23" x14ac:dyDescent="0.35">
      <c r="B59" s="1">
        <f t="shared" si="10"/>
        <v>13</v>
      </c>
      <c r="H59" s="1">
        <f t="shared" si="11"/>
        <v>13</v>
      </c>
      <c r="N59" s="1">
        <f t="shared" si="12"/>
        <v>13</v>
      </c>
    </row>
    <row r="60" spans="2:23" x14ac:dyDescent="0.35">
      <c r="B60" s="1">
        <f t="shared" si="10"/>
        <v>14</v>
      </c>
      <c r="H60" s="1">
        <f t="shared" si="11"/>
        <v>14</v>
      </c>
      <c r="N60" s="1">
        <f t="shared" si="12"/>
        <v>14</v>
      </c>
    </row>
    <row r="61" spans="2:23" x14ac:dyDescent="0.35">
      <c r="B61" s="1">
        <f t="shared" si="10"/>
        <v>15</v>
      </c>
      <c r="H61" s="1">
        <f t="shared" si="11"/>
        <v>15</v>
      </c>
      <c r="N61" s="1">
        <f t="shared" si="12"/>
        <v>15</v>
      </c>
    </row>
    <row r="62" spans="2:23" x14ac:dyDescent="0.35">
      <c r="B62" s="1">
        <f t="shared" si="10"/>
        <v>16</v>
      </c>
      <c r="H62" s="1">
        <f t="shared" si="11"/>
        <v>16</v>
      </c>
      <c r="N62" s="1">
        <f t="shared" si="12"/>
        <v>16</v>
      </c>
    </row>
    <row r="63" spans="2:23" x14ac:dyDescent="0.35">
      <c r="B63" s="1">
        <f t="shared" si="10"/>
        <v>17</v>
      </c>
      <c r="H63" s="1">
        <f t="shared" si="11"/>
        <v>17</v>
      </c>
      <c r="N63" s="1">
        <f t="shared" si="12"/>
        <v>17</v>
      </c>
    </row>
    <row r="64" spans="2:23" x14ac:dyDescent="0.35">
      <c r="B64" s="1">
        <f t="shared" si="10"/>
        <v>18</v>
      </c>
      <c r="H64" s="1">
        <f t="shared" si="11"/>
        <v>18</v>
      </c>
      <c r="N64" s="1">
        <f t="shared" si="12"/>
        <v>18</v>
      </c>
    </row>
    <row r="65" spans="2:14" x14ac:dyDescent="0.35">
      <c r="B65" s="1">
        <f t="shared" si="10"/>
        <v>19</v>
      </c>
      <c r="H65" s="1">
        <f t="shared" si="11"/>
        <v>19</v>
      </c>
      <c r="N65" s="1">
        <f t="shared" si="12"/>
        <v>19</v>
      </c>
    </row>
    <row r="66" spans="2:14" x14ac:dyDescent="0.35">
      <c r="B66" s="1">
        <f t="shared" si="10"/>
        <v>20</v>
      </c>
      <c r="H66" s="1">
        <f t="shared" si="11"/>
        <v>20</v>
      </c>
      <c r="N66" s="1">
        <f t="shared" si="12"/>
        <v>20</v>
      </c>
    </row>
    <row r="67" spans="2:14" x14ac:dyDescent="0.35">
      <c r="B67" s="1">
        <f t="shared" si="10"/>
        <v>21</v>
      </c>
      <c r="H67" s="1">
        <f t="shared" si="11"/>
        <v>21</v>
      </c>
      <c r="N67" s="1">
        <f t="shared" si="12"/>
        <v>21</v>
      </c>
    </row>
    <row r="68" spans="2:14" x14ac:dyDescent="0.35">
      <c r="B68" s="1">
        <f t="shared" si="10"/>
        <v>22</v>
      </c>
      <c r="H68" s="1">
        <f t="shared" si="11"/>
        <v>22</v>
      </c>
      <c r="N68" s="1">
        <f t="shared" si="12"/>
        <v>22</v>
      </c>
    </row>
  </sheetData>
  <mergeCells count="8">
    <mergeCell ref="T2:U2"/>
    <mergeCell ref="B2:F2"/>
    <mergeCell ref="H2:L2"/>
    <mergeCell ref="N2:R2"/>
    <mergeCell ref="B36:F36"/>
    <mergeCell ref="H36:L36"/>
    <mergeCell ref="N36:R36"/>
    <mergeCell ref="T25:U25"/>
  </mergeCells>
  <phoneticPr fontId="4" type="noConversion"/>
  <pageMargins left="0.7" right="0.7" top="0.75" bottom="0.75" header="0.3" footer="0.3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7AB8D-6D95-4A0F-8D56-94D04D76672E}">
  <sheetPr codeName="Sheet2"/>
  <dimension ref="B1:U13"/>
  <sheetViews>
    <sheetView showGridLines="0" zoomScale="90" zoomScaleNormal="90" workbookViewId="0">
      <selection activeCell="F13" sqref="F13"/>
    </sheetView>
  </sheetViews>
  <sheetFormatPr defaultRowHeight="16.5" x14ac:dyDescent="0.35"/>
  <cols>
    <col min="1" max="1" width="1.5" customWidth="1"/>
    <col min="2" max="2" width="4.5" bestFit="1" customWidth="1"/>
    <col min="3" max="3" width="26.125" bestFit="1" customWidth="1"/>
    <col min="4" max="4" width="7.75" customWidth="1"/>
    <col min="5" max="5" width="6.25" customWidth="1"/>
    <col min="6" max="6" width="8.25" bestFit="1" customWidth="1"/>
    <col min="7" max="13" width="9.125" customWidth="1"/>
    <col min="14" max="14" width="7.625" customWidth="1"/>
    <col min="15" max="15" width="8.375" customWidth="1"/>
    <col min="16" max="22" width="12.75" customWidth="1"/>
  </cols>
  <sheetData>
    <row r="1" spans="2:21" ht="8.4499999999999993" customHeight="1" x14ac:dyDescent="0.35"/>
    <row r="2" spans="2:21" ht="8.4499999999999993" customHeight="1" x14ac:dyDescent="0.35"/>
    <row r="3" spans="2:21" ht="33" x14ac:dyDescent="0.35">
      <c r="B3" s="10" t="s">
        <v>0</v>
      </c>
      <c r="C3" s="10" t="s">
        <v>6</v>
      </c>
      <c r="D3" s="10" t="s">
        <v>4</v>
      </c>
      <c r="E3" s="10" t="s">
        <v>93</v>
      </c>
      <c r="F3" s="10" t="s">
        <v>96</v>
      </c>
      <c r="G3" s="10" t="s">
        <v>8</v>
      </c>
      <c r="H3" s="10" t="s">
        <v>7</v>
      </c>
      <c r="I3" s="10" t="s">
        <v>9</v>
      </c>
      <c r="J3" s="10" t="s">
        <v>10</v>
      </c>
      <c r="K3" s="10" t="s">
        <v>11</v>
      </c>
      <c r="L3" s="10" t="s">
        <v>12</v>
      </c>
      <c r="M3" s="10" t="s">
        <v>5</v>
      </c>
      <c r="N3" s="10" t="s">
        <v>80</v>
      </c>
      <c r="O3" s="10" t="s">
        <v>35</v>
      </c>
      <c r="P3" s="10" t="s">
        <v>36</v>
      </c>
      <c r="Q3" s="10" t="s">
        <v>37</v>
      </c>
      <c r="R3" s="10" t="s">
        <v>38</v>
      </c>
      <c r="S3" s="10" t="s">
        <v>39</v>
      </c>
      <c r="T3" s="10" t="s">
        <v>40</v>
      </c>
      <c r="U3" s="10" t="s">
        <v>41</v>
      </c>
    </row>
    <row r="4" spans="2:21" ht="33" x14ac:dyDescent="0.35">
      <c r="B4" s="2">
        <v>1</v>
      </c>
      <c r="C4" s="13" t="str">
        <f>IF(功能首页!F4&lt;&gt;"",功能首页!F4,"")</f>
        <v>G11E-V1.2-PreA-0.5C_0.5C循环 25℃</v>
      </c>
      <c r="D4" s="2">
        <v>75</v>
      </c>
      <c r="E4" s="43"/>
      <c r="F4" s="9" t="s">
        <v>92</v>
      </c>
      <c r="G4" s="2"/>
      <c r="H4" s="2"/>
      <c r="I4" s="2">
        <v>21</v>
      </c>
      <c r="J4" s="2">
        <v>22</v>
      </c>
      <c r="K4" s="2"/>
      <c r="L4" s="2"/>
      <c r="M4" s="2" t="s">
        <v>29</v>
      </c>
      <c r="N4" s="2">
        <v>1</v>
      </c>
      <c r="O4" s="2" t="s">
        <v>108</v>
      </c>
      <c r="P4" s="2"/>
      <c r="Q4" s="2"/>
      <c r="R4" s="2">
        <v>47</v>
      </c>
      <c r="S4" s="2">
        <v>48</v>
      </c>
      <c r="T4" s="2"/>
      <c r="U4" s="2"/>
    </row>
    <row r="5" spans="2:21" ht="33" x14ac:dyDescent="0.35">
      <c r="B5" s="2">
        <v>2</v>
      </c>
      <c r="C5" s="13" t="str">
        <f>IF(功能首页!F5&lt;&gt;"",功能首页!F5,"")</f>
        <v>G11E-V1.2-PreA-3N3F 25℃</v>
      </c>
      <c r="D5" s="2">
        <v>54</v>
      </c>
      <c r="E5" s="44">
        <v>58</v>
      </c>
      <c r="F5" s="9" t="s">
        <v>92</v>
      </c>
      <c r="G5" s="2"/>
      <c r="H5" s="2"/>
      <c r="I5" s="2">
        <v>45</v>
      </c>
      <c r="J5" s="2">
        <v>46</v>
      </c>
      <c r="K5" s="2"/>
      <c r="L5" s="2"/>
      <c r="M5" s="2" t="s">
        <v>29</v>
      </c>
      <c r="N5" s="2">
        <v>1</v>
      </c>
      <c r="O5" s="2"/>
      <c r="P5" s="2"/>
      <c r="Q5" s="2"/>
      <c r="R5" s="2"/>
      <c r="S5" s="2"/>
      <c r="T5" s="2"/>
      <c r="U5" s="2"/>
    </row>
    <row r="6" spans="2:21" x14ac:dyDescent="0.35">
      <c r="B6" s="2">
        <v>3</v>
      </c>
      <c r="C6" s="13" t="str">
        <f>IF(功能首页!F6&lt;&gt;"",功能首页!F6,"")</f>
        <v>G11E-V1.2-PreB-1N1F 23℃</v>
      </c>
      <c r="D6" s="2">
        <v>78</v>
      </c>
      <c r="E6" s="43">
        <v>51</v>
      </c>
      <c r="F6" s="2" t="s">
        <v>127</v>
      </c>
      <c r="G6" s="2"/>
      <c r="H6" s="2"/>
      <c r="I6" s="2">
        <v>44</v>
      </c>
      <c r="J6" s="2">
        <v>45</v>
      </c>
      <c r="K6" s="2"/>
      <c r="L6" s="2"/>
      <c r="M6" s="2" t="s">
        <v>29</v>
      </c>
      <c r="N6" s="2">
        <v>1</v>
      </c>
      <c r="O6" s="2"/>
      <c r="P6" s="2"/>
      <c r="Q6" s="2"/>
      <c r="R6" s="2"/>
      <c r="S6" s="2"/>
      <c r="T6" s="2"/>
      <c r="U6" s="2"/>
    </row>
    <row r="7" spans="2:21" x14ac:dyDescent="0.35">
      <c r="B7" s="2">
        <v>4</v>
      </c>
      <c r="C7" s="13" t="str">
        <f>IF(功能首页!F7&lt;&gt;"",功能首页!F7,"")</f>
        <v>G11E-V1.2-PreB-1N1F 35℃</v>
      </c>
      <c r="D7" s="2">
        <v>78</v>
      </c>
      <c r="E7" s="44">
        <v>21</v>
      </c>
      <c r="F7" s="2" t="s">
        <v>127</v>
      </c>
      <c r="G7" s="2"/>
      <c r="H7" s="2"/>
      <c r="I7" s="2">
        <v>12</v>
      </c>
      <c r="J7" s="2">
        <v>13</v>
      </c>
      <c r="K7" s="2"/>
      <c r="L7" s="2"/>
      <c r="M7" s="2" t="s">
        <v>29</v>
      </c>
      <c r="N7" s="2">
        <v>1</v>
      </c>
      <c r="O7" s="2"/>
      <c r="P7" s="2"/>
      <c r="Q7" s="2"/>
      <c r="R7" s="2"/>
      <c r="S7" s="2"/>
      <c r="T7" s="2"/>
      <c r="U7" s="2"/>
    </row>
    <row r="8" spans="2:21" ht="33" x14ac:dyDescent="0.35">
      <c r="B8" s="2">
        <v>5</v>
      </c>
      <c r="C8" s="13" t="str">
        <f>IF(功能首页!F8&lt;&gt;"",功能首页!F8,"")</f>
        <v>DFG+QE9验证-3N3F 25℃</v>
      </c>
      <c r="D8" s="2">
        <v>54</v>
      </c>
      <c r="E8" s="43">
        <v>58</v>
      </c>
      <c r="F8" s="9" t="s">
        <v>92</v>
      </c>
      <c r="G8" s="2"/>
      <c r="H8" s="2"/>
      <c r="I8" s="2">
        <v>45</v>
      </c>
      <c r="J8" s="2">
        <v>46</v>
      </c>
      <c r="K8" s="2"/>
      <c r="L8" s="2"/>
      <c r="M8" s="2" t="s">
        <v>29</v>
      </c>
      <c r="N8" s="2">
        <v>1</v>
      </c>
      <c r="O8" s="2"/>
      <c r="P8" s="2"/>
      <c r="Q8" s="2"/>
      <c r="R8" s="2"/>
      <c r="S8" s="2"/>
      <c r="T8" s="2"/>
      <c r="U8" s="2"/>
    </row>
    <row r="9" spans="2:21" ht="33" x14ac:dyDescent="0.35">
      <c r="B9" s="2">
        <v>6</v>
      </c>
      <c r="C9" s="13" t="str">
        <f>IF(功能首页!F9&lt;&gt;"",功能首页!F9,"")</f>
        <v>注液量验证-3N3F 25℃</v>
      </c>
      <c r="D9" s="2">
        <v>54</v>
      </c>
      <c r="E9" s="44">
        <v>58</v>
      </c>
      <c r="F9" s="9" t="s">
        <v>92</v>
      </c>
      <c r="G9" s="2"/>
      <c r="H9" s="2"/>
      <c r="I9" s="2">
        <v>45</v>
      </c>
      <c r="J9" s="2">
        <v>46</v>
      </c>
      <c r="K9" s="2"/>
      <c r="L9" s="2"/>
      <c r="M9" s="2" t="s">
        <v>29</v>
      </c>
      <c r="N9" s="2">
        <v>1</v>
      </c>
      <c r="O9" s="2"/>
      <c r="P9" s="2"/>
      <c r="Q9" s="2"/>
      <c r="R9" s="2"/>
      <c r="S9" s="2"/>
      <c r="T9" s="2"/>
      <c r="U9" s="2"/>
    </row>
    <row r="10" spans="2:21" x14ac:dyDescent="0.35">
      <c r="B10" s="2">
        <v>7</v>
      </c>
      <c r="C10" s="13" t="str">
        <f>IF(功能首页!F10&lt;&gt;"",功能首页!F10,"")</f>
        <v>435正极无CNT-1N1F-23℃</v>
      </c>
      <c r="D10" s="2">
        <v>78</v>
      </c>
      <c r="E10" s="2">
        <v>41</v>
      </c>
      <c r="F10" s="2" t="s">
        <v>92</v>
      </c>
      <c r="G10" s="2"/>
      <c r="H10" s="2"/>
      <c r="I10" s="2">
        <v>14</v>
      </c>
      <c r="J10" s="2">
        <v>15</v>
      </c>
      <c r="K10" s="2"/>
      <c r="L10" s="2"/>
      <c r="M10" s="2" t="s">
        <v>29</v>
      </c>
      <c r="N10" s="2">
        <v>1</v>
      </c>
      <c r="O10" s="2"/>
      <c r="P10" s="2"/>
      <c r="Q10" s="2"/>
      <c r="R10" s="2"/>
      <c r="S10" s="2"/>
      <c r="T10" s="2"/>
      <c r="U10" s="2"/>
    </row>
    <row r="11" spans="2:21" x14ac:dyDescent="0.35">
      <c r="B11" s="2">
        <v>8</v>
      </c>
      <c r="C11" s="13" t="str">
        <f>IF(功能首页!F11&lt;&gt;"",功能首页!F11,"")</f>
        <v>435正极无CNT-1N1F-35℃</v>
      </c>
      <c r="D11" s="2">
        <v>78</v>
      </c>
      <c r="E11" s="2">
        <v>41</v>
      </c>
      <c r="F11" s="2" t="s">
        <v>92</v>
      </c>
      <c r="G11" s="2"/>
      <c r="H11" s="2"/>
      <c r="I11" s="2">
        <v>14</v>
      </c>
      <c r="J11" s="2">
        <v>15</v>
      </c>
      <c r="K11" s="2"/>
      <c r="L11" s="2"/>
      <c r="M11" s="2" t="s">
        <v>29</v>
      </c>
      <c r="N11" s="2">
        <v>1</v>
      </c>
      <c r="O11" s="2"/>
      <c r="P11" s="2"/>
      <c r="Q11" s="2"/>
      <c r="R11" s="2"/>
      <c r="S11" s="2"/>
      <c r="T11" s="2"/>
      <c r="U11" s="2"/>
    </row>
    <row r="12" spans="2:21" x14ac:dyDescent="0.35">
      <c r="B12" s="2">
        <v>9</v>
      </c>
      <c r="C12" s="13" t="str">
        <f>IF(功能首页!F12&lt;&gt;"",功能首页!F12,"")</f>
        <v/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35">
      <c r="B13" s="2">
        <v>10</v>
      </c>
      <c r="C13" s="13" t="str">
        <f>IF(功能首页!F13&lt;&gt;"",功能首页!F13,"")</f>
        <v/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</sheetData>
  <sheetProtection sheet="1" insertRows="0" deleteRows="0"/>
  <phoneticPr fontId="4" type="noConversion"/>
  <conditionalFormatting sqref="O4:U4 O6:U13 U5">
    <cfRule type="expression" dxfId="147" priority="2">
      <formula>ISBLANK($O4)</formula>
    </cfRule>
  </conditionalFormatting>
  <conditionalFormatting sqref="O5:T5">
    <cfRule type="expression" dxfId="146" priority="1">
      <formula>ISBLANK($O5)</formula>
    </cfRule>
  </conditionalFormatting>
  <dataValidations count="6">
    <dataValidation type="list" allowBlank="1" showInputMessage="1" showErrorMessage="1" sqref="M4:M13" xr:uid="{3DE4BDD8-682A-40B5-BE05-3BD623571FCE}">
      <formula1>"10s,30s"</formula1>
    </dataValidation>
    <dataValidation type="list" allowBlank="1" showInputMessage="1" showErrorMessage="1" sqref="O4:O13" xr:uid="{B9F0752A-E246-4C59-86AD-825F9B7F6F50}">
      <formula1>"是"</formula1>
    </dataValidation>
    <dataValidation type="whole" operator="greaterThanOrEqual" allowBlank="1" showInputMessage="1" showErrorMessage="1" sqref="P4:U13" xr:uid="{1C5F7B97-6B59-4D3C-885F-56D06CF1A0EE}">
      <formula1>0</formula1>
    </dataValidation>
    <dataValidation type="list" allowBlank="1" showInputMessage="1" showErrorMessage="1" sqref="N4:N13" xr:uid="{B9ABCC0C-4FAC-4192-840B-AB862EF6AAB3}">
      <formula1>"1,2,3,4,5,6"</formula1>
    </dataValidation>
    <dataValidation type="whole" operator="greaterThan" allowBlank="1" showInputMessage="1" showErrorMessage="1" sqref="G4:L13 D4:E13" xr:uid="{C355C07D-DF66-4C1A-9FD8-042CFFF7871F}">
      <formula1>0</formula1>
    </dataValidation>
    <dataValidation type="list" operator="greaterThan" allowBlank="1" showInputMessage="1" showErrorMessage="1" sqref="F4:F13" xr:uid="{05723772-C149-4EE2-8DA3-99EDBBABFEA2}">
      <formula1>"三圈中检求平均值,仅中检一次"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20220-15C7-4BA3-AEA5-7AB77ED436D4}">
  <sheetPr codeName="Sheet4"/>
  <dimension ref="B2:G12"/>
  <sheetViews>
    <sheetView showGridLines="0" workbookViewId="0">
      <selection activeCell="D10" sqref="D10"/>
    </sheetView>
  </sheetViews>
  <sheetFormatPr defaultRowHeight="16.5" x14ac:dyDescent="0.35"/>
  <cols>
    <col min="2" max="2" width="6.75" bestFit="1" customWidth="1"/>
    <col min="3" max="3" width="30" bestFit="1" customWidth="1"/>
    <col min="4" max="4" width="13.75" bestFit="1" customWidth="1"/>
    <col min="5" max="5" width="13.75" customWidth="1"/>
    <col min="6" max="6" width="13.25" bestFit="1" customWidth="1"/>
  </cols>
  <sheetData>
    <row r="2" spans="2:7" x14ac:dyDescent="0.35">
      <c r="B2" t="s">
        <v>0</v>
      </c>
      <c r="C2" t="s">
        <v>6</v>
      </c>
      <c r="D2" t="s">
        <v>4</v>
      </c>
      <c r="E2" t="s">
        <v>20</v>
      </c>
      <c r="F2" t="s">
        <v>21</v>
      </c>
      <c r="G2" t="s">
        <v>14</v>
      </c>
    </row>
    <row r="3" spans="2:7" x14ac:dyDescent="0.35">
      <c r="B3">
        <f t="shared" ref="B3:B9" si="0">ROW()-2</f>
        <v>1</v>
      </c>
      <c r="C3" t="str">
        <f>IF(功能首页!E17&lt;&gt;"",功能首页!E17,"")</f>
        <v/>
      </c>
      <c r="D3">
        <v>15</v>
      </c>
      <c r="E3" s="4" t="s">
        <v>29</v>
      </c>
      <c r="F3" s="4" t="s">
        <v>22</v>
      </c>
      <c r="G3">
        <v>4</v>
      </c>
    </row>
    <row r="4" spans="2:7" x14ac:dyDescent="0.35">
      <c r="B4">
        <f t="shared" si="0"/>
        <v>2</v>
      </c>
      <c r="C4" t="str">
        <f>IF(功能首页!E18&lt;&gt;"",功能首页!E18,"")</f>
        <v/>
      </c>
      <c r="E4" s="4"/>
      <c r="F4" s="4"/>
    </row>
    <row r="5" spans="2:7" x14ac:dyDescent="0.35">
      <c r="B5">
        <f t="shared" si="0"/>
        <v>3</v>
      </c>
      <c r="C5" t="str">
        <f>IF(功能首页!E19&lt;&gt;"",功能首页!E19,"")</f>
        <v/>
      </c>
      <c r="E5" s="4"/>
      <c r="F5" s="4"/>
    </row>
    <row r="6" spans="2:7" x14ac:dyDescent="0.35">
      <c r="B6">
        <f t="shared" si="0"/>
        <v>4</v>
      </c>
      <c r="C6" t="str">
        <f>IF(功能首页!E20&lt;&gt;"",功能首页!E20,"")</f>
        <v/>
      </c>
      <c r="E6" s="4"/>
      <c r="F6" s="4"/>
    </row>
    <row r="7" spans="2:7" x14ac:dyDescent="0.35">
      <c r="B7">
        <f t="shared" si="0"/>
        <v>5</v>
      </c>
      <c r="C7" t="str">
        <f>IF(功能首页!E21&lt;&gt;"",功能首页!E21,"")</f>
        <v/>
      </c>
      <c r="E7" s="4"/>
      <c r="F7" s="4"/>
    </row>
    <row r="8" spans="2:7" x14ac:dyDescent="0.35">
      <c r="B8">
        <f t="shared" si="0"/>
        <v>6</v>
      </c>
      <c r="C8" t="str">
        <f>IF(功能首页!E22&lt;&gt;"",功能首页!E22,"")</f>
        <v/>
      </c>
      <c r="E8" s="4"/>
      <c r="F8" s="4"/>
    </row>
    <row r="9" spans="2:7" x14ac:dyDescent="0.35">
      <c r="B9">
        <f t="shared" si="0"/>
        <v>7</v>
      </c>
      <c r="C9" t="str">
        <f>IF(功能首页!E23&lt;&gt;"",功能首页!E23,"")</f>
        <v/>
      </c>
      <c r="E9" s="4"/>
      <c r="F9" s="4"/>
    </row>
    <row r="10" spans="2:7" x14ac:dyDescent="0.35">
      <c r="B10">
        <f>ROW()-2</f>
        <v>8</v>
      </c>
      <c r="C10" t="str">
        <f>IF(功能首页!E24&lt;&gt;"",功能首页!E24,"")</f>
        <v/>
      </c>
      <c r="E10" s="4"/>
      <c r="F10" s="4"/>
    </row>
    <row r="11" spans="2:7" x14ac:dyDescent="0.35">
      <c r="B11">
        <f>ROW()-2</f>
        <v>9</v>
      </c>
      <c r="C11" t="str">
        <f>IF(功能首页!E25&lt;&gt;"",功能首页!E25,"")</f>
        <v/>
      </c>
      <c r="E11" s="4"/>
      <c r="F11" s="4"/>
    </row>
    <row r="12" spans="2:7" x14ac:dyDescent="0.35">
      <c r="B12">
        <f>ROW()-2</f>
        <v>10</v>
      </c>
      <c r="C12" t="str">
        <f>IF(功能首页!E26&lt;&gt;"",功能首页!E26,"")</f>
        <v/>
      </c>
      <c r="E12" s="4"/>
      <c r="F12" s="4"/>
    </row>
  </sheetData>
  <phoneticPr fontId="4" type="noConversion"/>
  <dataValidations count="1">
    <dataValidation type="list" allowBlank="1" showInputMessage="1" showErrorMessage="1" sqref="E3:E12" xr:uid="{E3A18A2E-AE71-4C9F-9D2E-5FE0FE0C1492}">
      <formula1>"10s,30s"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FE169-BCE0-4DD8-B0D2-4F269878C598}">
  <dimension ref="B1:BC506"/>
  <sheetViews>
    <sheetView showGridLines="0" workbookViewId="0">
      <selection activeCell="J25" sqref="J25:J26"/>
    </sheetView>
  </sheetViews>
  <sheetFormatPr defaultRowHeight="16.5" x14ac:dyDescent="0.35"/>
  <sheetData>
    <row r="1" spans="2:55" ht="18" x14ac:dyDescent="0.35">
      <c r="C1" s="69" t="s">
        <v>153</v>
      </c>
      <c r="D1" s="70"/>
      <c r="E1" s="70"/>
      <c r="F1" s="70"/>
      <c r="G1" s="70"/>
      <c r="H1" s="70"/>
      <c r="I1" s="70"/>
      <c r="J1" s="70"/>
      <c r="K1" s="70"/>
      <c r="L1" s="70"/>
      <c r="M1" s="71"/>
      <c r="O1" t="s">
        <v>173</v>
      </c>
      <c r="V1" t="s">
        <v>147</v>
      </c>
      <c r="AC1" t="s">
        <v>148</v>
      </c>
      <c r="AJ1" t="s">
        <v>174</v>
      </c>
      <c r="AQ1" t="s">
        <v>150</v>
      </c>
      <c r="AX1" t="s">
        <v>151</v>
      </c>
    </row>
    <row r="2" spans="2:55" x14ac:dyDescent="0.35">
      <c r="B2" s="5" t="s">
        <v>23</v>
      </c>
      <c r="O2" t="s">
        <v>179</v>
      </c>
      <c r="P2" t="s">
        <v>180</v>
      </c>
      <c r="Q2" t="s">
        <v>181</v>
      </c>
      <c r="R2" t="s">
        <v>182</v>
      </c>
      <c r="S2" t="s">
        <v>183</v>
      </c>
      <c r="T2" t="s">
        <v>184</v>
      </c>
      <c r="V2" t="s">
        <v>179</v>
      </c>
      <c r="W2" t="s">
        <v>180</v>
      </c>
      <c r="X2" t="s">
        <v>181</v>
      </c>
      <c r="Y2" t="s">
        <v>182</v>
      </c>
      <c r="Z2" t="s">
        <v>183</v>
      </c>
      <c r="AA2" t="s">
        <v>184</v>
      </c>
      <c r="AC2" t="s">
        <v>179</v>
      </c>
      <c r="AD2" t="s">
        <v>180</v>
      </c>
      <c r="AE2" t="s">
        <v>181</v>
      </c>
      <c r="AF2" t="s">
        <v>182</v>
      </c>
      <c r="AG2" t="s">
        <v>183</v>
      </c>
      <c r="AH2" t="s">
        <v>184</v>
      </c>
      <c r="AJ2" t="s">
        <v>179</v>
      </c>
      <c r="AK2" t="s">
        <v>180</v>
      </c>
      <c r="AL2" t="s">
        <v>181</v>
      </c>
      <c r="AM2" t="s">
        <v>182</v>
      </c>
      <c r="AN2" t="s">
        <v>183</v>
      </c>
      <c r="AO2" t="s">
        <v>184</v>
      </c>
      <c r="AQ2" t="s">
        <v>179</v>
      </c>
      <c r="AR2" t="s">
        <v>180</v>
      </c>
      <c r="AS2" t="s">
        <v>181</v>
      </c>
      <c r="AT2" t="s">
        <v>182</v>
      </c>
      <c r="AU2" t="s">
        <v>183</v>
      </c>
      <c r="AV2" t="s">
        <v>184</v>
      </c>
      <c r="AX2" t="s">
        <v>179</v>
      </c>
      <c r="AY2" t="s">
        <v>180</v>
      </c>
      <c r="AZ2" t="s">
        <v>181</v>
      </c>
      <c r="BA2" t="s">
        <v>182</v>
      </c>
      <c r="BB2" t="s">
        <v>183</v>
      </c>
      <c r="BC2" t="s">
        <v>184</v>
      </c>
    </row>
    <row r="3" spans="2:55" x14ac:dyDescent="0.35">
      <c r="C3" s="72" t="s">
        <v>106</v>
      </c>
      <c r="D3" s="73"/>
      <c r="E3" s="73"/>
      <c r="F3" s="73"/>
      <c r="G3" s="73"/>
      <c r="H3" s="73"/>
      <c r="I3" s="73"/>
      <c r="J3" s="73"/>
      <c r="K3" s="73"/>
      <c r="L3" s="73"/>
      <c r="M3" s="74"/>
      <c r="O3">
        <v>1</v>
      </c>
      <c r="P3">
        <v>122.679857</v>
      </c>
      <c r="Q3" s="14">
        <v>1</v>
      </c>
      <c r="R3">
        <v>33.933999999999997</v>
      </c>
      <c r="S3" s="14">
        <v>1</v>
      </c>
      <c r="T3">
        <v>26</v>
      </c>
      <c r="V3">
        <v>1</v>
      </c>
      <c r="W3">
        <v>122.57133899999999</v>
      </c>
      <c r="X3" s="14">
        <v>1</v>
      </c>
      <c r="Y3">
        <v>33.878</v>
      </c>
      <c r="Z3" s="14">
        <v>1</v>
      </c>
      <c r="AA3">
        <v>26</v>
      </c>
      <c r="AC3">
        <v>1</v>
      </c>
      <c r="AD3">
        <v>121.416191</v>
      </c>
      <c r="AE3" s="14">
        <v>1</v>
      </c>
      <c r="AF3">
        <v>33.593000000000004</v>
      </c>
      <c r="AG3" s="14">
        <v>1</v>
      </c>
      <c r="AH3">
        <v>26</v>
      </c>
      <c r="AJ3">
        <v>1</v>
      </c>
      <c r="AK3">
        <v>123.070584</v>
      </c>
      <c r="AL3" s="14">
        <v>1</v>
      </c>
      <c r="AM3">
        <v>34.186</v>
      </c>
      <c r="AN3" s="14">
        <v>1</v>
      </c>
      <c r="AO3">
        <v>26</v>
      </c>
      <c r="AQ3">
        <v>1</v>
      </c>
      <c r="AR3">
        <v>121.83979600000001</v>
      </c>
      <c r="AS3" s="14">
        <v>1</v>
      </c>
      <c r="AT3">
        <v>33.863</v>
      </c>
      <c r="AU3" s="14">
        <v>1</v>
      </c>
      <c r="AV3">
        <v>26</v>
      </c>
      <c r="AX3">
        <v>1</v>
      </c>
      <c r="AY3">
        <v>123.622581</v>
      </c>
      <c r="AZ3" s="14">
        <v>1</v>
      </c>
      <c r="BA3">
        <v>34.323999999999998</v>
      </c>
      <c r="BB3" s="14">
        <v>1</v>
      </c>
      <c r="BC3">
        <v>26</v>
      </c>
    </row>
    <row r="4" spans="2:55" x14ac:dyDescent="0.35">
      <c r="C4" s="45" t="s">
        <v>24</v>
      </c>
      <c r="D4" s="45" t="s">
        <v>25</v>
      </c>
      <c r="E4" s="75" t="s">
        <v>26</v>
      </c>
      <c r="F4" s="75"/>
      <c r="G4" s="75"/>
      <c r="H4" s="75"/>
      <c r="I4" s="75"/>
      <c r="J4" s="75"/>
      <c r="K4" s="75"/>
      <c r="L4" s="45" t="s">
        <v>27</v>
      </c>
      <c r="M4" s="45" t="s">
        <v>28</v>
      </c>
      <c r="O4">
        <v>2</v>
      </c>
      <c r="P4">
        <v>122.78302499999999</v>
      </c>
      <c r="Q4" s="14">
        <v>1.0008409530506708</v>
      </c>
      <c r="R4">
        <v>33.957999999999998</v>
      </c>
      <c r="S4" s="14">
        <v>1.000707255260211</v>
      </c>
      <c r="T4">
        <v>26</v>
      </c>
      <c r="V4">
        <v>2</v>
      </c>
      <c r="W4">
        <v>122.661974</v>
      </c>
      <c r="X4" s="14">
        <v>1.0007394469273114</v>
      </c>
      <c r="Y4">
        <v>33.896999999999998</v>
      </c>
      <c r="Z4" s="14">
        <v>1.0005608359407285</v>
      </c>
      <c r="AA4">
        <v>26</v>
      </c>
      <c r="AC4">
        <v>2</v>
      </c>
      <c r="AD4">
        <v>121.499414</v>
      </c>
      <c r="AE4" s="14">
        <v>1.0006854357669646</v>
      </c>
      <c r="AF4">
        <v>33.61</v>
      </c>
      <c r="AG4" s="14">
        <v>1.0005060578096625</v>
      </c>
      <c r="AH4">
        <v>26</v>
      </c>
      <c r="AJ4">
        <v>2</v>
      </c>
      <c r="AK4">
        <v>123.142529</v>
      </c>
      <c r="AL4" s="14">
        <v>1.0005845832339595</v>
      </c>
      <c r="AM4">
        <v>34.197000000000003</v>
      </c>
      <c r="AN4" s="14">
        <v>1.0003217691452642</v>
      </c>
      <c r="AO4">
        <v>26</v>
      </c>
      <c r="AQ4">
        <v>2</v>
      </c>
      <c r="AR4">
        <v>121.949957</v>
      </c>
      <c r="AS4" s="14">
        <v>1.0009041462938759</v>
      </c>
      <c r="AT4">
        <v>33.884999999999998</v>
      </c>
      <c r="AU4" s="14">
        <v>1.0006496766382187</v>
      </c>
      <c r="AV4">
        <v>26</v>
      </c>
      <c r="AX4">
        <v>2</v>
      </c>
      <c r="AY4">
        <v>123.716832</v>
      </c>
      <c r="AZ4" s="14">
        <v>1.0007624092559595</v>
      </c>
      <c r="BA4">
        <v>34.341000000000001</v>
      </c>
      <c r="BB4" s="14">
        <v>1.0004952802703648</v>
      </c>
      <c r="BC4">
        <v>26</v>
      </c>
    </row>
    <row r="5" spans="2:55" x14ac:dyDescent="0.35">
      <c r="C5" s="12">
        <v>1</v>
      </c>
      <c r="D5" s="12" t="s">
        <v>56</v>
      </c>
      <c r="E5" s="76"/>
      <c r="F5" s="77"/>
      <c r="G5" s="77"/>
      <c r="H5" s="77"/>
      <c r="I5" s="77"/>
      <c r="J5" s="77"/>
      <c r="K5" s="78"/>
      <c r="L5" s="12"/>
      <c r="M5" s="12"/>
      <c r="O5">
        <v>3</v>
      </c>
      <c r="P5">
        <v>122.75649</v>
      </c>
      <c r="Q5" s="14">
        <v>1.0006246583740313</v>
      </c>
      <c r="R5">
        <v>33.954000000000001</v>
      </c>
      <c r="S5" s="14">
        <v>1.0005893793835092</v>
      </c>
      <c r="T5">
        <v>26</v>
      </c>
      <c r="V5">
        <v>3</v>
      </c>
      <c r="W5">
        <v>122.620801</v>
      </c>
      <c r="X5" s="14">
        <v>1.0004035364254282</v>
      </c>
      <c r="Y5">
        <v>33.887999999999998</v>
      </c>
      <c r="Z5" s="14">
        <v>1.0002951768109096</v>
      </c>
      <c r="AA5">
        <v>26</v>
      </c>
      <c r="AC5">
        <v>3</v>
      </c>
      <c r="AD5">
        <v>121.452581</v>
      </c>
      <c r="AE5" s="14">
        <v>1.0002997129106117</v>
      </c>
      <c r="AF5">
        <v>33.600999999999999</v>
      </c>
      <c r="AG5" s="14">
        <v>1.0002381448516058</v>
      </c>
      <c r="AH5">
        <v>26</v>
      </c>
      <c r="AJ5">
        <v>3</v>
      </c>
      <c r="AK5">
        <v>123.062707</v>
      </c>
      <c r="AL5" s="14">
        <v>0.99993599607847805</v>
      </c>
      <c r="AM5">
        <v>34.174999999999997</v>
      </c>
      <c r="AN5" s="14">
        <v>0.99967823085473573</v>
      </c>
      <c r="AO5">
        <v>26</v>
      </c>
      <c r="AQ5">
        <v>3</v>
      </c>
      <c r="AR5">
        <v>121.90490200000001</v>
      </c>
      <c r="AS5" s="14">
        <v>1.0005343574278474</v>
      </c>
      <c r="AT5">
        <v>33.871000000000002</v>
      </c>
      <c r="AU5" s="14">
        <v>1.0002362460502614</v>
      </c>
      <c r="AV5">
        <v>26</v>
      </c>
      <c r="AX5">
        <v>3</v>
      </c>
      <c r="AY5">
        <v>123.66341300000001</v>
      </c>
      <c r="AZ5" s="14">
        <v>1.000330295643965</v>
      </c>
      <c r="BA5">
        <v>34.326999999999998</v>
      </c>
      <c r="BB5" s="14">
        <v>1.0000874024006525</v>
      </c>
      <c r="BC5">
        <v>26</v>
      </c>
    </row>
    <row r="6" spans="2:55" x14ac:dyDescent="0.35">
      <c r="C6" s="12">
        <v>2</v>
      </c>
      <c r="D6" s="12" t="s">
        <v>57</v>
      </c>
      <c r="E6" s="66" t="s">
        <v>62</v>
      </c>
      <c r="F6" s="67"/>
      <c r="G6" s="67"/>
      <c r="H6" s="67"/>
      <c r="I6" s="67"/>
      <c r="J6" s="67"/>
      <c r="K6" s="68"/>
      <c r="L6" s="12" t="s">
        <v>69</v>
      </c>
      <c r="M6" s="12"/>
      <c r="O6">
        <v>4</v>
      </c>
      <c r="P6">
        <v>122.75290699999999</v>
      </c>
      <c r="Q6" s="14">
        <v>1.0005954522754292</v>
      </c>
      <c r="R6">
        <v>33.956000000000003</v>
      </c>
      <c r="S6" s="14">
        <v>1.0006483173218603</v>
      </c>
      <c r="T6">
        <v>26</v>
      </c>
      <c r="V6">
        <v>4</v>
      </c>
      <c r="W6">
        <v>122.614396</v>
      </c>
      <c r="X6" s="14">
        <v>1.0003512811424864</v>
      </c>
      <c r="Y6">
        <v>33.887</v>
      </c>
      <c r="Z6" s="14">
        <v>1.0002656591298187</v>
      </c>
      <c r="AA6">
        <v>26</v>
      </c>
      <c r="AC6">
        <v>4</v>
      </c>
      <c r="AD6">
        <v>121.453367</v>
      </c>
      <c r="AE6" s="14">
        <v>1.0003061865118137</v>
      </c>
      <c r="AF6">
        <v>33.603000000000002</v>
      </c>
      <c r="AG6" s="14">
        <v>1.0002976810645074</v>
      </c>
      <c r="AH6">
        <v>26</v>
      </c>
      <c r="AJ6">
        <v>4</v>
      </c>
      <c r="AK6">
        <v>123.080855</v>
      </c>
      <c r="AL6" s="14">
        <v>1.0000834561734102</v>
      </c>
      <c r="AM6">
        <v>34.183999999999997</v>
      </c>
      <c r="AN6" s="14">
        <v>0.99994149651904285</v>
      </c>
      <c r="AO6">
        <v>26</v>
      </c>
      <c r="AQ6">
        <v>4</v>
      </c>
      <c r="AR6">
        <v>121.92417500000001</v>
      </c>
      <c r="AS6" s="14">
        <v>1.0006925405554685</v>
      </c>
      <c r="AT6">
        <v>33.880000000000003</v>
      </c>
      <c r="AU6" s="14">
        <v>1.0005020228568056</v>
      </c>
      <c r="AV6">
        <v>26</v>
      </c>
      <c r="AX6">
        <v>4</v>
      </c>
      <c r="AY6">
        <v>123.663427</v>
      </c>
      <c r="AZ6" s="14">
        <v>1.0003304088918836</v>
      </c>
      <c r="BA6">
        <v>34.329000000000001</v>
      </c>
      <c r="BB6" s="14">
        <v>1.0001456706677545</v>
      </c>
      <c r="BC6">
        <v>26</v>
      </c>
    </row>
    <row r="7" spans="2:55" x14ac:dyDescent="0.35">
      <c r="C7" s="12">
        <v>3</v>
      </c>
      <c r="D7" s="12" t="s">
        <v>58</v>
      </c>
      <c r="E7" s="66" t="s">
        <v>63</v>
      </c>
      <c r="F7" s="67"/>
      <c r="G7" s="67"/>
      <c r="H7" s="67"/>
      <c r="I7" s="67"/>
      <c r="J7" s="67"/>
      <c r="K7" s="68"/>
      <c r="L7" s="12"/>
      <c r="M7" s="12"/>
      <c r="O7">
        <v>5</v>
      </c>
      <c r="P7">
        <v>122.747968</v>
      </c>
      <c r="Q7" s="14">
        <v>1.0005551930175465</v>
      </c>
      <c r="R7">
        <v>33.957999999999998</v>
      </c>
      <c r="S7" s="14">
        <v>1.000707255260211</v>
      </c>
      <c r="T7">
        <v>26</v>
      </c>
      <c r="V7">
        <v>5</v>
      </c>
      <c r="W7">
        <v>122.602204</v>
      </c>
      <c r="X7" s="14">
        <v>1.0002518125383293</v>
      </c>
      <c r="Y7">
        <v>33.886000000000003</v>
      </c>
      <c r="Z7" s="14">
        <v>1.000236141448728</v>
      </c>
      <c r="AA7">
        <v>26</v>
      </c>
      <c r="AC7">
        <v>5</v>
      </c>
      <c r="AD7">
        <v>121.44335</v>
      </c>
      <c r="AE7" s="14">
        <v>1.0002236851590904</v>
      </c>
      <c r="AF7">
        <v>33.6</v>
      </c>
      <c r="AG7" s="14">
        <v>1.0002083767451553</v>
      </c>
      <c r="AH7">
        <v>26</v>
      </c>
      <c r="AJ7">
        <v>5</v>
      </c>
      <c r="AK7">
        <v>123.031344</v>
      </c>
      <c r="AL7" s="14">
        <v>0.9996811585780726</v>
      </c>
      <c r="AM7">
        <v>34.167000000000002</v>
      </c>
      <c r="AN7" s="14">
        <v>0.99944421693090746</v>
      </c>
      <c r="AO7">
        <v>26</v>
      </c>
      <c r="AQ7">
        <v>5</v>
      </c>
      <c r="AR7">
        <v>121.916451</v>
      </c>
      <c r="AS7" s="14">
        <v>1.0006291458334351</v>
      </c>
      <c r="AT7">
        <v>33.877000000000002</v>
      </c>
      <c r="AU7" s="14">
        <v>1.0004134305879575</v>
      </c>
      <c r="AV7">
        <v>26</v>
      </c>
      <c r="AX7">
        <v>5</v>
      </c>
      <c r="AY7">
        <v>123.644021</v>
      </c>
      <c r="AZ7" s="14">
        <v>1.0001734310983201</v>
      </c>
      <c r="BA7">
        <v>34.323</v>
      </c>
      <c r="BB7" s="14">
        <v>0.99997086586644923</v>
      </c>
      <c r="BC7">
        <v>26</v>
      </c>
    </row>
    <row r="8" spans="2:55" x14ac:dyDescent="0.35">
      <c r="C8" s="12">
        <v>4</v>
      </c>
      <c r="D8" s="12" t="s">
        <v>59</v>
      </c>
      <c r="E8" s="66" t="s">
        <v>64</v>
      </c>
      <c r="F8" s="67"/>
      <c r="G8" s="67"/>
      <c r="H8" s="67"/>
      <c r="I8" s="67"/>
      <c r="J8" s="67"/>
      <c r="K8" s="68"/>
      <c r="L8" s="12" t="s">
        <v>70</v>
      </c>
      <c r="M8" s="12"/>
      <c r="O8">
        <v>6</v>
      </c>
      <c r="P8">
        <v>122.749576</v>
      </c>
      <c r="Q8" s="14">
        <v>1.0005683003037735</v>
      </c>
      <c r="R8">
        <v>33.960999999999999</v>
      </c>
      <c r="S8" s="14">
        <v>1.0007956621677374</v>
      </c>
      <c r="T8">
        <v>26</v>
      </c>
      <c r="V8">
        <v>6</v>
      </c>
      <c r="W8">
        <v>122.602053</v>
      </c>
      <c r="X8" s="14">
        <v>1.0002505806026971</v>
      </c>
      <c r="Y8">
        <v>33.889000000000003</v>
      </c>
      <c r="Z8" s="14">
        <v>1.0003246944920008</v>
      </c>
      <c r="AA8">
        <v>26</v>
      </c>
      <c r="AC8">
        <v>6</v>
      </c>
      <c r="AD8">
        <v>121.46291600000001</v>
      </c>
      <c r="AE8" s="14">
        <v>1.0003848333538976</v>
      </c>
      <c r="AF8">
        <v>33.606999999999999</v>
      </c>
      <c r="AG8" s="14">
        <v>1.0004167534903103</v>
      </c>
      <c r="AH8">
        <v>26</v>
      </c>
      <c r="AJ8">
        <v>6</v>
      </c>
      <c r="AK8">
        <v>123.049798</v>
      </c>
      <c r="AL8" s="14">
        <v>0.99983110505106565</v>
      </c>
      <c r="AM8">
        <v>34.173000000000002</v>
      </c>
      <c r="AN8" s="14">
        <v>0.9996197273737788</v>
      </c>
      <c r="AO8">
        <v>26</v>
      </c>
      <c r="AQ8">
        <v>6</v>
      </c>
      <c r="AR8">
        <v>121.926407</v>
      </c>
      <c r="AS8" s="14">
        <v>1.0007108596931662</v>
      </c>
      <c r="AT8">
        <v>33.881999999999998</v>
      </c>
      <c r="AU8" s="14">
        <v>1.0005610843693706</v>
      </c>
      <c r="AV8">
        <v>26</v>
      </c>
      <c r="AX8">
        <v>6</v>
      </c>
      <c r="AY8">
        <v>123.65430499999999</v>
      </c>
      <c r="AZ8" s="14">
        <v>1.000256619783727</v>
      </c>
      <c r="BA8">
        <v>34.326000000000001</v>
      </c>
      <c r="BB8" s="14">
        <v>1.0000582682671018</v>
      </c>
      <c r="BC8">
        <v>26</v>
      </c>
    </row>
    <row r="9" spans="2:55" x14ac:dyDescent="0.35">
      <c r="C9" s="12">
        <v>5</v>
      </c>
      <c r="D9" s="12" t="s">
        <v>58</v>
      </c>
      <c r="E9" s="66" t="s">
        <v>63</v>
      </c>
      <c r="F9" s="67"/>
      <c r="G9" s="67"/>
      <c r="H9" s="67"/>
      <c r="I9" s="67"/>
      <c r="J9" s="67"/>
      <c r="K9" s="68"/>
      <c r="L9" s="12"/>
      <c r="M9" s="12"/>
      <c r="O9">
        <v>7</v>
      </c>
      <c r="P9">
        <v>122.72176899999999</v>
      </c>
      <c r="Q9" s="14">
        <v>1.000341637176835</v>
      </c>
      <c r="R9">
        <v>33.957000000000001</v>
      </c>
      <c r="S9" s="14">
        <v>1.0006777862910357</v>
      </c>
      <c r="T9">
        <v>26</v>
      </c>
      <c r="V9">
        <v>7</v>
      </c>
      <c r="W9">
        <v>122.59864899999999</v>
      </c>
      <c r="X9" s="14">
        <v>1.0002228090206309</v>
      </c>
      <c r="Y9">
        <v>33.887</v>
      </c>
      <c r="Z9" s="14">
        <v>1.0002656591298187</v>
      </c>
      <c r="AA9">
        <v>26</v>
      </c>
      <c r="AC9">
        <v>7</v>
      </c>
      <c r="AD9">
        <v>121.435619</v>
      </c>
      <c r="AE9" s="14">
        <v>1.0001600116083365</v>
      </c>
      <c r="AF9">
        <v>33.598999999999997</v>
      </c>
      <c r="AG9" s="14">
        <v>1.0001786086387043</v>
      </c>
      <c r="AH9">
        <v>26</v>
      </c>
      <c r="AJ9">
        <v>7</v>
      </c>
      <c r="AK9">
        <v>123.03245800000001</v>
      </c>
      <c r="AL9" s="14">
        <v>0.99969021029428129</v>
      </c>
      <c r="AM9">
        <v>34.165999999999997</v>
      </c>
      <c r="AN9" s="14">
        <v>0.99941496519042872</v>
      </c>
      <c r="AO9">
        <v>26</v>
      </c>
      <c r="AQ9">
        <v>7</v>
      </c>
      <c r="AR9">
        <v>121.923704</v>
      </c>
      <c r="AS9" s="14">
        <v>1.0006886748234542</v>
      </c>
      <c r="AT9">
        <v>33.881</v>
      </c>
      <c r="AU9" s="14">
        <v>1.0005315536130881</v>
      </c>
      <c r="AV9">
        <v>26</v>
      </c>
      <c r="AX9">
        <v>7</v>
      </c>
      <c r="AY9">
        <v>123.63458199999999</v>
      </c>
      <c r="AZ9" s="14">
        <v>1.0000970777337193</v>
      </c>
      <c r="BA9">
        <v>34.32</v>
      </c>
      <c r="BB9" s="14">
        <v>0.9998834634657966</v>
      </c>
      <c r="BC9">
        <v>26</v>
      </c>
    </row>
    <row r="10" spans="2:55" x14ac:dyDescent="0.35">
      <c r="C10" s="12">
        <v>6</v>
      </c>
      <c r="D10" s="12" t="s">
        <v>57</v>
      </c>
      <c r="E10" s="66" t="s">
        <v>65</v>
      </c>
      <c r="F10" s="67"/>
      <c r="G10" s="67"/>
      <c r="H10" s="67"/>
      <c r="I10" s="67"/>
      <c r="J10" s="67"/>
      <c r="K10" s="68"/>
      <c r="L10" s="12" t="s">
        <v>69</v>
      </c>
      <c r="M10" s="12"/>
      <c r="O10">
        <v>8</v>
      </c>
      <c r="P10">
        <v>122.65976999999999</v>
      </c>
      <c r="Q10" s="14">
        <v>0.99983626488902733</v>
      </c>
      <c r="R10">
        <v>33.944000000000003</v>
      </c>
      <c r="S10" s="14">
        <v>1.0002946896917548</v>
      </c>
      <c r="T10">
        <v>26</v>
      </c>
      <c r="V10">
        <v>8</v>
      </c>
      <c r="W10">
        <v>122.534998</v>
      </c>
      <c r="X10" s="14">
        <v>0.99970351143834701</v>
      </c>
      <c r="Y10">
        <v>33.869999999999997</v>
      </c>
      <c r="Z10" s="14">
        <v>0.99976385855127214</v>
      </c>
      <c r="AA10">
        <v>26</v>
      </c>
      <c r="AC10">
        <v>8</v>
      </c>
      <c r="AD10">
        <v>121.375643</v>
      </c>
      <c r="AE10" s="14">
        <v>0.99966604124486169</v>
      </c>
      <c r="AF10">
        <v>33.582999999999998</v>
      </c>
      <c r="AG10" s="14">
        <v>0.99970231893549233</v>
      </c>
      <c r="AH10">
        <v>26</v>
      </c>
      <c r="AJ10">
        <v>8</v>
      </c>
      <c r="AK10">
        <v>122.978354</v>
      </c>
      <c r="AL10" s="14">
        <v>0.99925059265177452</v>
      </c>
      <c r="AM10">
        <v>34.152999999999999</v>
      </c>
      <c r="AN10" s="14">
        <v>0.99903469256420752</v>
      </c>
      <c r="AO10">
        <v>26</v>
      </c>
      <c r="AQ10">
        <v>8</v>
      </c>
      <c r="AR10">
        <v>121.848366</v>
      </c>
      <c r="AS10" s="14">
        <v>1.0000703382661604</v>
      </c>
      <c r="AT10">
        <v>33.862000000000002</v>
      </c>
      <c r="AU10" s="14">
        <v>0.99997046924371735</v>
      </c>
      <c r="AV10">
        <v>26</v>
      </c>
      <c r="AX10">
        <v>8</v>
      </c>
      <c r="AY10">
        <v>123.573292</v>
      </c>
      <c r="AZ10" s="14">
        <v>0.9996012945240158</v>
      </c>
      <c r="BA10">
        <v>34.305</v>
      </c>
      <c r="BB10" s="14">
        <v>0.99944645146253352</v>
      </c>
      <c r="BC10">
        <v>26</v>
      </c>
    </row>
    <row r="11" spans="2:55" x14ac:dyDescent="0.35">
      <c r="C11" s="12">
        <v>7</v>
      </c>
      <c r="D11" s="12" t="s">
        <v>58</v>
      </c>
      <c r="E11" s="66" t="s">
        <v>63</v>
      </c>
      <c r="F11" s="67"/>
      <c r="G11" s="67"/>
      <c r="H11" s="67"/>
      <c r="I11" s="67"/>
      <c r="J11" s="67"/>
      <c r="K11" s="68"/>
      <c r="L11" s="12"/>
      <c r="M11" s="12"/>
      <c r="O11">
        <v>9</v>
      </c>
      <c r="P11">
        <v>122.632456</v>
      </c>
      <c r="Q11" s="14">
        <v>0.99961362035170942</v>
      </c>
      <c r="R11">
        <v>33.938000000000002</v>
      </c>
      <c r="S11" s="14">
        <v>1.000117875876702</v>
      </c>
      <c r="T11">
        <v>26</v>
      </c>
      <c r="V11">
        <v>9</v>
      </c>
      <c r="W11">
        <v>122.516246</v>
      </c>
      <c r="X11" s="14">
        <v>0.99955052298155933</v>
      </c>
      <c r="Y11">
        <v>33.865000000000002</v>
      </c>
      <c r="Z11" s="14">
        <v>0.99961627014581744</v>
      </c>
      <c r="AA11">
        <v>26</v>
      </c>
      <c r="AC11">
        <v>9</v>
      </c>
      <c r="AD11">
        <v>121.344311</v>
      </c>
      <c r="AE11" s="14">
        <v>0.99940798669923692</v>
      </c>
      <c r="AF11">
        <v>33.573999999999998</v>
      </c>
      <c r="AG11" s="14">
        <v>0.9994344059774356</v>
      </c>
      <c r="AH11">
        <v>26</v>
      </c>
      <c r="AJ11">
        <v>9</v>
      </c>
      <c r="AK11">
        <v>122.952612</v>
      </c>
      <c r="AL11" s="14">
        <v>0.99904142812875585</v>
      </c>
      <c r="AM11">
        <v>34.146000000000001</v>
      </c>
      <c r="AN11" s="14">
        <v>0.99882993038085766</v>
      </c>
      <c r="AO11">
        <v>26</v>
      </c>
      <c r="AQ11">
        <v>9</v>
      </c>
      <c r="AR11">
        <v>121.833297</v>
      </c>
      <c r="AS11" s="14">
        <v>0.99994665946420325</v>
      </c>
      <c r="AT11">
        <v>33.854999999999997</v>
      </c>
      <c r="AU11" s="14">
        <v>0.9997637539497386</v>
      </c>
      <c r="AV11">
        <v>26</v>
      </c>
      <c r="AX11">
        <v>9</v>
      </c>
      <c r="AY11">
        <v>123.54012</v>
      </c>
      <c r="AZ11" s="14">
        <v>0.99933296166984253</v>
      </c>
      <c r="BA11">
        <v>34.295999999999999</v>
      </c>
      <c r="BB11" s="14">
        <v>0.99918424426057573</v>
      </c>
      <c r="BC11">
        <v>26</v>
      </c>
    </row>
    <row r="12" spans="2:55" x14ac:dyDescent="0.35">
      <c r="C12" s="12">
        <v>8</v>
      </c>
      <c r="D12" s="12" t="s">
        <v>60</v>
      </c>
      <c r="E12" s="66" t="s">
        <v>66</v>
      </c>
      <c r="F12" s="67"/>
      <c r="G12" s="67"/>
      <c r="H12" s="67"/>
      <c r="I12" s="67"/>
      <c r="J12" s="67"/>
      <c r="K12" s="68"/>
      <c r="L12" s="12"/>
      <c r="M12" s="12" t="s">
        <v>71</v>
      </c>
      <c r="O12">
        <v>10</v>
      </c>
      <c r="P12">
        <v>122.585977</v>
      </c>
      <c r="Q12" s="14">
        <v>0.99923475619962621</v>
      </c>
      <c r="R12">
        <v>33.927999999999997</v>
      </c>
      <c r="S12" s="14">
        <v>0.99982318618494725</v>
      </c>
      <c r="T12">
        <v>26</v>
      </c>
      <c r="V12">
        <v>10</v>
      </c>
      <c r="W12">
        <v>122.46290500000001</v>
      </c>
      <c r="X12" s="14">
        <v>0.99911533967985788</v>
      </c>
      <c r="Y12">
        <v>33.853000000000002</v>
      </c>
      <c r="Z12" s="14">
        <v>0.99926205797272571</v>
      </c>
      <c r="AA12">
        <v>26</v>
      </c>
      <c r="AC12">
        <v>10</v>
      </c>
      <c r="AD12">
        <v>121.30143</v>
      </c>
      <c r="AE12" s="14">
        <v>0.99905481304383859</v>
      </c>
      <c r="AF12">
        <v>33.564</v>
      </c>
      <c r="AG12" s="14">
        <v>0.99913672491292815</v>
      </c>
      <c r="AH12">
        <v>26</v>
      </c>
      <c r="AJ12">
        <v>10</v>
      </c>
      <c r="AK12">
        <v>122.891206</v>
      </c>
      <c r="AL12" s="14">
        <v>0.99854247868036439</v>
      </c>
      <c r="AM12">
        <v>34.128</v>
      </c>
      <c r="AN12" s="14">
        <v>0.99830339905224363</v>
      </c>
      <c r="AO12">
        <v>26</v>
      </c>
      <c r="AQ12">
        <v>10</v>
      </c>
      <c r="AR12">
        <v>121.787497</v>
      </c>
      <c r="AS12" s="14">
        <v>0.99957075601144307</v>
      </c>
      <c r="AT12">
        <v>33.844000000000001</v>
      </c>
      <c r="AU12" s="14">
        <v>0.99943891563062937</v>
      </c>
      <c r="AV12">
        <v>26</v>
      </c>
      <c r="AX12">
        <v>10</v>
      </c>
      <c r="AY12">
        <v>123.485795</v>
      </c>
      <c r="AZ12" s="14">
        <v>0.99889351929968195</v>
      </c>
      <c r="BA12">
        <v>34.279000000000003</v>
      </c>
      <c r="BB12" s="14">
        <v>0.99868896399021112</v>
      </c>
      <c r="BC12">
        <v>26</v>
      </c>
    </row>
    <row r="13" spans="2:55" x14ac:dyDescent="0.35">
      <c r="C13" s="12">
        <v>9</v>
      </c>
      <c r="D13" s="12" t="s">
        <v>60</v>
      </c>
      <c r="E13" s="66" t="s">
        <v>67</v>
      </c>
      <c r="F13" s="67"/>
      <c r="G13" s="67"/>
      <c r="H13" s="67"/>
      <c r="I13" s="67"/>
      <c r="J13" s="67"/>
      <c r="K13" s="68"/>
      <c r="L13" s="12"/>
      <c r="M13" s="12" t="s">
        <v>72</v>
      </c>
      <c r="O13">
        <v>11</v>
      </c>
      <c r="P13">
        <v>122.58901899999999</v>
      </c>
      <c r="Q13" s="14">
        <v>0.99925955244633191</v>
      </c>
      <c r="R13">
        <v>33.933</v>
      </c>
      <c r="S13" s="14">
        <v>0.99997053103082456</v>
      </c>
      <c r="T13">
        <v>26</v>
      </c>
      <c r="V13">
        <v>11</v>
      </c>
      <c r="W13">
        <v>122.474039</v>
      </c>
      <c r="X13" s="14">
        <v>0.99920617657607547</v>
      </c>
      <c r="Y13">
        <v>33.857999999999997</v>
      </c>
      <c r="Z13" s="14">
        <v>0.99940964637818042</v>
      </c>
      <c r="AA13">
        <v>26</v>
      </c>
      <c r="AC13">
        <v>11</v>
      </c>
      <c r="AD13">
        <v>121.32065799999999</v>
      </c>
      <c r="AE13" s="14">
        <v>0.99921317742540616</v>
      </c>
      <c r="AF13">
        <v>33.569000000000003</v>
      </c>
      <c r="AG13" s="14">
        <v>0.99928556544518199</v>
      </c>
      <c r="AH13">
        <v>26</v>
      </c>
      <c r="AJ13">
        <v>11</v>
      </c>
      <c r="AK13">
        <v>122.879695</v>
      </c>
      <c r="AL13" s="14">
        <v>0.99844894698801467</v>
      </c>
      <c r="AM13">
        <v>34.125</v>
      </c>
      <c r="AN13" s="14">
        <v>0.99821564383080796</v>
      </c>
      <c r="AO13">
        <v>26</v>
      </c>
      <c r="AQ13">
        <v>11</v>
      </c>
      <c r="AR13">
        <v>121.781885</v>
      </c>
      <c r="AS13" s="14">
        <v>0.99952469552723144</v>
      </c>
      <c r="AT13">
        <v>33.843000000000004</v>
      </c>
      <c r="AU13" s="14">
        <v>0.99940938487434672</v>
      </c>
      <c r="AV13">
        <v>26</v>
      </c>
      <c r="AX13">
        <v>11</v>
      </c>
      <c r="AY13">
        <v>123.492386</v>
      </c>
      <c r="AZ13" s="14">
        <v>0.99894683480196877</v>
      </c>
      <c r="BA13">
        <v>34.281999999999996</v>
      </c>
      <c r="BB13" s="14">
        <v>0.99877636639086353</v>
      </c>
      <c r="BC13">
        <v>26</v>
      </c>
    </row>
    <row r="14" spans="2:55" x14ac:dyDescent="0.35">
      <c r="C14" s="12">
        <v>10</v>
      </c>
      <c r="D14" s="12" t="s">
        <v>61</v>
      </c>
      <c r="E14" s="66" t="s">
        <v>68</v>
      </c>
      <c r="F14" s="67"/>
      <c r="G14" s="67"/>
      <c r="H14" s="67"/>
      <c r="I14" s="67"/>
      <c r="J14" s="67"/>
      <c r="K14" s="68"/>
      <c r="L14" s="12"/>
      <c r="M14" s="12"/>
      <c r="O14">
        <v>12</v>
      </c>
      <c r="P14">
        <v>122.563554</v>
      </c>
      <c r="Q14" s="14">
        <v>0.99905197965791559</v>
      </c>
      <c r="R14">
        <v>33.929000000000002</v>
      </c>
      <c r="S14" s="14">
        <v>0.9998526551541228</v>
      </c>
      <c r="T14">
        <v>26</v>
      </c>
      <c r="V14">
        <v>12</v>
      </c>
      <c r="W14">
        <v>122.451556</v>
      </c>
      <c r="X14" s="14">
        <v>0.99902274870310426</v>
      </c>
      <c r="Y14">
        <v>33.853999999999999</v>
      </c>
      <c r="Z14" s="14">
        <v>0.99929157565381665</v>
      </c>
      <c r="AA14">
        <v>26</v>
      </c>
      <c r="AC14">
        <v>12</v>
      </c>
      <c r="AD14">
        <v>121.284819</v>
      </c>
      <c r="AE14" s="14">
        <v>0.99891800262454289</v>
      </c>
      <c r="AF14">
        <v>33.557000000000002</v>
      </c>
      <c r="AG14" s="14">
        <v>0.99892834816777298</v>
      </c>
      <c r="AH14">
        <v>26</v>
      </c>
      <c r="AJ14">
        <v>12</v>
      </c>
      <c r="AK14">
        <v>122.84354399999999</v>
      </c>
      <c r="AL14" s="14">
        <v>0.9981552049838327</v>
      </c>
      <c r="AM14">
        <v>34.112000000000002</v>
      </c>
      <c r="AN14" s="14">
        <v>0.99783537120458676</v>
      </c>
      <c r="AO14">
        <v>26</v>
      </c>
      <c r="AQ14">
        <v>12</v>
      </c>
      <c r="AR14">
        <v>121.77969400000001</v>
      </c>
      <c r="AS14" s="14">
        <v>0.99950671289699133</v>
      </c>
      <c r="AT14">
        <v>33.841000000000001</v>
      </c>
      <c r="AU14" s="14">
        <v>0.99935032336178131</v>
      </c>
      <c r="AV14">
        <v>26</v>
      </c>
      <c r="AX14">
        <v>12</v>
      </c>
      <c r="AY14">
        <v>123.450744</v>
      </c>
      <c r="AZ14" s="14">
        <v>0.99860998695699454</v>
      </c>
      <c r="BA14">
        <v>34.270000000000003</v>
      </c>
      <c r="BB14" s="14">
        <v>0.99842675678825321</v>
      </c>
      <c r="BC14">
        <v>26</v>
      </c>
    </row>
    <row r="15" spans="2:55" x14ac:dyDescent="0.35">
      <c r="B15" s="5" t="s">
        <v>83</v>
      </c>
      <c r="E15" s="5" t="s">
        <v>84</v>
      </c>
      <c r="H15" s="5" t="s">
        <v>85</v>
      </c>
      <c r="K15" s="5" t="s">
        <v>86</v>
      </c>
      <c r="O15">
        <v>13</v>
      </c>
      <c r="P15">
        <v>122.496618</v>
      </c>
      <c r="Q15" s="14">
        <v>0.99850636441481999</v>
      </c>
      <c r="R15">
        <v>33.914999999999999</v>
      </c>
      <c r="S15" s="14">
        <v>0.99944008958566632</v>
      </c>
      <c r="T15">
        <v>26</v>
      </c>
      <c r="V15">
        <v>13</v>
      </c>
      <c r="W15">
        <v>122.383504</v>
      </c>
      <c r="X15" s="14">
        <v>0.99846754550017613</v>
      </c>
      <c r="Y15">
        <v>33.837000000000003</v>
      </c>
      <c r="Z15" s="14">
        <v>0.99878977507527023</v>
      </c>
      <c r="AA15">
        <v>26</v>
      </c>
      <c r="AC15">
        <v>13</v>
      </c>
      <c r="AD15">
        <v>121.24944600000001</v>
      </c>
      <c r="AE15" s="14">
        <v>0.9986266658620514</v>
      </c>
      <c r="AF15">
        <v>33.548999999999999</v>
      </c>
      <c r="AG15" s="14">
        <v>0.99869020331616698</v>
      </c>
      <c r="AH15">
        <v>26</v>
      </c>
      <c r="AJ15">
        <v>13</v>
      </c>
      <c r="AK15">
        <v>122.808165</v>
      </c>
      <c r="AL15" s="14">
        <v>0.99786773580273258</v>
      </c>
      <c r="AM15">
        <v>34.103999999999999</v>
      </c>
      <c r="AN15" s="14">
        <v>0.99760135728075816</v>
      </c>
      <c r="AO15">
        <v>26</v>
      </c>
      <c r="AQ15">
        <v>13</v>
      </c>
      <c r="AR15">
        <v>121.70703399999999</v>
      </c>
      <c r="AS15" s="14">
        <v>0.99891035602193545</v>
      </c>
      <c r="AT15">
        <v>33.822000000000003</v>
      </c>
      <c r="AU15" s="14">
        <v>0.99878923899241068</v>
      </c>
      <c r="AV15">
        <v>26</v>
      </c>
      <c r="AX15">
        <v>13</v>
      </c>
      <c r="AY15">
        <v>123.410342</v>
      </c>
      <c r="AZ15" s="14">
        <v>0.99828316964196051</v>
      </c>
      <c r="BA15">
        <v>34.26</v>
      </c>
      <c r="BB15" s="14">
        <v>0.99813541545274442</v>
      </c>
      <c r="BC15">
        <v>26</v>
      </c>
    </row>
    <row r="16" spans="2:55" x14ac:dyDescent="0.35">
      <c r="B16" s="5" t="s">
        <v>87</v>
      </c>
      <c r="E16" s="5" t="s">
        <v>88</v>
      </c>
      <c r="H16" s="5" t="s">
        <v>89</v>
      </c>
      <c r="O16">
        <v>14</v>
      </c>
      <c r="P16">
        <v>122.47638999999999</v>
      </c>
      <c r="Q16" s="14">
        <v>0.99834147997091316</v>
      </c>
      <c r="R16">
        <v>33.914999999999999</v>
      </c>
      <c r="S16" s="14">
        <v>0.99944008958566632</v>
      </c>
      <c r="T16">
        <v>26</v>
      </c>
      <c r="V16">
        <v>14</v>
      </c>
      <c r="W16">
        <v>122.36730900000001</v>
      </c>
      <c r="X16" s="14">
        <v>0.99833541836399464</v>
      </c>
      <c r="Y16">
        <v>33.832999999999998</v>
      </c>
      <c r="Z16" s="14">
        <v>0.99867170435090613</v>
      </c>
      <c r="AA16">
        <v>26</v>
      </c>
      <c r="AC16">
        <v>14</v>
      </c>
      <c r="AD16">
        <v>121.243875</v>
      </c>
      <c r="AE16" s="14">
        <v>0.99858078236040204</v>
      </c>
      <c r="AF16">
        <v>33.545999999999999</v>
      </c>
      <c r="AG16" s="14">
        <v>0.9986008989968147</v>
      </c>
      <c r="AH16">
        <v>26</v>
      </c>
      <c r="AJ16">
        <v>14</v>
      </c>
      <c r="AK16">
        <v>122.789058</v>
      </c>
      <c r="AL16" s="14">
        <v>0.99771248343145913</v>
      </c>
      <c r="AM16">
        <v>34.097000000000001</v>
      </c>
      <c r="AN16" s="14">
        <v>0.9973965950974083</v>
      </c>
      <c r="AO16">
        <v>26</v>
      </c>
      <c r="AQ16">
        <v>14</v>
      </c>
      <c r="AR16">
        <v>121.69211799999999</v>
      </c>
      <c r="AS16" s="14">
        <v>0.99878793296732038</v>
      </c>
      <c r="AT16">
        <v>33.817</v>
      </c>
      <c r="AU16" s="14">
        <v>0.99864158521099722</v>
      </c>
      <c r="AV16">
        <v>26</v>
      </c>
      <c r="AX16">
        <v>14</v>
      </c>
      <c r="AY16">
        <v>123.390479</v>
      </c>
      <c r="AZ16" s="14">
        <v>0.99812249511276585</v>
      </c>
      <c r="BA16">
        <v>34.256</v>
      </c>
      <c r="BB16" s="14">
        <v>0.99801887891854102</v>
      </c>
      <c r="BC16">
        <v>26</v>
      </c>
    </row>
    <row r="17" spans="3:55" x14ac:dyDescent="0.35">
      <c r="O17">
        <v>15</v>
      </c>
      <c r="P17">
        <v>122.434291</v>
      </c>
      <c r="Q17" s="14">
        <v>0.99799831850146359</v>
      </c>
      <c r="R17">
        <v>33.906999999999996</v>
      </c>
      <c r="S17" s="14">
        <v>0.99920433783226259</v>
      </c>
      <c r="T17">
        <v>26</v>
      </c>
      <c r="V17">
        <v>15</v>
      </c>
      <c r="W17">
        <v>122.348522</v>
      </c>
      <c r="X17" s="14">
        <v>0.99818214435921282</v>
      </c>
      <c r="Y17">
        <v>33.829000000000001</v>
      </c>
      <c r="Z17" s="14">
        <v>0.99855363362654226</v>
      </c>
      <c r="AA17">
        <v>26</v>
      </c>
      <c r="AC17">
        <v>15</v>
      </c>
      <c r="AD17">
        <v>121.210688</v>
      </c>
      <c r="AE17" s="14">
        <v>0.99830744978649522</v>
      </c>
      <c r="AF17">
        <v>33.537999999999997</v>
      </c>
      <c r="AG17" s="14">
        <v>0.99836275414520859</v>
      </c>
      <c r="AH17">
        <v>26</v>
      </c>
      <c r="AJ17">
        <v>15</v>
      </c>
      <c r="AK17">
        <v>122.739425</v>
      </c>
      <c r="AL17" s="14">
        <v>0.9973091945350645</v>
      </c>
      <c r="AM17">
        <v>34.082999999999998</v>
      </c>
      <c r="AN17" s="14">
        <v>0.99698707073070847</v>
      </c>
      <c r="AO17">
        <v>26</v>
      </c>
      <c r="AQ17">
        <v>15</v>
      </c>
      <c r="AR17">
        <v>121.651275</v>
      </c>
      <c r="AS17" s="14">
        <v>0.99845271408694736</v>
      </c>
      <c r="AT17">
        <v>33.804000000000002</v>
      </c>
      <c r="AU17" s="14">
        <v>0.99825768537932269</v>
      </c>
      <c r="AV17">
        <v>26</v>
      </c>
      <c r="AX17">
        <v>15</v>
      </c>
      <c r="AY17">
        <v>123.352985</v>
      </c>
      <c r="AZ17" s="14">
        <v>0.99781920100826893</v>
      </c>
      <c r="BA17">
        <v>34.244</v>
      </c>
      <c r="BB17" s="14">
        <v>0.99766926931593058</v>
      </c>
      <c r="BC17">
        <v>26</v>
      </c>
    </row>
    <row r="18" spans="3:55" x14ac:dyDescent="0.35">
      <c r="C18" s="79" t="s">
        <v>173</v>
      </c>
      <c r="D18" s="79"/>
      <c r="E18" s="79"/>
      <c r="F18" s="79"/>
      <c r="G18" s="79"/>
      <c r="H18" s="79" t="s">
        <v>114</v>
      </c>
      <c r="I18" s="79"/>
      <c r="J18" s="79"/>
      <c r="K18" s="79" t="s">
        <v>115</v>
      </c>
      <c r="L18" s="79"/>
      <c r="M18" s="79"/>
      <c r="O18">
        <v>16</v>
      </c>
      <c r="P18">
        <v>122.419719</v>
      </c>
      <c r="Q18" s="14">
        <v>0.99787953779567906</v>
      </c>
      <c r="R18">
        <v>33.909999999999997</v>
      </c>
      <c r="S18" s="14">
        <v>0.99929274473978902</v>
      </c>
      <c r="T18">
        <v>26</v>
      </c>
      <c r="V18">
        <v>16</v>
      </c>
      <c r="W18">
        <v>122.345423</v>
      </c>
      <c r="X18" s="14">
        <v>0.9981568611239533</v>
      </c>
      <c r="Y18">
        <v>33.83</v>
      </c>
      <c r="Z18" s="14">
        <v>0.9985831513076332</v>
      </c>
      <c r="AA18">
        <v>26</v>
      </c>
      <c r="AC18">
        <v>16</v>
      </c>
      <c r="AD18">
        <v>121.219475</v>
      </c>
      <c r="AE18" s="14">
        <v>0.9983798206945893</v>
      </c>
      <c r="AF18">
        <v>33.542000000000002</v>
      </c>
      <c r="AG18" s="14">
        <v>0.99848182657101181</v>
      </c>
      <c r="AH18">
        <v>26</v>
      </c>
      <c r="AJ18">
        <v>16</v>
      </c>
      <c r="AK18">
        <v>122.747371</v>
      </c>
      <c r="AL18" s="14">
        <v>0.997373759110463</v>
      </c>
      <c r="AM18">
        <v>34.085000000000001</v>
      </c>
      <c r="AN18" s="14">
        <v>0.99704557421166562</v>
      </c>
      <c r="AO18">
        <v>26</v>
      </c>
      <c r="AQ18">
        <v>16</v>
      </c>
      <c r="AR18">
        <v>121.645574</v>
      </c>
      <c r="AS18" s="14">
        <v>0.9984059231353275</v>
      </c>
      <c r="AT18">
        <v>33.802999999999997</v>
      </c>
      <c r="AU18" s="14">
        <v>0.99822815462303982</v>
      </c>
      <c r="AV18">
        <v>26</v>
      </c>
      <c r="AX18">
        <v>16</v>
      </c>
      <c r="AY18">
        <v>123.35408</v>
      </c>
      <c r="AZ18" s="14">
        <v>0.99782805861333701</v>
      </c>
      <c r="BA18">
        <v>34.247</v>
      </c>
      <c r="BB18" s="14">
        <v>0.99775667171658322</v>
      </c>
      <c r="BC18">
        <v>26</v>
      </c>
    </row>
    <row r="19" spans="3:55" x14ac:dyDescent="0.35">
      <c r="C19" t="s">
        <v>179</v>
      </c>
      <c r="D19" t="s">
        <v>185</v>
      </c>
      <c r="E19" t="s">
        <v>186</v>
      </c>
      <c r="F19" t="s">
        <v>183</v>
      </c>
      <c r="G19" t="s">
        <v>181</v>
      </c>
      <c r="H19" s="15" t="s">
        <v>187</v>
      </c>
      <c r="I19" s="15" t="s">
        <v>188</v>
      </c>
      <c r="J19" s="15" t="s">
        <v>189</v>
      </c>
      <c r="K19" s="15" t="s">
        <v>187</v>
      </c>
      <c r="L19" s="15" t="s">
        <v>188</v>
      </c>
      <c r="M19" s="15" t="s">
        <v>189</v>
      </c>
      <c r="O19">
        <v>17</v>
      </c>
      <c r="P19">
        <v>122.381265</v>
      </c>
      <c r="Q19" s="14">
        <v>0.99756608780527023</v>
      </c>
      <c r="R19">
        <v>33.902000000000001</v>
      </c>
      <c r="S19" s="14">
        <v>0.99905699298638539</v>
      </c>
      <c r="T19">
        <v>26</v>
      </c>
      <c r="V19">
        <v>17</v>
      </c>
      <c r="W19">
        <v>122.321625</v>
      </c>
      <c r="X19" s="14">
        <v>0.99796270480491367</v>
      </c>
      <c r="Y19">
        <v>33.826000000000001</v>
      </c>
      <c r="Z19" s="14">
        <v>0.99846508058326944</v>
      </c>
      <c r="AA19">
        <v>26</v>
      </c>
      <c r="AC19">
        <v>17</v>
      </c>
      <c r="AD19">
        <v>121.207639</v>
      </c>
      <c r="AE19" s="14">
        <v>0.99828233781440234</v>
      </c>
      <c r="AF19">
        <v>33.536000000000001</v>
      </c>
      <c r="AG19" s="14">
        <v>0.99830321793230725</v>
      </c>
      <c r="AH19">
        <v>26</v>
      </c>
      <c r="AJ19">
        <v>17</v>
      </c>
      <c r="AK19">
        <v>122.72221500000001</v>
      </c>
      <c r="AL19" s="14">
        <v>0.99716935608268509</v>
      </c>
      <c r="AM19">
        <v>34.073999999999998</v>
      </c>
      <c r="AN19" s="14">
        <v>0.99672380506640135</v>
      </c>
      <c r="AO19">
        <v>26</v>
      </c>
      <c r="AQ19">
        <v>17</v>
      </c>
      <c r="AR19">
        <v>121.647716</v>
      </c>
      <c r="AS19" s="14">
        <v>0.99842350359811827</v>
      </c>
      <c r="AT19">
        <v>33.801000000000002</v>
      </c>
      <c r="AU19" s="14">
        <v>0.99816909311047464</v>
      </c>
      <c r="AV19">
        <v>26</v>
      </c>
      <c r="AX19">
        <v>17</v>
      </c>
      <c r="AY19">
        <v>123.327798</v>
      </c>
      <c r="AZ19" s="14">
        <v>0.99761545991342804</v>
      </c>
      <c r="BA19">
        <v>34.237000000000002</v>
      </c>
      <c r="BB19" s="14">
        <v>0.99746533038107454</v>
      </c>
      <c r="BC19">
        <v>26</v>
      </c>
    </row>
    <row r="20" spans="3:55" x14ac:dyDescent="0.35">
      <c r="C20">
        <v>0</v>
      </c>
      <c r="D20">
        <v>33.9</v>
      </c>
      <c r="E20">
        <v>123.30119666666667</v>
      </c>
      <c r="F20" s="14">
        <v>1</v>
      </c>
      <c r="G20" s="14">
        <v>1</v>
      </c>
      <c r="I20">
        <v>3.3332401684852901</v>
      </c>
      <c r="K20" s="14"/>
      <c r="L20" s="14">
        <v>0</v>
      </c>
      <c r="M20" s="14"/>
      <c r="O20">
        <v>18</v>
      </c>
      <c r="P20">
        <v>122.361622</v>
      </c>
      <c r="Q20" s="14">
        <v>0.99740597187034541</v>
      </c>
      <c r="R20">
        <v>33.9</v>
      </c>
      <c r="S20" s="14">
        <v>0.99899805504803441</v>
      </c>
      <c r="T20">
        <v>26</v>
      </c>
      <c r="V20">
        <v>18</v>
      </c>
      <c r="W20">
        <v>122.30967699999999</v>
      </c>
      <c r="X20" s="14">
        <v>0.99786522687820189</v>
      </c>
      <c r="Y20">
        <v>33.822000000000003</v>
      </c>
      <c r="Z20" s="14">
        <v>0.99834700985890557</v>
      </c>
      <c r="AA20">
        <v>26</v>
      </c>
      <c r="AC20">
        <v>18</v>
      </c>
      <c r="AD20">
        <v>121.213745</v>
      </c>
      <c r="AE20" s="14">
        <v>0.99833262764765862</v>
      </c>
      <c r="AF20">
        <v>33.537999999999997</v>
      </c>
      <c r="AG20" s="14">
        <v>0.99836275414520859</v>
      </c>
      <c r="AH20">
        <v>26</v>
      </c>
      <c r="AJ20">
        <v>18</v>
      </c>
      <c r="AK20">
        <v>122.722748</v>
      </c>
      <c r="AL20" s="14">
        <v>0.99717368693074537</v>
      </c>
      <c r="AM20">
        <v>34.075000000000003</v>
      </c>
      <c r="AN20" s="14">
        <v>0.99675305680688009</v>
      </c>
      <c r="AO20">
        <v>26</v>
      </c>
      <c r="AQ20">
        <v>18</v>
      </c>
      <c r="AR20">
        <v>121.63382900000001</v>
      </c>
      <c r="AS20" s="14">
        <v>0.99830952605994183</v>
      </c>
      <c r="AT20">
        <v>33.798000000000002</v>
      </c>
      <c r="AU20" s="14">
        <v>0.99808050084162658</v>
      </c>
      <c r="AV20">
        <v>26</v>
      </c>
      <c r="AX20">
        <v>18</v>
      </c>
      <c r="AY20">
        <v>123.321744</v>
      </c>
      <c r="AZ20" s="14">
        <v>0.9975664882777362</v>
      </c>
      <c r="BA20">
        <v>34.237000000000002</v>
      </c>
      <c r="BB20" s="14">
        <v>0.99746533038107454</v>
      </c>
      <c r="BC20">
        <v>26</v>
      </c>
    </row>
    <row r="21" spans="3:55" x14ac:dyDescent="0.35">
      <c r="C21">
        <v>75</v>
      </c>
      <c r="D21">
        <v>33.507333333333328</v>
      </c>
      <c r="E21">
        <v>121.77005766666667</v>
      </c>
      <c r="F21" s="14">
        <v>0.9884169124877088</v>
      </c>
      <c r="G21" s="14">
        <v>0.98758212376365428</v>
      </c>
      <c r="I21">
        <v>3.5674697295931699</v>
      </c>
      <c r="K21" s="14"/>
      <c r="L21" s="14">
        <f>(I21-$I$20)/$I$20</f>
        <v>7.0270832363789629E-2</v>
      </c>
      <c r="M21" s="14"/>
      <c r="O21">
        <v>19</v>
      </c>
      <c r="P21">
        <v>122.39144400000001</v>
      </c>
      <c r="Q21" s="14">
        <v>0.99764905986155505</v>
      </c>
      <c r="R21">
        <v>33.905999999999999</v>
      </c>
      <c r="S21" s="14">
        <v>0.99917486886308726</v>
      </c>
      <c r="T21">
        <v>26</v>
      </c>
      <c r="V21">
        <v>19</v>
      </c>
      <c r="W21">
        <v>122.336305</v>
      </c>
      <c r="X21" s="14">
        <v>0.99808247179220255</v>
      </c>
      <c r="Y21">
        <v>33.828000000000003</v>
      </c>
      <c r="Z21" s="14">
        <v>0.99852411594545143</v>
      </c>
      <c r="AA21">
        <v>26</v>
      </c>
      <c r="AC21">
        <v>19</v>
      </c>
      <c r="AD21">
        <v>121.233113</v>
      </c>
      <c r="AE21" s="14">
        <v>0.99849214508796447</v>
      </c>
      <c r="AF21">
        <v>33.542999999999999</v>
      </c>
      <c r="AG21" s="14">
        <v>0.99851159467746242</v>
      </c>
      <c r="AH21">
        <v>26</v>
      </c>
      <c r="AJ21">
        <v>19</v>
      </c>
      <c r="AK21">
        <v>122.737641</v>
      </c>
      <c r="AL21" s="14">
        <v>0.99729469878846111</v>
      </c>
      <c r="AM21">
        <v>34.079000000000001</v>
      </c>
      <c r="AN21" s="14">
        <v>0.99687006376879428</v>
      </c>
      <c r="AO21">
        <v>26</v>
      </c>
      <c r="AQ21">
        <v>19</v>
      </c>
      <c r="AR21">
        <v>121.63691799999999</v>
      </c>
      <c r="AS21" s="14">
        <v>0.99833487902425566</v>
      </c>
      <c r="AT21">
        <v>33.799999999999997</v>
      </c>
      <c r="AU21" s="14">
        <v>0.99813956235419177</v>
      </c>
      <c r="AV21">
        <v>26</v>
      </c>
      <c r="AX21">
        <v>19</v>
      </c>
      <c r="AY21">
        <v>123.339607</v>
      </c>
      <c r="AZ21" s="14">
        <v>0.99771098453283391</v>
      </c>
      <c r="BA21">
        <v>34.24</v>
      </c>
      <c r="BB21" s="14">
        <v>0.99755273278172718</v>
      </c>
      <c r="BC21">
        <v>26</v>
      </c>
    </row>
    <row r="22" spans="3:55" x14ac:dyDescent="0.35">
      <c r="C22">
        <v>150</v>
      </c>
      <c r="D22">
        <v>32.953000000000003</v>
      </c>
      <c r="E22">
        <v>119.91305699999999</v>
      </c>
      <c r="F22" s="14">
        <v>0.97206489675516239</v>
      </c>
      <c r="G22" s="14">
        <v>0.9725214372750477</v>
      </c>
      <c r="I22">
        <v>3.6221958544806001</v>
      </c>
      <c r="K22" s="14"/>
      <c r="L22" s="14">
        <f t="shared" ref="L22:L26" si="0">(I22-$I$20)/$I$20</f>
        <v>8.6689128712444039E-2</v>
      </c>
      <c r="M22" s="14"/>
      <c r="O22">
        <v>20</v>
      </c>
      <c r="P22">
        <v>122.335525</v>
      </c>
      <c r="Q22" s="14">
        <v>0.99719324746196925</v>
      </c>
      <c r="R22">
        <v>33.895000000000003</v>
      </c>
      <c r="S22" s="14">
        <v>0.99885071020215732</v>
      </c>
      <c r="T22">
        <v>26</v>
      </c>
      <c r="V22">
        <v>20</v>
      </c>
      <c r="W22">
        <v>122.297793</v>
      </c>
      <c r="X22" s="14">
        <v>0.99776827109639399</v>
      </c>
      <c r="Y22">
        <v>33.817</v>
      </c>
      <c r="Z22" s="14">
        <v>0.99819942145345064</v>
      </c>
      <c r="AA22">
        <v>26</v>
      </c>
      <c r="AC22">
        <v>20</v>
      </c>
      <c r="AD22">
        <v>121.189937</v>
      </c>
      <c r="AE22" s="14">
        <v>0.99813654177308198</v>
      </c>
      <c r="AF22">
        <v>33.530999999999999</v>
      </c>
      <c r="AG22" s="14">
        <v>0.99815437740005342</v>
      </c>
      <c r="AH22">
        <v>26</v>
      </c>
      <c r="AJ22">
        <v>20</v>
      </c>
      <c r="AK22">
        <v>122.684702</v>
      </c>
      <c r="AL22" s="14">
        <v>0.99686454725850659</v>
      </c>
      <c r="AM22">
        <v>34.063000000000002</v>
      </c>
      <c r="AN22" s="14">
        <v>0.99640203592113741</v>
      </c>
      <c r="AO22">
        <v>26</v>
      </c>
      <c r="AQ22">
        <v>20</v>
      </c>
      <c r="AR22">
        <v>121.589296</v>
      </c>
      <c r="AS22" s="14">
        <v>0.9979440215083748</v>
      </c>
      <c r="AT22">
        <v>33.784999999999997</v>
      </c>
      <c r="AU22" s="14">
        <v>0.99769660100995172</v>
      </c>
      <c r="AV22">
        <v>26</v>
      </c>
      <c r="AX22">
        <v>20</v>
      </c>
      <c r="AY22">
        <v>123.293294</v>
      </c>
      <c r="AZ22" s="14">
        <v>0.9973363523287061</v>
      </c>
      <c r="BA22">
        <v>34.228000000000002</v>
      </c>
      <c r="BB22" s="14">
        <v>0.99720312317911675</v>
      </c>
      <c r="BC22">
        <v>26</v>
      </c>
    </row>
    <row r="23" spans="3:55" x14ac:dyDescent="0.35">
      <c r="C23">
        <v>225</v>
      </c>
      <c r="D23">
        <v>32.377333333333333</v>
      </c>
      <c r="E23">
        <v>117.91545433333334</v>
      </c>
      <c r="F23" s="14">
        <v>0.95508357915437558</v>
      </c>
      <c r="G23" s="14">
        <v>0.95632043744155071</v>
      </c>
      <c r="I23">
        <v>3.7818613914790098</v>
      </c>
      <c r="K23" s="14"/>
      <c r="L23" s="14">
        <f t="shared" si="0"/>
        <v>0.13459012861878017</v>
      </c>
      <c r="M23" s="14"/>
      <c r="O23">
        <v>21</v>
      </c>
      <c r="P23">
        <v>122.24704300000001</v>
      </c>
      <c r="Q23" s="14">
        <v>0.99647200436498717</v>
      </c>
      <c r="R23">
        <v>33.869999999999997</v>
      </c>
      <c r="S23" s="14">
        <v>0.99811398597277068</v>
      </c>
      <c r="T23">
        <v>26</v>
      </c>
      <c r="V23">
        <v>21</v>
      </c>
      <c r="W23">
        <v>122.237854</v>
      </c>
      <c r="X23" s="14">
        <v>0.99727925791852534</v>
      </c>
      <c r="Y23">
        <v>33.796999999999997</v>
      </c>
      <c r="Z23" s="14">
        <v>0.99760906783163106</v>
      </c>
      <c r="AA23">
        <v>26</v>
      </c>
      <c r="AC23">
        <v>21</v>
      </c>
      <c r="AD23">
        <v>121.08714500000001</v>
      </c>
      <c r="AE23" s="14">
        <v>0.99728993310290892</v>
      </c>
      <c r="AF23">
        <v>33.503</v>
      </c>
      <c r="AG23" s="14">
        <v>0.99732087041943251</v>
      </c>
      <c r="AH23">
        <v>26</v>
      </c>
      <c r="AJ23">
        <v>21</v>
      </c>
      <c r="AK23">
        <v>122.585233</v>
      </c>
      <c r="AL23" s="14">
        <v>0.99605632000576194</v>
      </c>
      <c r="AM23">
        <v>34.033000000000001</v>
      </c>
      <c r="AN23" s="14">
        <v>0.99552448370678059</v>
      </c>
      <c r="AO23">
        <v>26</v>
      </c>
      <c r="AQ23">
        <v>21</v>
      </c>
      <c r="AR23">
        <v>121.509207</v>
      </c>
      <c r="AS23" s="14">
        <v>0.99728669112348145</v>
      </c>
      <c r="AT23">
        <v>33.759</v>
      </c>
      <c r="AU23" s="14">
        <v>0.99692880134660256</v>
      </c>
      <c r="AV23">
        <v>26</v>
      </c>
      <c r="AX23">
        <v>21</v>
      </c>
      <c r="AY23">
        <v>123.185906</v>
      </c>
      <c r="AZ23" s="14">
        <v>0.99646767607934028</v>
      </c>
      <c r="BA23">
        <v>34.195999999999998</v>
      </c>
      <c r="BB23" s="14">
        <v>0.99627083090548885</v>
      </c>
      <c r="BC23">
        <v>26</v>
      </c>
    </row>
    <row r="24" spans="3:55" x14ac:dyDescent="0.35">
      <c r="C24">
        <v>300</v>
      </c>
      <c r="D24">
        <v>31.823666666666668</v>
      </c>
      <c r="E24">
        <v>115.98812700000001</v>
      </c>
      <c r="F24" s="14">
        <v>0.93875122910521147</v>
      </c>
      <c r="G24" s="14">
        <v>0.94068938611815045</v>
      </c>
      <c r="I24">
        <v>3.9246261694626901</v>
      </c>
      <c r="K24" s="14"/>
      <c r="L24" s="14">
        <f t="shared" si="0"/>
        <v>0.17742075910663854</v>
      </c>
      <c r="M24" s="14"/>
      <c r="O24">
        <v>22</v>
      </c>
      <c r="P24">
        <v>122.130027</v>
      </c>
      <c r="Q24" s="14">
        <v>0.9955181721478531</v>
      </c>
      <c r="R24">
        <v>33.847000000000001</v>
      </c>
      <c r="S24" s="14">
        <v>0.99743619968173525</v>
      </c>
      <c r="T24">
        <v>26</v>
      </c>
      <c r="V24">
        <v>22</v>
      </c>
      <c r="W24">
        <v>122.14257000000001</v>
      </c>
      <c r="X24" s="14">
        <v>0.99650188205906776</v>
      </c>
      <c r="Y24">
        <v>33.773000000000003</v>
      </c>
      <c r="Z24" s="14">
        <v>0.99690064348544782</v>
      </c>
      <c r="AA24">
        <v>26</v>
      </c>
      <c r="AC24">
        <v>22</v>
      </c>
      <c r="AD24">
        <v>120.996968</v>
      </c>
      <c r="AE24" s="14">
        <v>0.99654722326118761</v>
      </c>
      <c r="AF24">
        <v>33.478000000000002</v>
      </c>
      <c r="AG24" s="14">
        <v>0.99657666775816389</v>
      </c>
      <c r="AH24">
        <v>26</v>
      </c>
      <c r="AJ24">
        <v>22</v>
      </c>
      <c r="AK24">
        <v>122.469115</v>
      </c>
      <c r="AL24" s="14">
        <v>0.99511281266041607</v>
      </c>
      <c r="AM24">
        <v>34.000999999999998</v>
      </c>
      <c r="AN24" s="14">
        <v>0.99458842801146663</v>
      </c>
      <c r="AO24">
        <v>26</v>
      </c>
      <c r="AQ24">
        <v>22</v>
      </c>
      <c r="AR24">
        <v>121.410466</v>
      </c>
      <c r="AS24" s="14">
        <v>0.99647627446782649</v>
      </c>
      <c r="AT24">
        <v>33.732999999999997</v>
      </c>
      <c r="AU24" s="14">
        <v>0.99616100168325306</v>
      </c>
      <c r="AV24">
        <v>26</v>
      </c>
      <c r="AX24">
        <v>22</v>
      </c>
      <c r="AY24">
        <v>123.072108</v>
      </c>
      <c r="AZ24" s="14">
        <v>0.9955471484614935</v>
      </c>
      <c r="BA24">
        <v>34.165999999999997</v>
      </c>
      <c r="BB24" s="14">
        <v>0.99539680689896282</v>
      </c>
      <c r="BC24">
        <v>26</v>
      </c>
    </row>
    <row r="25" spans="3:55" x14ac:dyDescent="0.35">
      <c r="C25">
        <v>375</v>
      </c>
      <c r="D25">
        <v>31.228333333333335</v>
      </c>
      <c r="E25">
        <v>113.86918800000001</v>
      </c>
      <c r="F25" s="14">
        <v>0.92118977384464118</v>
      </c>
      <c r="G25" s="14">
        <v>0.92350432176124597</v>
      </c>
      <c r="I25">
        <v>4.06280690382596</v>
      </c>
      <c r="K25" s="14"/>
      <c r="L25" s="14">
        <f t="shared" si="0"/>
        <v>0.21887613807084405</v>
      </c>
      <c r="M25" s="14"/>
      <c r="O25">
        <v>23</v>
      </c>
      <c r="P25">
        <v>122.08763399999999</v>
      </c>
      <c r="Q25" s="14">
        <v>0.99517261419696634</v>
      </c>
      <c r="R25">
        <v>33.835000000000001</v>
      </c>
      <c r="S25" s="14">
        <v>0.99708257205162976</v>
      </c>
      <c r="T25">
        <v>26</v>
      </c>
      <c r="V25">
        <v>23</v>
      </c>
      <c r="W25">
        <v>122.05856900000001</v>
      </c>
      <c r="X25" s="14">
        <v>0.99581655871443164</v>
      </c>
      <c r="Y25">
        <v>33.755000000000003</v>
      </c>
      <c r="Z25" s="14">
        <v>0.99636932522581034</v>
      </c>
      <c r="AA25">
        <v>26</v>
      </c>
      <c r="AC25">
        <v>23</v>
      </c>
      <c r="AD25">
        <v>120.95542500000001</v>
      </c>
      <c r="AE25" s="14">
        <v>0.9962050695528738</v>
      </c>
      <c r="AF25">
        <v>33.466999999999999</v>
      </c>
      <c r="AG25" s="14">
        <v>0.9962492185872055</v>
      </c>
      <c r="AH25">
        <v>26</v>
      </c>
      <c r="AJ25">
        <v>23</v>
      </c>
      <c r="AK25">
        <v>122.42907599999999</v>
      </c>
      <c r="AL25" s="14">
        <v>0.99478747902910736</v>
      </c>
      <c r="AM25">
        <v>33.991</v>
      </c>
      <c r="AN25" s="14">
        <v>0.9942959106066811</v>
      </c>
      <c r="AO25">
        <v>26</v>
      </c>
      <c r="AQ25">
        <v>23</v>
      </c>
      <c r="AR25">
        <v>121.35076599999999</v>
      </c>
      <c r="AS25" s="14">
        <v>0.99598628677940326</v>
      </c>
      <c r="AT25">
        <v>33.716999999999999</v>
      </c>
      <c r="AU25" s="14">
        <v>0.99568850958273036</v>
      </c>
      <c r="AV25">
        <v>26</v>
      </c>
      <c r="AX25">
        <v>23</v>
      </c>
      <c r="AY25">
        <v>123.025865</v>
      </c>
      <c r="AZ25" s="14">
        <v>0.99517308249695902</v>
      </c>
      <c r="BA25">
        <v>34.154000000000003</v>
      </c>
      <c r="BB25" s="14">
        <v>0.9950471972963526</v>
      </c>
      <c r="BC25">
        <v>26</v>
      </c>
    </row>
    <row r="26" spans="3:55" x14ac:dyDescent="0.35">
      <c r="C26">
        <v>450</v>
      </c>
      <c r="D26">
        <v>30.625666666666664</v>
      </c>
      <c r="E26">
        <v>111.61792800000001</v>
      </c>
      <c r="F26" s="14">
        <v>0.90341199606686329</v>
      </c>
      <c r="G26" s="14">
        <v>0.90524610480260548</v>
      </c>
      <c r="I26">
        <v>4.2685613139273597</v>
      </c>
      <c r="K26" s="14"/>
      <c r="L26" s="14">
        <f t="shared" si="0"/>
        <v>0.28060418636653578</v>
      </c>
      <c r="M26" s="14"/>
      <c r="O26">
        <v>24</v>
      </c>
      <c r="P26">
        <v>122.06599</v>
      </c>
      <c r="Q26" s="14">
        <v>0.99499618751593422</v>
      </c>
      <c r="R26">
        <v>33.834000000000003</v>
      </c>
      <c r="S26" s="14">
        <v>0.99705310308245432</v>
      </c>
      <c r="T26">
        <v>26</v>
      </c>
      <c r="V26">
        <v>24</v>
      </c>
      <c r="W26">
        <v>122.055847</v>
      </c>
      <c r="X26" s="14">
        <v>0.99579435123899562</v>
      </c>
      <c r="Y26">
        <v>33.753999999999998</v>
      </c>
      <c r="Z26" s="14">
        <v>0.99633980754471918</v>
      </c>
      <c r="AA26">
        <v>26</v>
      </c>
      <c r="AC26">
        <v>24</v>
      </c>
      <c r="AD26">
        <v>120.95050000000001</v>
      </c>
      <c r="AE26" s="14">
        <v>0.99616450659368816</v>
      </c>
      <c r="AF26">
        <v>33.466999999999999</v>
      </c>
      <c r="AG26" s="14">
        <v>0.9962492185872055</v>
      </c>
      <c r="AH26">
        <v>26</v>
      </c>
      <c r="AJ26">
        <v>24</v>
      </c>
      <c r="AK26">
        <v>122.432052</v>
      </c>
      <c r="AL26" s="14">
        <v>0.99481166027456247</v>
      </c>
      <c r="AM26">
        <v>33.988999999999997</v>
      </c>
      <c r="AN26" s="14">
        <v>0.99423740712572395</v>
      </c>
      <c r="AO26">
        <v>26</v>
      </c>
      <c r="AQ26">
        <v>24</v>
      </c>
      <c r="AR26">
        <v>121.331374</v>
      </c>
      <c r="AS26" s="14">
        <v>0.9958271269594049</v>
      </c>
      <c r="AT26">
        <v>33.710999999999999</v>
      </c>
      <c r="AU26" s="14">
        <v>0.99551132504503437</v>
      </c>
      <c r="AV26">
        <v>26</v>
      </c>
      <c r="AX26">
        <v>24</v>
      </c>
      <c r="AY26">
        <v>123.03044</v>
      </c>
      <c r="AZ26" s="14">
        <v>0.99521009029895602</v>
      </c>
      <c r="BA26">
        <v>34.154000000000003</v>
      </c>
      <c r="BB26" s="14">
        <v>0.9950471972963526</v>
      </c>
      <c r="BC26">
        <v>26</v>
      </c>
    </row>
    <row r="27" spans="3:55" x14ac:dyDescent="0.35">
      <c r="O27">
        <v>25</v>
      </c>
      <c r="P27">
        <v>122.04494800000001</v>
      </c>
      <c r="Q27" s="14">
        <v>0.99482466791594004</v>
      </c>
      <c r="R27">
        <v>33.831000000000003</v>
      </c>
      <c r="S27" s="14">
        <v>0.996964696174928</v>
      </c>
      <c r="T27">
        <v>26</v>
      </c>
      <c r="V27">
        <v>25</v>
      </c>
      <c r="W27">
        <v>122.050281</v>
      </c>
      <c r="X27" s="14">
        <v>0.99574894094940092</v>
      </c>
      <c r="Y27">
        <v>33.755000000000003</v>
      </c>
      <c r="Z27" s="14">
        <v>0.99636932522581034</v>
      </c>
      <c r="AA27">
        <v>26</v>
      </c>
      <c r="AC27">
        <v>25</v>
      </c>
      <c r="AD27">
        <v>120.953096</v>
      </c>
      <c r="AE27" s="14">
        <v>0.99618588759714921</v>
      </c>
      <c r="AF27">
        <v>33.463999999999999</v>
      </c>
      <c r="AG27" s="14">
        <v>0.99615991426785333</v>
      </c>
      <c r="AH27">
        <v>26</v>
      </c>
      <c r="AJ27">
        <v>25</v>
      </c>
      <c r="AK27">
        <v>122.449358</v>
      </c>
      <c r="AL27" s="14">
        <v>0.994952278767118</v>
      </c>
      <c r="AM27">
        <v>33.994</v>
      </c>
      <c r="AN27" s="14">
        <v>0.99438366582811677</v>
      </c>
      <c r="AO27">
        <v>26</v>
      </c>
      <c r="AQ27">
        <v>25</v>
      </c>
      <c r="AR27">
        <v>121.328304</v>
      </c>
      <c r="AS27" s="14">
        <v>0.99580192993757144</v>
      </c>
      <c r="AT27">
        <v>33.710999999999999</v>
      </c>
      <c r="AU27" s="14">
        <v>0.99551132504503437</v>
      </c>
      <c r="AV27">
        <v>26</v>
      </c>
      <c r="AX27">
        <v>25</v>
      </c>
      <c r="AY27">
        <v>123.02016</v>
      </c>
      <c r="AZ27" s="14">
        <v>0.99512693397009733</v>
      </c>
      <c r="BA27">
        <v>34.15</v>
      </c>
      <c r="BB27" s="14">
        <v>0.99493066076214898</v>
      </c>
      <c r="BC27">
        <v>26</v>
      </c>
    </row>
    <row r="28" spans="3:55" x14ac:dyDescent="0.35">
      <c r="C28" s="79" t="s">
        <v>147</v>
      </c>
      <c r="D28" s="79"/>
      <c r="E28" s="79"/>
      <c r="F28" s="79"/>
      <c r="G28" s="79"/>
      <c r="H28" s="79" t="s">
        <v>114</v>
      </c>
      <c r="I28" s="79"/>
      <c r="J28" s="79"/>
      <c r="K28" s="79" t="s">
        <v>115</v>
      </c>
      <c r="L28" s="79"/>
      <c r="M28" s="79"/>
      <c r="O28">
        <v>26</v>
      </c>
      <c r="P28">
        <v>121.98954999999999</v>
      </c>
      <c r="Q28" s="14">
        <v>0.99437310234230214</v>
      </c>
      <c r="R28">
        <v>33.813000000000002</v>
      </c>
      <c r="S28" s="14">
        <v>0.99643425472976965</v>
      </c>
      <c r="T28">
        <v>26</v>
      </c>
      <c r="V28">
        <v>26</v>
      </c>
      <c r="W28">
        <v>122.00037500000001</v>
      </c>
      <c r="X28" s="14">
        <v>0.99534178214370339</v>
      </c>
      <c r="Y28">
        <v>33.738999999999997</v>
      </c>
      <c r="Z28" s="14">
        <v>0.99589704232835463</v>
      </c>
      <c r="AA28">
        <v>26</v>
      </c>
      <c r="AC28">
        <v>26</v>
      </c>
      <c r="AD28">
        <v>120.907315</v>
      </c>
      <c r="AE28" s="14">
        <v>0.99580882915360114</v>
      </c>
      <c r="AF28">
        <v>33.451999999999998</v>
      </c>
      <c r="AG28" s="14">
        <v>0.99580269699044432</v>
      </c>
      <c r="AH28">
        <v>26</v>
      </c>
      <c r="AJ28">
        <v>26</v>
      </c>
      <c r="AK28">
        <v>122.40485</v>
      </c>
      <c r="AL28" s="14">
        <v>0.99459063264053416</v>
      </c>
      <c r="AM28">
        <v>33.981999999999999</v>
      </c>
      <c r="AN28" s="14">
        <v>0.99403264494237409</v>
      </c>
      <c r="AO28">
        <v>26</v>
      </c>
      <c r="AQ28">
        <v>26</v>
      </c>
      <c r="AR28">
        <v>121.278083</v>
      </c>
      <c r="AS28" s="14">
        <v>0.99538974113187118</v>
      </c>
      <c r="AT28">
        <v>33.694000000000003</v>
      </c>
      <c r="AU28" s="14">
        <v>0.99500930218822914</v>
      </c>
      <c r="AV28">
        <v>26</v>
      </c>
      <c r="AX28">
        <v>26</v>
      </c>
      <c r="AY28">
        <v>122.96968200000001</v>
      </c>
      <c r="AZ28" s="14">
        <v>0.99471861051016242</v>
      </c>
      <c r="BA28">
        <v>34.136000000000003</v>
      </c>
      <c r="BB28" s="14">
        <v>0.9945227828924369</v>
      </c>
      <c r="BC28">
        <v>26</v>
      </c>
    </row>
    <row r="29" spans="3:55" x14ac:dyDescent="0.35">
      <c r="C29" t="s">
        <v>179</v>
      </c>
      <c r="D29" t="s">
        <v>185</v>
      </c>
      <c r="E29" t="s">
        <v>186</v>
      </c>
      <c r="F29" t="s">
        <v>183</v>
      </c>
      <c r="G29" t="s">
        <v>181</v>
      </c>
      <c r="H29" s="15" t="s">
        <v>187</v>
      </c>
      <c r="I29" s="15" t="s">
        <v>188</v>
      </c>
      <c r="J29" s="15" t="s">
        <v>189</v>
      </c>
      <c r="K29" s="15" t="s">
        <v>187</v>
      </c>
      <c r="L29" s="15" t="s">
        <v>188</v>
      </c>
      <c r="M29" s="15" t="s">
        <v>189</v>
      </c>
      <c r="O29">
        <v>27</v>
      </c>
      <c r="P29">
        <v>121.936504</v>
      </c>
      <c r="Q29" s="14">
        <v>0.99394070862016082</v>
      </c>
      <c r="R29">
        <v>33.805</v>
      </c>
      <c r="S29" s="14">
        <v>0.99619850297636592</v>
      </c>
      <c r="T29">
        <v>26</v>
      </c>
      <c r="V29">
        <v>27</v>
      </c>
      <c r="W29">
        <v>121.951967</v>
      </c>
      <c r="X29" s="14">
        <v>0.99494684479215811</v>
      </c>
      <c r="Y29">
        <v>33.728000000000002</v>
      </c>
      <c r="Z29" s="14">
        <v>0.99557234783635407</v>
      </c>
      <c r="AA29">
        <v>26</v>
      </c>
      <c r="AC29">
        <v>27</v>
      </c>
      <c r="AD29">
        <v>120.86775299999999</v>
      </c>
      <c r="AE29" s="14">
        <v>0.99548299122643369</v>
      </c>
      <c r="AF29">
        <v>33.442</v>
      </c>
      <c r="AG29" s="14">
        <v>0.99550501592593688</v>
      </c>
      <c r="AH29">
        <v>26</v>
      </c>
      <c r="AJ29">
        <v>27</v>
      </c>
      <c r="AK29">
        <v>122.299201</v>
      </c>
      <c r="AL29" s="14">
        <v>0.99373219030146143</v>
      </c>
      <c r="AM29">
        <v>33.951999999999998</v>
      </c>
      <c r="AN29" s="14">
        <v>0.99315509272801727</v>
      </c>
      <c r="AO29">
        <v>26</v>
      </c>
      <c r="AQ29">
        <v>27</v>
      </c>
      <c r="AR29">
        <v>121.210733</v>
      </c>
      <c r="AS29" s="14">
        <v>0.99483696607633842</v>
      </c>
      <c r="AT29">
        <v>33.676000000000002</v>
      </c>
      <c r="AU29" s="14">
        <v>0.99447774857514104</v>
      </c>
      <c r="AV29">
        <v>26</v>
      </c>
      <c r="AX29">
        <v>27</v>
      </c>
      <c r="AY29">
        <v>122.908519</v>
      </c>
      <c r="AZ29" s="14">
        <v>0.99422385462086416</v>
      </c>
      <c r="BA29">
        <v>34.119</v>
      </c>
      <c r="BB29" s="14">
        <v>0.99402750262207207</v>
      </c>
      <c r="BC29">
        <v>26</v>
      </c>
    </row>
    <row r="30" spans="3:55" x14ac:dyDescent="0.35">
      <c r="C30">
        <v>0</v>
      </c>
      <c r="D30">
        <v>33.87833333333333</v>
      </c>
      <c r="E30">
        <v>123.28206366666666</v>
      </c>
      <c r="F30" s="14">
        <v>1</v>
      </c>
      <c r="G30" s="14">
        <v>1</v>
      </c>
      <c r="I30">
        <v>3.31721842330407</v>
      </c>
      <c r="K30" s="14"/>
      <c r="L30" s="14">
        <v>0</v>
      </c>
      <c r="M30" s="14"/>
      <c r="O30">
        <v>28</v>
      </c>
      <c r="P30">
        <v>121.931487</v>
      </c>
      <c r="Q30" s="14">
        <v>0.99389981356108037</v>
      </c>
      <c r="R30">
        <v>33.805</v>
      </c>
      <c r="S30" s="14">
        <v>0.99619850297636592</v>
      </c>
      <c r="T30">
        <v>26</v>
      </c>
      <c r="V30">
        <v>28</v>
      </c>
      <c r="W30">
        <v>121.95868400000001</v>
      </c>
      <c r="X30" s="14">
        <v>0.99500164553150561</v>
      </c>
      <c r="Y30">
        <v>33.731000000000002</v>
      </c>
      <c r="Z30" s="14">
        <v>0.99566090087962689</v>
      </c>
      <c r="AA30">
        <v>26</v>
      </c>
      <c r="AC30">
        <v>28</v>
      </c>
      <c r="AD30">
        <v>120.885571</v>
      </c>
      <c r="AE30" s="14">
        <v>0.99562974265928006</v>
      </c>
      <c r="AF30">
        <v>33.445999999999998</v>
      </c>
      <c r="AG30" s="14">
        <v>0.99562408835173977</v>
      </c>
      <c r="AH30">
        <v>26</v>
      </c>
      <c r="AJ30">
        <v>28</v>
      </c>
      <c r="AK30">
        <v>122.27665500000001</v>
      </c>
      <c r="AL30" s="14">
        <v>0.9935489946159678</v>
      </c>
      <c r="AM30">
        <v>33.945999999999998</v>
      </c>
      <c r="AN30" s="14">
        <v>0.99297958228514593</v>
      </c>
      <c r="AO30">
        <v>26</v>
      </c>
      <c r="AQ30">
        <v>28</v>
      </c>
      <c r="AR30">
        <v>121.176891</v>
      </c>
      <c r="AS30" s="14">
        <v>0.9945592078962443</v>
      </c>
      <c r="AT30">
        <v>33.665999999999997</v>
      </c>
      <c r="AU30" s="14">
        <v>0.99418244101231423</v>
      </c>
      <c r="AV30">
        <v>26</v>
      </c>
      <c r="AX30">
        <v>28</v>
      </c>
      <c r="AY30">
        <v>122.917958</v>
      </c>
      <c r="AZ30" s="14">
        <v>0.99430020798546503</v>
      </c>
      <c r="BA30">
        <v>34.121000000000002</v>
      </c>
      <c r="BB30" s="14">
        <v>0.99408577088917383</v>
      </c>
      <c r="BC30">
        <v>26</v>
      </c>
    </row>
    <row r="31" spans="3:55" x14ac:dyDescent="0.35">
      <c r="C31">
        <v>75</v>
      </c>
      <c r="D31">
        <v>33.438000000000002</v>
      </c>
      <c r="E31">
        <v>121.67862466666666</v>
      </c>
      <c r="F31" s="14">
        <v>0.98700250897820652</v>
      </c>
      <c r="G31" s="14">
        <v>0.98699373653952271</v>
      </c>
      <c r="I31">
        <v>3.4661349449734402</v>
      </c>
      <c r="K31" s="14"/>
      <c r="L31" s="14">
        <f>(I31-$I$30)/$I$30</f>
        <v>4.4891985593473197E-2</v>
      </c>
      <c r="M31" s="14"/>
      <c r="O31">
        <v>29</v>
      </c>
      <c r="P31">
        <v>121.925971</v>
      </c>
      <c r="Q31" s="14">
        <v>0.99385485100459492</v>
      </c>
      <c r="R31">
        <v>33.805</v>
      </c>
      <c r="S31" s="14">
        <v>0.99619850297636592</v>
      </c>
      <c r="T31">
        <v>26</v>
      </c>
      <c r="V31">
        <v>29</v>
      </c>
      <c r="W31">
        <v>121.958617</v>
      </c>
      <c r="X31" s="14">
        <v>0.99500109891105959</v>
      </c>
      <c r="Y31">
        <v>33.726999999999997</v>
      </c>
      <c r="Z31" s="14">
        <v>0.9955428301552629</v>
      </c>
      <c r="AA31">
        <v>26</v>
      </c>
      <c r="AC31">
        <v>29</v>
      </c>
      <c r="AD31">
        <v>120.871692</v>
      </c>
      <c r="AE31" s="14">
        <v>0.99551543335764836</v>
      </c>
      <c r="AF31">
        <v>33.441000000000003</v>
      </c>
      <c r="AG31" s="14">
        <v>0.99547524781948615</v>
      </c>
      <c r="AH31">
        <v>26</v>
      </c>
      <c r="AJ31">
        <v>29</v>
      </c>
      <c r="AK31">
        <v>122.242654</v>
      </c>
      <c r="AL31" s="14">
        <v>0.99327272226156016</v>
      </c>
      <c r="AM31">
        <v>33.933999999999997</v>
      </c>
      <c r="AN31" s="14">
        <v>0.99262856139940314</v>
      </c>
      <c r="AO31">
        <v>26</v>
      </c>
      <c r="AQ31">
        <v>29</v>
      </c>
      <c r="AR31">
        <v>121.16636</v>
      </c>
      <c r="AS31" s="14">
        <v>0.99447277472460627</v>
      </c>
      <c r="AT31">
        <v>33.659999999999997</v>
      </c>
      <c r="AU31" s="14">
        <v>0.99400525647461824</v>
      </c>
      <c r="AV31">
        <v>26</v>
      </c>
      <c r="AX31">
        <v>29</v>
      </c>
      <c r="AY31">
        <v>122.896396</v>
      </c>
      <c r="AZ31" s="14">
        <v>0.99412579001242496</v>
      </c>
      <c r="BA31">
        <v>34.113</v>
      </c>
      <c r="BB31" s="14">
        <v>0.99385269782076691</v>
      </c>
      <c r="BC31">
        <v>26</v>
      </c>
    </row>
    <row r="32" spans="3:55" x14ac:dyDescent="0.35">
      <c r="C32">
        <v>150</v>
      </c>
      <c r="D32">
        <v>32.902333333333338</v>
      </c>
      <c r="E32">
        <v>119.83872566666666</v>
      </c>
      <c r="F32" s="14">
        <v>0.97119102671323876</v>
      </c>
      <c r="G32" s="14">
        <v>0.97206943250633615</v>
      </c>
      <c r="I32">
        <v>3.5479273670841001</v>
      </c>
      <c r="K32" s="14"/>
      <c r="L32" s="14">
        <f t="shared" ref="L32:L36" si="1">(I32-$I$30)/$I$30</f>
        <v>6.9548915488729129E-2</v>
      </c>
      <c r="M32" s="14"/>
      <c r="O32">
        <v>30</v>
      </c>
      <c r="P32">
        <v>121.927997</v>
      </c>
      <c r="Q32" s="14">
        <v>0.99387136553313726</v>
      </c>
      <c r="R32">
        <v>33.805</v>
      </c>
      <c r="S32" s="14">
        <v>0.99619850297636592</v>
      </c>
      <c r="T32">
        <v>26</v>
      </c>
      <c r="V32">
        <v>30</v>
      </c>
      <c r="W32">
        <v>121.967973</v>
      </c>
      <c r="X32" s="14">
        <v>0.99507742996917092</v>
      </c>
      <c r="Y32">
        <v>33.729999999999997</v>
      </c>
      <c r="Z32" s="14">
        <v>0.99563138319853584</v>
      </c>
      <c r="AA32">
        <v>26</v>
      </c>
      <c r="AC32">
        <v>30</v>
      </c>
      <c r="AD32">
        <v>120.89360600000001</v>
      </c>
      <c r="AE32" s="14">
        <v>0.99569591999472296</v>
      </c>
      <c r="AF32">
        <v>33.445</v>
      </c>
      <c r="AG32" s="14">
        <v>0.99559432024528915</v>
      </c>
      <c r="AH32">
        <v>26</v>
      </c>
      <c r="AJ32">
        <v>30</v>
      </c>
      <c r="AK32">
        <v>122.25314299999999</v>
      </c>
      <c r="AL32" s="14">
        <v>0.99335794977620318</v>
      </c>
      <c r="AM32">
        <v>33.933999999999997</v>
      </c>
      <c r="AN32" s="14">
        <v>0.99262856139940314</v>
      </c>
      <c r="AO32">
        <v>26</v>
      </c>
      <c r="AQ32">
        <v>30</v>
      </c>
      <c r="AR32">
        <v>121.17527699999999</v>
      </c>
      <c r="AS32" s="14">
        <v>0.99454596099290893</v>
      </c>
      <c r="AT32">
        <v>33.661999999999999</v>
      </c>
      <c r="AU32" s="14">
        <v>0.99406431798718364</v>
      </c>
      <c r="AV32">
        <v>26</v>
      </c>
      <c r="AX32">
        <v>30</v>
      </c>
      <c r="AY32">
        <v>122.903407</v>
      </c>
      <c r="AZ32" s="14">
        <v>0.99418250295227217</v>
      </c>
      <c r="BA32">
        <v>34.113999999999997</v>
      </c>
      <c r="BB32" s="14">
        <v>0.99388183195431767</v>
      </c>
      <c r="BC32">
        <v>26</v>
      </c>
    </row>
    <row r="33" spans="3:55" x14ac:dyDescent="0.35">
      <c r="C33">
        <v>225</v>
      </c>
      <c r="D33">
        <v>32.403333333333336</v>
      </c>
      <c r="E33">
        <v>118.11790233333333</v>
      </c>
      <c r="F33" s="14">
        <v>0.95646184877256868</v>
      </c>
      <c r="G33" s="14">
        <v>0.95811100836780017</v>
      </c>
      <c r="I33">
        <v>3.6819101382487101</v>
      </c>
      <c r="K33" s="14"/>
      <c r="L33" s="14">
        <f t="shared" si="1"/>
        <v>0.10993901166791237</v>
      </c>
      <c r="M33" s="14"/>
      <c r="O33">
        <v>31</v>
      </c>
      <c r="P33">
        <v>121.861574</v>
      </c>
      <c r="Q33" s="14">
        <v>0.99332993190561025</v>
      </c>
      <c r="R33">
        <v>33.786000000000001</v>
      </c>
      <c r="S33" s="14">
        <v>0.99563859256203224</v>
      </c>
      <c r="T33">
        <v>26</v>
      </c>
      <c r="V33">
        <v>31</v>
      </c>
      <c r="W33">
        <v>121.921644</v>
      </c>
      <c r="X33" s="14">
        <v>0.99469945416848227</v>
      </c>
      <c r="Y33">
        <v>33.718000000000004</v>
      </c>
      <c r="Z33" s="14">
        <v>0.99527717102544433</v>
      </c>
      <c r="AA33">
        <v>26</v>
      </c>
      <c r="AC33">
        <v>31</v>
      </c>
      <c r="AD33">
        <v>120.83598600000001</v>
      </c>
      <c r="AE33" s="14">
        <v>0.99522135396258649</v>
      </c>
      <c r="AF33">
        <v>33.43</v>
      </c>
      <c r="AG33" s="14">
        <v>0.99514779864852787</v>
      </c>
      <c r="AH33">
        <v>26</v>
      </c>
      <c r="AJ33">
        <v>31</v>
      </c>
      <c r="AK33">
        <v>122.206574</v>
      </c>
      <c r="AL33" s="14">
        <v>0.99297955716209174</v>
      </c>
      <c r="AM33">
        <v>33.920999999999999</v>
      </c>
      <c r="AN33" s="14">
        <v>0.99224828877318194</v>
      </c>
      <c r="AO33">
        <v>26</v>
      </c>
      <c r="AQ33">
        <v>31</v>
      </c>
      <c r="AR33">
        <v>121.136987</v>
      </c>
      <c r="AS33" s="14">
        <v>0.99423169585740279</v>
      </c>
      <c r="AT33">
        <v>33.649000000000001</v>
      </c>
      <c r="AU33" s="14">
        <v>0.993680418155509</v>
      </c>
      <c r="AV33">
        <v>26</v>
      </c>
      <c r="AX33">
        <v>31</v>
      </c>
      <c r="AY33">
        <v>122.847426</v>
      </c>
      <c r="AZ33" s="14">
        <v>0.99372966497115933</v>
      </c>
      <c r="BA33">
        <v>34.095999999999997</v>
      </c>
      <c r="BB33" s="14">
        <v>0.99335741755040197</v>
      </c>
      <c r="BC33">
        <v>26</v>
      </c>
    </row>
    <row r="34" spans="3:55" x14ac:dyDescent="0.35">
      <c r="C34">
        <v>300</v>
      </c>
      <c r="D34">
        <v>31.881333333333334</v>
      </c>
      <c r="E34">
        <v>116.29117633333333</v>
      </c>
      <c r="F34" s="14">
        <v>0.94105377084665731</v>
      </c>
      <c r="G34" s="14">
        <v>0.943293556861317</v>
      </c>
      <c r="I34">
        <v>3.7910642885714001</v>
      </c>
      <c r="K34" s="14"/>
      <c r="L34" s="14">
        <f t="shared" si="1"/>
        <v>0.14284433667028848</v>
      </c>
      <c r="M34" s="14"/>
      <c r="O34">
        <v>32</v>
      </c>
      <c r="P34">
        <v>121.817599</v>
      </c>
      <c r="Q34" s="14">
        <v>0.9929714786022289</v>
      </c>
      <c r="R34">
        <v>33.774000000000001</v>
      </c>
      <c r="S34" s="14">
        <v>0.99528496493192675</v>
      </c>
      <c r="T34">
        <v>26</v>
      </c>
      <c r="V34">
        <v>32</v>
      </c>
      <c r="W34">
        <v>121.87447400000001</v>
      </c>
      <c r="X34" s="14">
        <v>0.99431461705741842</v>
      </c>
      <c r="Y34">
        <v>33.704999999999998</v>
      </c>
      <c r="Z34" s="14">
        <v>0.99489344117126155</v>
      </c>
      <c r="AA34">
        <v>26</v>
      </c>
      <c r="AC34">
        <v>32</v>
      </c>
      <c r="AD34">
        <v>120.787784</v>
      </c>
      <c r="AE34" s="14">
        <v>0.99482435583900009</v>
      </c>
      <c r="AF34">
        <v>33.415999999999997</v>
      </c>
      <c r="AG34" s="14">
        <v>0.99473104515821731</v>
      </c>
      <c r="AH34">
        <v>26</v>
      </c>
      <c r="AJ34">
        <v>32</v>
      </c>
      <c r="AK34">
        <v>122.13406500000001</v>
      </c>
      <c r="AL34" s="14">
        <v>0.99239039119209838</v>
      </c>
      <c r="AM34">
        <v>33.902000000000001</v>
      </c>
      <c r="AN34" s="14">
        <v>0.9916925057040894</v>
      </c>
      <c r="AO34">
        <v>26</v>
      </c>
      <c r="AQ34">
        <v>32</v>
      </c>
      <c r="AR34">
        <v>121.057149</v>
      </c>
      <c r="AS34" s="14">
        <v>0.99357642555475045</v>
      </c>
      <c r="AT34">
        <v>33.627000000000002</v>
      </c>
      <c r="AU34" s="14">
        <v>0.99303074151729032</v>
      </c>
      <c r="AV34">
        <v>26</v>
      </c>
      <c r="AX34">
        <v>32</v>
      </c>
      <c r="AY34">
        <v>122.796054</v>
      </c>
      <c r="AZ34" s="14">
        <v>0.99331410982270307</v>
      </c>
      <c r="BA34">
        <v>34.082000000000001</v>
      </c>
      <c r="BB34" s="14">
        <v>0.99294953968069</v>
      </c>
      <c r="BC34">
        <v>26</v>
      </c>
    </row>
    <row r="35" spans="3:55" x14ac:dyDescent="0.35">
      <c r="C35">
        <v>375</v>
      </c>
      <c r="D35">
        <v>31.265000000000001</v>
      </c>
      <c r="E35">
        <v>114.107376</v>
      </c>
      <c r="F35" s="14">
        <v>0.92286121906823448</v>
      </c>
      <c r="G35" s="14">
        <v>0.9255797040235032</v>
      </c>
      <c r="I35">
        <v>3.9784299031053099</v>
      </c>
      <c r="K35" s="14"/>
      <c r="L35" s="14">
        <f t="shared" si="1"/>
        <v>0.19932708535443655</v>
      </c>
      <c r="M35" s="14"/>
      <c r="O35">
        <v>33</v>
      </c>
      <c r="P35">
        <v>121.84329700000001</v>
      </c>
      <c r="Q35" s="14">
        <v>0.99318095064294054</v>
      </c>
      <c r="R35">
        <v>33.781999999999996</v>
      </c>
      <c r="S35" s="14">
        <v>0.99552071668533026</v>
      </c>
      <c r="T35">
        <v>26</v>
      </c>
      <c r="V35">
        <v>33</v>
      </c>
      <c r="W35">
        <v>121.853188</v>
      </c>
      <c r="X35" s="14">
        <v>0.99414095492584942</v>
      </c>
      <c r="Y35">
        <v>33.701000000000001</v>
      </c>
      <c r="Z35" s="14">
        <v>0.99477537044689768</v>
      </c>
      <c r="AA35">
        <v>26</v>
      </c>
      <c r="AC35">
        <v>33</v>
      </c>
      <c r="AD35">
        <v>120.79701799999999</v>
      </c>
      <c r="AE35" s="14">
        <v>0.99490040829892279</v>
      </c>
      <c r="AF35">
        <v>33.417999999999999</v>
      </c>
      <c r="AG35" s="14">
        <v>0.99479058137111886</v>
      </c>
      <c r="AH35">
        <v>26</v>
      </c>
      <c r="AJ35">
        <v>33</v>
      </c>
      <c r="AK35">
        <v>122.107049</v>
      </c>
      <c r="AL35" s="14">
        <v>0.99217087488591105</v>
      </c>
      <c r="AM35">
        <v>33.893999999999998</v>
      </c>
      <c r="AN35" s="14">
        <v>0.99145849178026091</v>
      </c>
      <c r="AO35">
        <v>26</v>
      </c>
      <c r="AQ35">
        <v>33</v>
      </c>
      <c r="AR35">
        <v>121.03733699999999</v>
      </c>
      <c r="AS35" s="14">
        <v>0.99341381858518529</v>
      </c>
      <c r="AT35">
        <v>33.621000000000002</v>
      </c>
      <c r="AU35" s="14">
        <v>0.99285355697959432</v>
      </c>
      <c r="AV35">
        <v>26</v>
      </c>
      <c r="AX35">
        <v>33</v>
      </c>
      <c r="AY35">
        <v>122.788449</v>
      </c>
      <c r="AZ35" s="14">
        <v>0.99325259193544913</v>
      </c>
      <c r="BA35">
        <v>34.08</v>
      </c>
      <c r="BB35" s="14">
        <v>0.99289127141358813</v>
      </c>
      <c r="BC35">
        <v>26</v>
      </c>
    </row>
    <row r="36" spans="3:55" x14ac:dyDescent="0.35">
      <c r="C36">
        <v>450</v>
      </c>
      <c r="D36">
        <v>30.647333333333332</v>
      </c>
      <c r="E36">
        <v>111.77698533333334</v>
      </c>
      <c r="F36" s="14">
        <v>0.90462931076892805</v>
      </c>
      <c r="G36" s="14">
        <v>0.90667678662127971</v>
      </c>
      <c r="I36">
        <v>4.2767436451160599</v>
      </c>
      <c r="K36" s="14"/>
      <c r="L36" s="14">
        <f t="shared" si="1"/>
        <v>0.28925596670727155</v>
      </c>
      <c r="M36" s="14"/>
      <c r="O36">
        <v>34</v>
      </c>
      <c r="P36">
        <v>121.849811</v>
      </c>
      <c r="Q36" s="14">
        <v>0.99323404819423622</v>
      </c>
      <c r="R36">
        <v>33.781999999999996</v>
      </c>
      <c r="S36" s="14">
        <v>0.99552071668533026</v>
      </c>
      <c r="T36">
        <v>26</v>
      </c>
      <c r="V36">
        <v>34</v>
      </c>
      <c r="W36">
        <v>121.877161</v>
      </c>
      <c r="X36" s="14">
        <v>0.99433653898486007</v>
      </c>
      <c r="Y36">
        <v>33.704999999999998</v>
      </c>
      <c r="Z36" s="14">
        <v>0.99489344117126155</v>
      </c>
      <c r="AA36">
        <v>26</v>
      </c>
      <c r="AC36">
        <v>34</v>
      </c>
      <c r="AD36">
        <v>120.813395</v>
      </c>
      <c r="AE36" s="14">
        <v>0.99503529146289893</v>
      </c>
      <c r="AF36">
        <v>33.421999999999997</v>
      </c>
      <c r="AG36" s="14">
        <v>0.99490965379692176</v>
      </c>
      <c r="AH36">
        <v>26</v>
      </c>
      <c r="AJ36">
        <v>34</v>
      </c>
      <c r="AK36">
        <v>122.121672</v>
      </c>
      <c r="AL36" s="14">
        <v>0.99228969288063185</v>
      </c>
      <c r="AM36">
        <v>33.896000000000001</v>
      </c>
      <c r="AN36" s="14">
        <v>0.99151699526121806</v>
      </c>
      <c r="AO36">
        <v>26</v>
      </c>
      <c r="AQ36">
        <v>34</v>
      </c>
      <c r="AR36">
        <v>121.048349</v>
      </c>
      <c r="AS36" s="14">
        <v>0.99350419956382718</v>
      </c>
      <c r="AT36">
        <v>33.622</v>
      </c>
      <c r="AU36" s="14">
        <v>0.99288308773587697</v>
      </c>
      <c r="AV36">
        <v>26</v>
      </c>
      <c r="AX36">
        <v>34</v>
      </c>
      <c r="AY36">
        <v>122.79233499999999</v>
      </c>
      <c r="AZ36" s="14">
        <v>0.99328402632201962</v>
      </c>
      <c r="BA36">
        <v>34.08</v>
      </c>
      <c r="BB36" s="14">
        <v>0.99289127141358813</v>
      </c>
      <c r="BC36">
        <v>26</v>
      </c>
    </row>
    <row r="37" spans="3:55" x14ac:dyDescent="0.35">
      <c r="O37">
        <v>35</v>
      </c>
      <c r="P37">
        <v>121.81547999999999</v>
      </c>
      <c r="Q37" s="14">
        <v>0.99295420600302786</v>
      </c>
      <c r="R37">
        <v>33.771000000000001</v>
      </c>
      <c r="S37" s="14">
        <v>0.99519655802440044</v>
      </c>
      <c r="T37">
        <v>26</v>
      </c>
      <c r="V37">
        <v>35</v>
      </c>
      <c r="W37">
        <v>121.874948</v>
      </c>
      <c r="X37" s="14">
        <v>0.99431848419311153</v>
      </c>
      <c r="Y37">
        <v>33.704000000000001</v>
      </c>
      <c r="Z37" s="14">
        <v>0.99486392349017061</v>
      </c>
      <c r="AA37">
        <v>26</v>
      </c>
      <c r="AC37">
        <v>35</v>
      </c>
      <c r="AD37">
        <v>120.80225</v>
      </c>
      <c r="AE37" s="14">
        <v>0.99494349975119878</v>
      </c>
      <c r="AF37">
        <v>33.417000000000002</v>
      </c>
      <c r="AG37" s="14">
        <v>0.99476081326466814</v>
      </c>
      <c r="AH37">
        <v>26</v>
      </c>
      <c r="AJ37">
        <v>35</v>
      </c>
      <c r="AK37">
        <v>122.112201</v>
      </c>
      <c r="AL37" s="14">
        <v>0.9922127370420214</v>
      </c>
      <c r="AM37">
        <v>33.892000000000003</v>
      </c>
      <c r="AN37" s="14">
        <v>0.99139998829930387</v>
      </c>
      <c r="AO37">
        <v>26</v>
      </c>
      <c r="AQ37">
        <v>35</v>
      </c>
      <c r="AR37">
        <v>121.03069000000001</v>
      </c>
      <c r="AS37" s="14">
        <v>0.99335926333954139</v>
      </c>
      <c r="AT37">
        <v>33.619</v>
      </c>
      <c r="AU37" s="14">
        <v>0.99279449546702891</v>
      </c>
      <c r="AV37">
        <v>26</v>
      </c>
      <c r="AX37">
        <v>35</v>
      </c>
      <c r="AY37">
        <v>122.775307</v>
      </c>
      <c r="AZ37" s="14">
        <v>0.99314628449635756</v>
      </c>
      <c r="BA37">
        <v>34.073</v>
      </c>
      <c r="BB37" s="14">
        <v>0.9926873324787322</v>
      </c>
      <c r="BC37">
        <v>26</v>
      </c>
    </row>
    <row r="38" spans="3:55" x14ac:dyDescent="0.35">
      <c r="C38" s="79" t="s">
        <v>148</v>
      </c>
      <c r="D38" s="79"/>
      <c r="E38" s="79"/>
      <c r="F38" s="79"/>
      <c r="G38" s="79"/>
      <c r="H38" s="79" t="s">
        <v>114</v>
      </c>
      <c r="I38" s="79"/>
      <c r="J38" s="79"/>
      <c r="K38" s="79" t="s">
        <v>115</v>
      </c>
      <c r="L38" s="79"/>
      <c r="M38" s="79"/>
      <c r="O38">
        <v>36</v>
      </c>
      <c r="P38">
        <v>121.770769</v>
      </c>
      <c r="Q38" s="14">
        <v>0.99258975334475652</v>
      </c>
      <c r="R38">
        <v>33.759</v>
      </c>
      <c r="S38" s="14">
        <v>0.99484293039429494</v>
      </c>
      <c r="T38">
        <v>26</v>
      </c>
      <c r="V38">
        <v>36</v>
      </c>
      <c r="W38">
        <v>121.806179</v>
      </c>
      <c r="X38" s="14">
        <v>0.99375743133555883</v>
      </c>
      <c r="Y38">
        <v>33.685000000000002</v>
      </c>
      <c r="Z38" s="14">
        <v>0.99430308754944219</v>
      </c>
      <c r="AA38">
        <v>26</v>
      </c>
      <c r="AC38">
        <v>36</v>
      </c>
      <c r="AD38">
        <v>120.733763</v>
      </c>
      <c r="AE38" s="14">
        <v>0.99437943165257092</v>
      </c>
      <c r="AF38">
        <v>33.399000000000001</v>
      </c>
      <c r="AG38" s="14">
        <v>0.99422498734855469</v>
      </c>
      <c r="AH38">
        <v>26</v>
      </c>
      <c r="AJ38">
        <v>36</v>
      </c>
      <c r="AK38">
        <v>122.079294</v>
      </c>
      <c r="AL38" s="14">
        <v>0.99194535389545246</v>
      </c>
      <c r="AM38">
        <v>33.881999999999998</v>
      </c>
      <c r="AN38" s="14">
        <v>0.99110747089451812</v>
      </c>
      <c r="AO38">
        <v>26</v>
      </c>
      <c r="AQ38">
        <v>36</v>
      </c>
      <c r="AR38">
        <v>120.978381</v>
      </c>
      <c r="AS38" s="14">
        <v>0.99292993727599477</v>
      </c>
      <c r="AT38">
        <v>33.600999999999999</v>
      </c>
      <c r="AU38" s="14">
        <v>0.99226294185394082</v>
      </c>
      <c r="AV38">
        <v>26</v>
      </c>
      <c r="AX38">
        <v>36</v>
      </c>
      <c r="AY38">
        <v>122.714602</v>
      </c>
      <c r="AZ38" s="14">
        <v>0.99265523343182749</v>
      </c>
      <c r="BA38">
        <v>34.055999999999997</v>
      </c>
      <c r="BB38" s="14">
        <v>0.99219205220836726</v>
      </c>
      <c r="BC38">
        <v>26</v>
      </c>
    </row>
    <row r="39" spans="3:55" x14ac:dyDescent="0.35">
      <c r="C39" t="s">
        <v>179</v>
      </c>
      <c r="D39" t="s">
        <v>185</v>
      </c>
      <c r="E39" t="s">
        <v>186</v>
      </c>
      <c r="F39" t="s">
        <v>183</v>
      </c>
      <c r="G39" t="s">
        <v>181</v>
      </c>
      <c r="H39" s="15" t="s">
        <v>187</v>
      </c>
      <c r="I39" s="15" t="s">
        <v>188</v>
      </c>
      <c r="J39" s="15" t="s">
        <v>189</v>
      </c>
      <c r="K39" s="15" t="s">
        <v>187</v>
      </c>
      <c r="L39" s="15" t="s">
        <v>188</v>
      </c>
      <c r="M39" s="15" t="s">
        <v>189</v>
      </c>
      <c r="O39">
        <v>37</v>
      </c>
      <c r="P39">
        <v>121.68765</v>
      </c>
      <c r="Q39" s="14">
        <v>0.9919122256557571</v>
      </c>
      <c r="R39">
        <v>33.734999999999999</v>
      </c>
      <c r="S39" s="14">
        <v>0.99413567513408385</v>
      </c>
      <c r="T39">
        <v>26</v>
      </c>
      <c r="V39">
        <v>37</v>
      </c>
      <c r="W39">
        <v>121.770152</v>
      </c>
      <c r="X39" s="14">
        <v>0.99346350454733956</v>
      </c>
      <c r="Y39">
        <v>33.673000000000002</v>
      </c>
      <c r="Z39" s="14">
        <v>0.99394887537635046</v>
      </c>
      <c r="AA39">
        <v>26</v>
      </c>
      <c r="AC39">
        <v>37</v>
      </c>
      <c r="AD39">
        <v>120.674207</v>
      </c>
      <c r="AE39" s="14">
        <v>0.99388892046531085</v>
      </c>
      <c r="AF39">
        <v>33.381</v>
      </c>
      <c r="AG39" s="14">
        <v>0.99368916143244124</v>
      </c>
      <c r="AH39">
        <v>26</v>
      </c>
      <c r="AJ39">
        <v>37</v>
      </c>
      <c r="AK39">
        <v>121.98491300000001</v>
      </c>
      <c r="AL39" s="14">
        <v>0.99117846877203419</v>
      </c>
      <c r="AM39">
        <v>33.856000000000002</v>
      </c>
      <c r="AN39" s="14">
        <v>0.99034692564207571</v>
      </c>
      <c r="AO39">
        <v>26</v>
      </c>
      <c r="AQ39">
        <v>37</v>
      </c>
      <c r="AR39">
        <v>120.910264</v>
      </c>
      <c r="AS39" s="14">
        <v>0.9923708670687531</v>
      </c>
      <c r="AT39">
        <v>33.582000000000001</v>
      </c>
      <c r="AU39" s="14">
        <v>0.99170185748457018</v>
      </c>
      <c r="AV39">
        <v>26</v>
      </c>
      <c r="AX39">
        <v>37</v>
      </c>
      <c r="AY39">
        <v>122.648104</v>
      </c>
      <c r="AZ39" s="14">
        <v>0.99211732199637548</v>
      </c>
      <c r="BA39">
        <v>34.037999999999997</v>
      </c>
      <c r="BB39" s="14">
        <v>0.99166763780445166</v>
      </c>
      <c r="BC39">
        <v>26</v>
      </c>
    </row>
    <row r="40" spans="3:55" x14ac:dyDescent="0.35">
      <c r="C40">
        <v>0</v>
      </c>
      <c r="D40">
        <v>33.564999999999998</v>
      </c>
      <c r="E40">
        <v>122.07270266666667</v>
      </c>
      <c r="F40" s="14">
        <v>1</v>
      </c>
      <c r="G40" s="14">
        <v>1</v>
      </c>
      <c r="I40">
        <v>3.3666930157613502</v>
      </c>
      <c r="K40" s="14"/>
      <c r="L40" s="14">
        <v>0</v>
      </c>
      <c r="M40" s="14"/>
      <c r="O40">
        <v>38</v>
      </c>
      <c r="P40">
        <v>121.675077</v>
      </c>
      <c r="Q40" s="14">
        <v>0.99180973939348493</v>
      </c>
      <c r="R40">
        <v>33.731999999999999</v>
      </c>
      <c r="S40" s="14">
        <v>0.99404726822655753</v>
      </c>
      <c r="T40">
        <v>26</v>
      </c>
      <c r="V40">
        <v>38</v>
      </c>
      <c r="W40">
        <v>121.72474800000001</v>
      </c>
      <c r="X40" s="14">
        <v>0.99309307537221247</v>
      </c>
      <c r="Y40">
        <v>33.661999999999999</v>
      </c>
      <c r="Z40" s="14">
        <v>0.99362418088434967</v>
      </c>
      <c r="AA40">
        <v>26</v>
      </c>
      <c r="AC40">
        <v>38</v>
      </c>
      <c r="AD40">
        <v>120.64898100000001</v>
      </c>
      <c r="AE40" s="14">
        <v>0.99368115575294247</v>
      </c>
      <c r="AF40">
        <v>33.375</v>
      </c>
      <c r="AG40" s="14">
        <v>0.99351055279373668</v>
      </c>
      <c r="AH40">
        <v>26</v>
      </c>
      <c r="AJ40">
        <v>38</v>
      </c>
      <c r="AK40">
        <v>121.92880100000001</v>
      </c>
      <c r="AL40" s="14">
        <v>0.9907225352891802</v>
      </c>
      <c r="AM40">
        <v>33.840000000000003</v>
      </c>
      <c r="AN40" s="14">
        <v>0.98987889779441884</v>
      </c>
      <c r="AO40">
        <v>26</v>
      </c>
      <c r="AQ40">
        <v>38</v>
      </c>
      <c r="AR40">
        <v>120.86714499999999</v>
      </c>
      <c r="AS40" s="14">
        <v>0.99201696792072758</v>
      </c>
      <c r="AT40">
        <v>33.569000000000003</v>
      </c>
      <c r="AU40" s="14">
        <v>0.99131795765289554</v>
      </c>
      <c r="AV40">
        <v>26</v>
      </c>
      <c r="AX40">
        <v>38</v>
      </c>
      <c r="AY40">
        <v>122.598793</v>
      </c>
      <c r="AZ40" s="14">
        <v>0.99171843855937614</v>
      </c>
      <c r="BA40">
        <v>34.024999999999999</v>
      </c>
      <c r="BB40" s="14">
        <v>0.99128889406829046</v>
      </c>
      <c r="BC40">
        <v>26</v>
      </c>
    </row>
    <row r="41" spans="3:55" x14ac:dyDescent="0.35">
      <c r="C41">
        <v>75</v>
      </c>
      <c r="D41">
        <v>33.168333333333329</v>
      </c>
      <c r="E41">
        <v>120.71780366666667</v>
      </c>
      <c r="F41" s="14">
        <v>0.98818213416753553</v>
      </c>
      <c r="G41" s="14">
        <v>0.98890088471540027</v>
      </c>
      <c r="I41">
        <v>3.4272700022590401</v>
      </c>
      <c r="K41" s="14"/>
      <c r="L41" s="14">
        <f>(I41-$I$40)/$I$40</f>
        <v>1.7993023484498171E-2</v>
      </c>
      <c r="M41" s="14"/>
      <c r="O41">
        <v>39</v>
      </c>
      <c r="P41">
        <v>121.676466</v>
      </c>
      <c r="Q41" s="14">
        <v>0.99182106154558047</v>
      </c>
      <c r="R41">
        <v>33.731000000000002</v>
      </c>
      <c r="S41" s="14">
        <v>0.9940177992573821</v>
      </c>
      <c r="T41">
        <v>26</v>
      </c>
      <c r="V41">
        <v>39</v>
      </c>
      <c r="W41">
        <v>121.717389</v>
      </c>
      <c r="X41" s="14">
        <v>0.99303303686679967</v>
      </c>
      <c r="Y41">
        <v>33.658999999999999</v>
      </c>
      <c r="Z41" s="14">
        <v>0.99353562784107674</v>
      </c>
      <c r="AA41">
        <v>26</v>
      </c>
      <c r="AC41">
        <v>39</v>
      </c>
      <c r="AD41">
        <v>120.644738</v>
      </c>
      <c r="AE41" s="14">
        <v>0.993646209837039</v>
      </c>
      <c r="AF41">
        <v>33.372</v>
      </c>
      <c r="AG41" s="14">
        <v>0.9934212484743844</v>
      </c>
      <c r="AH41">
        <v>26</v>
      </c>
      <c r="AJ41">
        <v>39</v>
      </c>
      <c r="AK41">
        <v>121.92740000000001</v>
      </c>
      <c r="AL41" s="14">
        <v>0.99071115157786205</v>
      </c>
      <c r="AM41">
        <v>33.838000000000001</v>
      </c>
      <c r="AN41" s="14">
        <v>0.98982039431346169</v>
      </c>
      <c r="AO41">
        <v>26</v>
      </c>
      <c r="AQ41">
        <v>39</v>
      </c>
      <c r="AR41">
        <v>120.82696</v>
      </c>
      <c r="AS41" s="14">
        <v>0.99168714957467585</v>
      </c>
      <c r="AT41">
        <v>33.566000000000003</v>
      </c>
      <c r="AU41" s="14">
        <v>0.9912293653840476</v>
      </c>
      <c r="AV41">
        <v>26</v>
      </c>
      <c r="AX41">
        <v>39</v>
      </c>
      <c r="AY41">
        <v>122.59566700000001</v>
      </c>
      <c r="AZ41" s="14">
        <v>0.99169315191696261</v>
      </c>
      <c r="BA41">
        <v>34.021999999999998</v>
      </c>
      <c r="BB41" s="14">
        <v>0.99120149166763782</v>
      </c>
      <c r="BC41">
        <v>26</v>
      </c>
    </row>
    <row r="42" spans="3:55" x14ac:dyDescent="0.35">
      <c r="C42">
        <v>150</v>
      </c>
      <c r="D42">
        <v>32.664999999999999</v>
      </c>
      <c r="E42">
        <v>118.98783600000002</v>
      </c>
      <c r="F42" s="14">
        <v>0.97318635483390437</v>
      </c>
      <c r="G42" s="14">
        <v>0.97472926707381724</v>
      </c>
      <c r="I42">
        <v>3.4857605700296999</v>
      </c>
      <c r="K42" s="14"/>
      <c r="L42" s="14">
        <f t="shared" ref="L42:L46" si="2">(I42-$I$40)/$I$40</f>
        <v>3.5366323484478296E-2</v>
      </c>
      <c r="M42" s="14"/>
      <c r="O42">
        <v>40</v>
      </c>
      <c r="P42">
        <v>121.63094700000001</v>
      </c>
      <c r="Q42" s="14">
        <v>0.99145002263900595</v>
      </c>
      <c r="R42">
        <v>33.716999999999999</v>
      </c>
      <c r="S42" s="14">
        <v>0.99360523368892562</v>
      </c>
      <c r="T42">
        <v>26</v>
      </c>
      <c r="V42">
        <v>40</v>
      </c>
      <c r="W42">
        <v>121.70383099999999</v>
      </c>
      <c r="X42" s="14">
        <v>0.99292242373235395</v>
      </c>
      <c r="Y42">
        <v>33.654000000000003</v>
      </c>
      <c r="Z42" s="14">
        <v>0.99338803943562204</v>
      </c>
      <c r="AA42">
        <v>26</v>
      </c>
      <c r="AC42">
        <v>40</v>
      </c>
      <c r="AD42">
        <v>120.622427</v>
      </c>
      <c r="AE42" s="14">
        <v>0.99346245345482798</v>
      </c>
      <c r="AF42">
        <v>33.366</v>
      </c>
      <c r="AG42" s="14">
        <v>0.99324263983567995</v>
      </c>
      <c r="AH42">
        <v>26</v>
      </c>
      <c r="AJ42">
        <v>40</v>
      </c>
      <c r="AK42">
        <v>121.88085700000001</v>
      </c>
      <c r="AL42" s="14">
        <v>0.99033297022463151</v>
      </c>
      <c r="AM42">
        <v>33.828000000000003</v>
      </c>
      <c r="AN42" s="14">
        <v>0.98952787690867616</v>
      </c>
      <c r="AO42">
        <v>26</v>
      </c>
      <c r="AQ42">
        <v>40</v>
      </c>
      <c r="AR42">
        <v>120.766762</v>
      </c>
      <c r="AS42" s="14">
        <v>0.99119307455176631</v>
      </c>
      <c r="AT42">
        <v>33.548000000000002</v>
      </c>
      <c r="AU42" s="14">
        <v>0.9906978117709595</v>
      </c>
      <c r="AV42">
        <v>26</v>
      </c>
      <c r="AX42">
        <v>40</v>
      </c>
      <c r="AY42">
        <v>122.568303</v>
      </c>
      <c r="AZ42" s="14">
        <v>0.99147180077076702</v>
      </c>
      <c r="BA42">
        <v>34.014000000000003</v>
      </c>
      <c r="BB42" s="14">
        <v>0.99096841859923102</v>
      </c>
      <c r="BC42">
        <v>26</v>
      </c>
    </row>
    <row r="43" spans="3:55" x14ac:dyDescent="0.35">
      <c r="C43">
        <v>225</v>
      </c>
      <c r="D43">
        <v>32.207666666666661</v>
      </c>
      <c r="E43">
        <v>117.40709600000001</v>
      </c>
      <c r="F43" s="14">
        <v>0.95956105069765119</v>
      </c>
      <c r="G43" s="14">
        <v>0.96178009854171387</v>
      </c>
      <c r="I43">
        <v>3.6267300408502199</v>
      </c>
      <c r="K43" s="14"/>
      <c r="L43" s="14">
        <f t="shared" si="2"/>
        <v>7.7238115822111708E-2</v>
      </c>
      <c r="M43" s="14"/>
      <c r="O43">
        <v>41</v>
      </c>
      <c r="P43">
        <v>121.541836</v>
      </c>
      <c r="Q43" s="14">
        <v>0.99072365237595605</v>
      </c>
      <c r="R43">
        <v>33.692</v>
      </c>
      <c r="S43" s="14">
        <v>0.99286850945953919</v>
      </c>
      <c r="T43">
        <v>26</v>
      </c>
      <c r="V43">
        <v>41</v>
      </c>
      <c r="W43">
        <v>121.640856</v>
      </c>
      <c r="X43" s="14">
        <v>0.99240864130561557</v>
      </c>
      <c r="Y43">
        <v>33.634999999999998</v>
      </c>
      <c r="Z43" s="14">
        <v>0.9928272034948934</v>
      </c>
      <c r="AA43">
        <v>26</v>
      </c>
      <c r="AC43">
        <v>41</v>
      </c>
      <c r="AD43">
        <v>120.542987</v>
      </c>
      <c r="AE43" s="14">
        <v>0.9928081749821982</v>
      </c>
      <c r="AF43">
        <v>33.341999999999999</v>
      </c>
      <c r="AG43" s="14">
        <v>0.99252820528086194</v>
      </c>
      <c r="AH43">
        <v>26</v>
      </c>
      <c r="AJ43">
        <v>41</v>
      </c>
      <c r="AK43">
        <v>121.789592</v>
      </c>
      <c r="AL43" s="14">
        <v>0.98959140390525813</v>
      </c>
      <c r="AM43">
        <v>33.799999999999997</v>
      </c>
      <c r="AN43" s="14">
        <v>0.98870882817527639</v>
      </c>
      <c r="AO43">
        <v>26</v>
      </c>
      <c r="AQ43">
        <v>41</v>
      </c>
      <c r="AR43">
        <v>120.72381900000001</v>
      </c>
      <c r="AS43" s="14">
        <v>0.99084061992355932</v>
      </c>
      <c r="AT43">
        <v>33.536000000000001</v>
      </c>
      <c r="AU43" s="14">
        <v>0.99034344269556751</v>
      </c>
      <c r="AV43">
        <v>26</v>
      </c>
      <c r="AX43">
        <v>41</v>
      </c>
      <c r="AY43">
        <v>122.471633</v>
      </c>
      <c r="AZ43" s="14">
        <v>0.9906898238922871</v>
      </c>
      <c r="BA43">
        <v>33.985999999999997</v>
      </c>
      <c r="BB43" s="14">
        <v>0.99015266285980652</v>
      </c>
      <c r="BC43">
        <v>26</v>
      </c>
    </row>
    <row r="44" spans="3:55" x14ac:dyDescent="0.35">
      <c r="C44">
        <v>300</v>
      </c>
      <c r="D44">
        <v>31.698666666666668</v>
      </c>
      <c r="E44">
        <v>115.61854699999999</v>
      </c>
      <c r="F44" s="14">
        <v>0.94439644470927064</v>
      </c>
      <c r="G44" s="14">
        <v>0.94712859201380606</v>
      </c>
      <c r="I44">
        <v>3.7309280973619701</v>
      </c>
      <c r="K44" s="14"/>
      <c r="L44" s="14">
        <f>(I44-$I$40)/$I$40</f>
        <v>0.10818779137136479</v>
      </c>
      <c r="M44" s="14"/>
      <c r="O44">
        <v>42</v>
      </c>
      <c r="P44">
        <v>121.501954</v>
      </c>
      <c r="Q44" s="14">
        <v>0.99039856233285306</v>
      </c>
      <c r="R44">
        <v>33.680999999999997</v>
      </c>
      <c r="S44" s="14">
        <v>0.99254435079860903</v>
      </c>
      <c r="T44">
        <v>26</v>
      </c>
      <c r="V44">
        <v>42</v>
      </c>
      <c r="W44">
        <v>121.55452</v>
      </c>
      <c r="X44" s="14">
        <v>0.99170426783050813</v>
      </c>
      <c r="Y44">
        <v>33.612000000000002</v>
      </c>
      <c r="Z44" s="14">
        <v>0.9921482968298011</v>
      </c>
      <c r="AA44">
        <v>26</v>
      </c>
      <c r="AC44">
        <v>42</v>
      </c>
      <c r="AD44">
        <v>120.468767</v>
      </c>
      <c r="AE44" s="14">
        <v>0.99219688912823822</v>
      </c>
      <c r="AF44">
        <v>33.323</v>
      </c>
      <c r="AG44" s="14">
        <v>0.99196261125829777</v>
      </c>
      <c r="AH44">
        <v>26</v>
      </c>
      <c r="AJ44">
        <v>42</v>
      </c>
      <c r="AK44">
        <v>121.699062</v>
      </c>
      <c r="AL44" s="14">
        <v>0.98885580976848209</v>
      </c>
      <c r="AM44">
        <v>33.777000000000001</v>
      </c>
      <c r="AN44" s="14">
        <v>0.98803603814426966</v>
      </c>
      <c r="AO44">
        <v>26</v>
      </c>
      <c r="AQ44">
        <v>42</v>
      </c>
      <c r="AR44">
        <v>120.62296000000001</v>
      </c>
      <c r="AS44" s="14">
        <v>0.99001281978508893</v>
      </c>
      <c r="AT44">
        <v>33.509</v>
      </c>
      <c r="AU44" s="14">
        <v>0.98954611227593536</v>
      </c>
      <c r="AV44">
        <v>26</v>
      </c>
      <c r="AX44">
        <v>42</v>
      </c>
      <c r="AY44">
        <v>122.372378</v>
      </c>
      <c r="AZ44" s="14">
        <v>0.98988693659453686</v>
      </c>
      <c r="BA44">
        <v>33.960999999999999</v>
      </c>
      <c r="BB44" s="14">
        <v>0.98942430952103488</v>
      </c>
      <c r="BC44">
        <v>26</v>
      </c>
    </row>
    <row r="45" spans="3:55" x14ac:dyDescent="0.35">
      <c r="C45">
        <v>375</v>
      </c>
      <c r="D45">
        <v>31.066999999999997</v>
      </c>
      <c r="E45">
        <v>113.37950499999999</v>
      </c>
      <c r="F45" s="14">
        <v>0.92557723819454785</v>
      </c>
      <c r="G45" s="14">
        <v>0.92878671908817778</v>
      </c>
      <c r="I45">
        <v>3.9115997639392699</v>
      </c>
      <c r="K45" s="14"/>
      <c r="L45" s="14">
        <f t="shared" si="2"/>
        <v>0.16185222282724032</v>
      </c>
      <c r="M45" s="14"/>
      <c r="O45">
        <v>43</v>
      </c>
      <c r="P45">
        <v>121.497806</v>
      </c>
      <c r="Q45" s="14">
        <v>0.99036475075121744</v>
      </c>
      <c r="R45">
        <v>33.680999999999997</v>
      </c>
      <c r="S45" s="14">
        <v>0.99254435079860903</v>
      </c>
      <c r="T45">
        <v>26</v>
      </c>
      <c r="V45">
        <v>43</v>
      </c>
      <c r="W45">
        <v>121.529332</v>
      </c>
      <c r="X45" s="14">
        <v>0.99149877117684093</v>
      </c>
      <c r="Y45">
        <v>33.604999999999997</v>
      </c>
      <c r="Z45" s="14">
        <v>0.99194167306216419</v>
      </c>
      <c r="AA45">
        <v>26</v>
      </c>
      <c r="AC45">
        <v>43</v>
      </c>
      <c r="AD45">
        <v>120.456464</v>
      </c>
      <c r="AE45" s="14">
        <v>0.99209555997354582</v>
      </c>
      <c r="AF45">
        <v>33.32</v>
      </c>
      <c r="AG45" s="14">
        <v>0.99187330693894549</v>
      </c>
      <c r="AH45">
        <v>26</v>
      </c>
      <c r="AJ45">
        <v>43</v>
      </c>
      <c r="AK45">
        <v>121.66247799999999</v>
      </c>
      <c r="AL45" s="14">
        <v>0.98855854945808985</v>
      </c>
      <c r="AM45">
        <v>33.768000000000001</v>
      </c>
      <c r="AN45" s="14">
        <v>0.98777277247996254</v>
      </c>
      <c r="AO45">
        <v>26</v>
      </c>
      <c r="AQ45">
        <v>43</v>
      </c>
      <c r="AR45">
        <v>120.55617700000001</v>
      </c>
      <c r="AS45" s="14">
        <v>0.98946469838147133</v>
      </c>
      <c r="AT45">
        <v>33.493000000000002</v>
      </c>
      <c r="AU45" s="14">
        <v>0.98907362017541278</v>
      </c>
      <c r="AV45">
        <v>26</v>
      </c>
      <c r="AX45">
        <v>43</v>
      </c>
      <c r="AY45">
        <v>122.347905</v>
      </c>
      <c r="AZ45" s="14">
        <v>0.98968897114354859</v>
      </c>
      <c r="BA45">
        <v>33.954000000000001</v>
      </c>
      <c r="BB45" s="14">
        <v>0.98922037058617884</v>
      </c>
      <c r="BC45">
        <v>26</v>
      </c>
    </row>
    <row r="46" spans="3:55" x14ac:dyDescent="0.35">
      <c r="C46">
        <v>450</v>
      </c>
      <c r="D46">
        <v>30.472333333333335</v>
      </c>
      <c r="E46">
        <v>111.14495866666668</v>
      </c>
      <c r="F46" s="14">
        <v>0.90786037042554257</v>
      </c>
      <c r="G46" s="14">
        <v>0.91048167394278612</v>
      </c>
      <c r="I46">
        <v>4.2523494576539802</v>
      </c>
      <c r="K46" s="14"/>
      <c r="L46" s="14">
        <f t="shared" si="2"/>
        <v>0.26306421100658212</v>
      </c>
      <c r="M46" s="14"/>
      <c r="O46">
        <v>44</v>
      </c>
      <c r="P46">
        <v>121.524326</v>
      </c>
      <c r="Q46" s="14">
        <v>0.99058092315839597</v>
      </c>
      <c r="R46">
        <v>33.688000000000002</v>
      </c>
      <c r="S46" s="14">
        <v>0.99275063358283744</v>
      </c>
      <c r="T46">
        <v>26</v>
      </c>
      <c r="V46">
        <v>44</v>
      </c>
      <c r="W46">
        <v>121.547912</v>
      </c>
      <c r="X46" s="14">
        <v>0.99165035636919985</v>
      </c>
      <c r="Y46">
        <v>33.609000000000002</v>
      </c>
      <c r="Z46" s="14">
        <v>0.99205974378652817</v>
      </c>
      <c r="AA46">
        <v>26</v>
      </c>
      <c r="AC46">
        <v>44</v>
      </c>
      <c r="AD46">
        <v>120.476077</v>
      </c>
      <c r="AE46" s="14">
        <v>0.99225709526664374</v>
      </c>
      <c r="AF46">
        <v>33.325000000000003</v>
      </c>
      <c r="AG46" s="14">
        <v>0.99202214747119932</v>
      </c>
      <c r="AH46">
        <v>26</v>
      </c>
      <c r="AJ46">
        <v>44</v>
      </c>
      <c r="AK46">
        <v>121.635042</v>
      </c>
      <c r="AL46" s="14">
        <v>0.98833562047613266</v>
      </c>
      <c r="AM46">
        <v>33.761000000000003</v>
      </c>
      <c r="AN46" s="14">
        <v>0.98756801029661279</v>
      </c>
      <c r="AO46">
        <v>26</v>
      </c>
      <c r="AQ46">
        <v>44</v>
      </c>
      <c r="AR46">
        <v>120.516378</v>
      </c>
      <c r="AS46" s="14">
        <v>0.98913804813002149</v>
      </c>
      <c r="AT46">
        <v>33.479999999999997</v>
      </c>
      <c r="AU46" s="14">
        <v>0.98868972034373792</v>
      </c>
      <c r="AV46">
        <v>26</v>
      </c>
      <c r="AX46">
        <v>44</v>
      </c>
      <c r="AY46">
        <v>122.35611900000001</v>
      </c>
      <c r="AZ46" s="14">
        <v>0.98975541531526523</v>
      </c>
      <c r="BA46">
        <v>33.954999999999998</v>
      </c>
      <c r="BB46" s="14">
        <v>0.98924950471972961</v>
      </c>
      <c r="BC46">
        <v>26</v>
      </c>
    </row>
    <row r="47" spans="3:55" x14ac:dyDescent="0.35">
      <c r="O47">
        <v>45</v>
      </c>
      <c r="P47">
        <v>121.50391</v>
      </c>
      <c r="Q47" s="14">
        <v>0.99041450627057714</v>
      </c>
      <c r="R47">
        <v>33.679000000000002</v>
      </c>
      <c r="S47" s="14">
        <v>0.99248541286025826</v>
      </c>
      <c r="T47">
        <v>26</v>
      </c>
      <c r="V47">
        <v>45</v>
      </c>
      <c r="W47">
        <v>121.572225</v>
      </c>
      <c r="X47" s="14">
        <v>0.99184871432301158</v>
      </c>
      <c r="Y47">
        <v>33.615000000000002</v>
      </c>
      <c r="Z47" s="14">
        <v>0.99223684987307403</v>
      </c>
      <c r="AA47">
        <v>26</v>
      </c>
      <c r="AC47">
        <v>45</v>
      </c>
      <c r="AD47">
        <v>120.496284</v>
      </c>
      <c r="AE47" s="14">
        <v>0.99242352282324531</v>
      </c>
      <c r="AF47">
        <v>33.326999999999998</v>
      </c>
      <c r="AG47" s="14">
        <v>0.99208168368410066</v>
      </c>
      <c r="AH47">
        <v>26</v>
      </c>
      <c r="AJ47">
        <v>45</v>
      </c>
      <c r="AK47">
        <v>121.634196</v>
      </c>
      <c r="AL47" s="14">
        <v>0.9883287463720819</v>
      </c>
      <c r="AM47">
        <v>33.756999999999998</v>
      </c>
      <c r="AN47" s="14">
        <v>0.98745100333469837</v>
      </c>
      <c r="AO47">
        <v>26</v>
      </c>
      <c r="AQ47">
        <v>45</v>
      </c>
      <c r="AR47">
        <v>120.525514</v>
      </c>
      <c r="AS47" s="14">
        <v>0.98921303184059828</v>
      </c>
      <c r="AT47">
        <v>33.482999999999997</v>
      </c>
      <c r="AU47" s="14">
        <v>0.98877831261258597</v>
      </c>
      <c r="AV47">
        <v>26</v>
      </c>
      <c r="AX47">
        <v>45</v>
      </c>
      <c r="AY47">
        <v>122.356521</v>
      </c>
      <c r="AZ47" s="14">
        <v>0.98975866714835858</v>
      </c>
      <c r="BA47">
        <v>33.957000000000001</v>
      </c>
      <c r="BB47" s="14">
        <v>0.98930777298683148</v>
      </c>
      <c r="BC47">
        <v>26</v>
      </c>
    </row>
    <row r="48" spans="3:55" x14ac:dyDescent="0.35">
      <c r="C48" s="79" t="s">
        <v>174</v>
      </c>
      <c r="D48" s="79"/>
      <c r="E48" s="79"/>
      <c r="F48" s="79"/>
      <c r="G48" s="79"/>
      <c r="H48" s="79" t="s">
        <v>114</v>
      </c>
      <c r="I48" s="79"/>
      <c r="J48" s="79"/>
      <c r="K48" s="79" t="s">
        <v>115</v>
      </c>
      <c r="L48" s="79"/>
      <c r="M48" s="79"/>
      <c r="O48">
        <v>46</v>
      </c>
      <c r="P48">
        <v>121.439694</v>
      </c>
      <c r="Q48" s="14">
        <v>0.98989106255642278</v>
      </c>
      <c r="R48">
        <v>33.661000000000001</v>
      </c>
      <c r="S48" s="14">
        <v>0.99195497141510003</v>
      </c>
      <c r="T48">
        <v>26</v>
      </c>
      <c r="V48">
        <v>46</v>
      </c>
      <c r="W48">
        <v>121.53917</v>
      </c>
      <c r="X48" s="14">
        <v>0.99157903463875841</v>
      </c>
      <c r="Y48">
        <v>33.601999999999997</v>
      </c>
      <c r="Z48" s="14">
        <v>0.99185312001889125</v>
      </c>
      <c r="AA48">
        <v>26</v>
      </c>
      <c r="AC48">
        <v>46</v>
      </c>
      <c r="AD48">
        <v>120.44016499999999</v>
      </c>
      <c r="AE48" s="14">
        <v>0.99196131922800967</v>
      </c>
      <c r="AF48">
        <v>33.311999999999998</v>
      </c>
      <c r="AG48" s="14">
        <v>0.99163516208733948</v>
      </c>
      <c r="AH48">
        <v>26</v>
      </c>
      <c r="AJ48">
        <v>46</v>
      </c>
      <c r="AK48">
        <v>121.605248</v>
      </c>
      <c r="AL48" s="14">
        <v>0.98809353175735326</v>
      </c>
      <c r="AM48">
        <v>33.747999999999998</v>
      </c>
      <c r="AN48" s="14">
        <v>0.98718773767039136</v>
      </c>
      <c r="AO48">
        <v>26</v>
      </c>
      <c r="AQ48">
        <v>46</v>
      </c>
      <c r="AR48">
        <v>120.512744</v>
      </c>
      <c r="AS48" s="14">
        <v>0.98910822207876969</v>
      </c>
      <c r="AT48">
        <v>33.478000000000002</v>
      </c>
      <c r="AU48" s="14">
        <v>0.98863065883117274</v>
      </c>
      <c r="AV48">
        <v>26</v>
      </c>
      <c r="AX48">
        <v>46</v>
      </c>
      <c r="AY48">
        <v>122.30507</v>
      </c>
      <c r="AZ48" s="14">
        <v>0.98934247295807554</v>
      </c>
      <c r="BA48">
        <v>33.939</v>
      </c>
      <c r="BB48" s="14">
        <v>0.98878335858291577</v>
      </c>
      <c r="BC48">
        <v>26</v>
      </c>
    </row>
    <row r="49" spans="3:55" x14ac:dyDescent="0.35">
      <c r="C49" t="s">
        <v>179</v>
      </c>
      <c r="D49" t="s">
        <v>185</v>
      </c>
      <c r="E49" t="s">
        <v>186</v>
      </c>
      <c r="F49" t="s">
        <v>183</v>
      </c>
      <c r="G49" t="s">
        <v>181</v>
      </c>
      <c r="H49" s="15" t="s">
        <v>187</v>
      </c>
      <c r="I49" s="15" t="s">
        <v>188</v>
      </c>
      <c r="J49" s="15" t="s">
        <v>189</v>
      </c>
      <c r="K49" s="15" t="s">
        <v>187</v>
      </c>
      <c r="L49" s="15" t="s">
        <v>188</v>
      </c>
      <c r="M49" s="15" t="s">
        <v>189</v>
      </c>
      <c r="O49">
        <v>47</v>
      </c>
      <c r="P49">
        <v>121.422489</v>
      </c>
      <c r="Q49" s="14">
        <v>0.98975081948457111</v>
      </c>
      <c r="R49">
        <v>33.655999999999999</v>
      </c>
      <c r="S49" s="14">
        <v>0.99180762656922261</v>
      </c>
      <c r="T49">
        <v>26</v>
      </c>
      <c r="V49">
        <v>47</v>
      </c>
      <c r="W49">
        <v>121.489014</v>
      </c>
      <c r="X49" s="14">
        <v>0.9911698362045307</v>
      </c>
      <c r="Y49">
        <v>33.588999999999999</v>
      </c>
      <c r="Z49" s="14">
        <v>0.99146939016470859</v>
      </c>
      <c r="AA49">
        <v>26</v>
      </c>
      <c r="AC49">
        <v>47</v>
      </c>
      <c r="AD49">
        <v>120.393711</v>
      </c>
      <c r="AE49" s="14">
        <v>0.99157871786638407</v>
      </c>
      <c r="AF49">
        <v>33.298999999999999</v>
      </c>
      <c r="AG49" s="14">
        <v>0.99124817670347976</v>
      </c>
      <c r="AH49">
        <v>26</v>
      </c>
      <c r="AJ49">
        <v>47</v>
      </c>
      <c r="AK49">
        <v>121.540486</v>
      </c>
      <c r="AL49" s="14">
        <v>0.9875673134044769</v>
      </c>
      <c r="AM49">
        <v>33.731000000000002</v>
      </c>
      <c r="AN49" s="14">
        <v>0.98669045808225597</v>
      </c>
      <c r="AO49">
        <v>26</v>
      </c>
      <c r="AQ49">
        <v>47</v>
      </c>
      <c r="AR49">
        <v>120.440535</v>
      </c>
      <c r="AS49" s="14">
        <v>0.98851556678574859</v>
      </c>
      <c r="AT49">
        <v>33.46</v>
      </c>
      <c r="AU49" s="14">
        <v>0.98809910521808464</v>
      </c>
      <c r="AV49">
        <v>26</v>
      </c>
      <c r="AX49">
        <v>47</v>
      </c>
      <c r="AY49">
        <v>122.24347899999999</v>
      </c>
      <c r="AZ49" s="14">
        <v>0.98884425491812045</v>
      </c>
      <c r="BA49">
        <v>33.924999999999997</v>
      </c>
      <c r="BB49" s="14">
        <v>0.98837548071320358</v>
      </c>
      <c r="BC49">
        <v>26</v>
      </c>
    </row>
    <row r="50" spans="3:55" x14ac:dyDescent="0.35">
      <c r="C50">
        <v>0</v>
      </c>
      <c r="D50">
        <v>34.199999999999996</v>
      </c>
      <c r="E50">
        <v>123.79991566666668</v>
      </c>
      <c r="F50" s="14">
        <v>1</v>
      </c>
      <c r="G50" s="14">
        <v>1</v>
      </c>
      <c r="I50">
        <v>3.3894578718804702</v>
      </c>
      <c r="K50" s="14"/>
      <c r="L50" s="14">
        <v>0</v>
      </c>
      <c r="M50" s="14"/>
      <c r="O50">
        <v>48</v>
      </c>
      <c r="P50">
        <v>121.354045</v>
      </c>
      <c r="Q50" s="14">
        <v>0.98919291208498883</v>
      </c>
      <c r="R50">
        <v>33.634999999999998</v>
      </c>
      <c r="S50" s="14">
        <v>0.99118877821653795</v>
      </c>
      <c r="T50">
        <v>26</v>
      </c>
      <c r="V50">
        <v>48</v>
      </c>
      <c r="W50">
        <v>121.476015</v>
      </c>
      <c r="X50" s="14">
        <v>0.99106378367947834</v>
      </c>
      <c r="Y50">
        <v>33.585999999999999</v>
      </c>
      <c r="Z50" s="14">
        <v>0.99138083712143565</v>
      </c>
      <c r="AA50">
        <v>26</v>
      </c>
      <c r="AC50">
        <v>48</v>
      </c>
      <c r="AD50">
        <v>120.400909</v>
      </c>
      <c r="AE50" s="14">
        <v>0.9916380015577988</v>
      </c>
      <c r="AF50">
        <v>33.301000000000002</v>
      </c>
      <c r="AG50" s="14">
        <v>0.99130771291638131</v>
      </c>
      <c r="AH50">
        <v>26</v>
      </c>
      <c r="AJ50">
        <v>48</v>
      </c>
      <c r="AK50">
        <v>121.502259</v>
      </c>
      <c r="AL50" s="14">
        <v>0.9872567030314896</v>
      </c>
      <c r="AM50">
        <v>33.722000000000001</v>
      </c>
      <c r="AN50" s="14">
        <v>0.98642719241794896</v>
      </c>
      <c r="AO50">
        <v>26</v>
      </c>
      <c r="AQ50">
        <v>48</v>
      </c>
      <c r="AR50">
        <v>120.372248</v>
      </c>
      <c r="AS50" s="14">
        <v>0.98795510130368236</v>
      </c>
      <c r="AT50">
        <v>33.442999999999998</v>
      </c>
      <c r="AU50" s="14">
        <v>0.98759708236127919</v>
      </c>
      <c r="AV50">
        <v>26</v>
      </c>
      <c r="AX50">
        <v>48</v>
      </c>
      <c r="AY50">
        <v>122.24068200000001</v>
      </c>
      <c r="AZ50" s="14">
        <v>0.98882162960179587</v>
      </c>
      <c r="BA50">
        <v>33.923000000000002</v>
      </c>
      <c r="BB50" s="14">
        <v>0.98831721244610193</v>
      </c>
      <c r="BC50">
        <v>26</v>
      </c>
    </row>
    <row r="51" spans="3:55" x14ac:dyDescent="0.35">
      <c r="C51">
        <v>75</v>
      </c>
      <c r="D51">
        <v>33.506999999999998</v>
      </c>
      <c r="E51">
        <v>121.500671</v>
      </c>
      <c r="F51" s="14">
        <v>0.97973684210526324</v>
      </c>
      <c r="G51" s="14">
        <v>0.98142773640607772</v>
      </c>
      <c r="I51">
        <v>3.48752024882068</v>
      </c>
      <c r="K51" s="14"/>
      <c r="L51" s="14">
        <f>(I51-$I$50)/$I$50</f>
        <v>2.8931581582338661E-2</v>
      </c>
      <c r="M51" s="14"/>
      <c r="O51">
        <v>49</v>
      </c>
      <c r="P51">
        <v>121.265072</v>
      </c>
      <c r="Q51" s="14">
        <v>0.98846766670098096</v>
      </c>
      <c r="R51">
        <v>33.612000000000002</v>
      </c>
      <c r="S51" s="14">
        <v>0.99051099192550263</v>
      </c>
      <c r="T51">
        <v>26</v>
      </c>
      <c r="V51">
        <v>49</v>
      </c>
      <c r="W51">
        <v>121.39152199999999</v>
      </c>
      <c r="X51" s="14">
        <v>0.99037444634589489</v>
      </c>
      <c r="Y51">
        <v>33.56</v>
      </c>
      <c r="Z51" s="14">
        <v>0.99061337741307054</v>
      </c>
      <c r="AA51">
        <v>26</v>
      </c>
      <c r="AC51">
        <v>49</v>
      </c>
      <c r="AD51">
        <v>120.249416</v>
      </c>
      <c r="AE51" s="14">
        <v>0.99039028493325076</v>
      </c>
      <c r="AF51">
        <v>33.259</v>
      </c>
      <c r="AG51" s="14">
        <v>0.99005745244544985</v>
      </c>
      <c r="AH51">
        <v>26</v>
      </c>
      <c r="AJ51">
        <v>49</v>
      </c>
      <c r="AK51">
        <v>121.433526</v>
      </c>
      <c r="AL51" s="14">
        <v>0.98669821864175122</v>
      </c>
      <c r="AM51">
        <v>33.698</v>
      </c>
      <c r="AN51" s="14">
        <v>0.98572515064646349</v>
      </c>
      <c r="AO51">
        <v>26</v>
      </c>
      <c r="AQ51">
        <v>49</v>
      </c>
      <c r="AR51">
        <v>120.379012</v>
      </c>
      <c r="AS51" s="14">
        <v>0.98801061682670577</v>
      </c>
      <c r="AT51">
        <v>33.441000000000003</v>
      </c>
      <c r="AU51" s="14">
        <v>0.987538020848714</v>
      </c>
      <c r="AV51">
        <v>26</v>
      </c>
      <c r="AX51">
        <v>49</v>
      </c>
      <c r="AY51">
        <v>122.10382</v>
      </c>
      <c r="AZ51" s="14">
        <v>0.98771453412706212</v>
      </c>
      <c r="BA51">
        <v>33.884999999999998</v>
      </c>
      <c r="BB51" s="14">
        <v>0.98721011537116887</v>
      </c>
      <c r="BC51">
        <v>26</v>
      </c>
    </row>
    <row r="52" spans="3:55" x14ac:dyDescent="0.35">
      <c r="C52">
        <v>150</v>
      </c>
      <c r="D52">
        <v>32.788333333333334</v>
      </c>
      <c r="E52">
        <v>119.07541933333333</v>
      </c>
      <c r="F52" s="14">
        <v>0.95872319688109175</v>
      </c>
      <c r="G52" s="14">
        <v>0.96183764497825563</v>
      </c>
      <c r="I52">
        <v>3.5947754176798301</v>
      </c>
      <c r="K52" s="14"/>
      <c r="L52" s="14">
        <f t="shared" ref="L52:L56" si="3">(I52-$I$50)/$I$50</f>
        <v>6.0575334923826558E-2</v>
      </c>
      <c r="M52" s="14"/>
      <c r="O52">
        <v>50</v>
      </c>
      <c r="P52">
        <v>121.078192</v>
      </c>
      <c r="Q52" s="14">
        <v>0.98694435224194954</v>
      </c>
      <c r="R52">
        <v>33.561999999999998</v>
      </c>
      <c r="S52" s="14">
        <v>0.98903754346672956</v>
      </c>
      <c r="T52">
        <v>26</v>
      </c>
      <c r="V52">
        <v>50</v>
      </c>
      <c r="W52">
        <v>121.29874599999999</v>
      </c>
      <c r="X52" s="14">
        <v>0.98961753203985148</v>
      </c>
      <c r="Y52">
        <v>33.534999999999997</v>
      </c>
      <c r="Z52" s="14">
        <v>0.98987543538579603</v>
      </c>
      <c r="AA52">
        <v>26</v>
      </c>
      <c r="AC52">
        <v>50</v>
      </c>
      <c r="AD52">
        <v>120.101435</v>
      </c>
      <c r="AE52" s="14">
        <v>0.98917149361076562</v>
      </c>
      <c r="AF52">
        <v>33.216000000000001</v>
      </c>
      <c r="AG52" s="14">
        <v>0.98877742386806766</v>
      </c>
      <c r="AH52">
        <v>26</v>
      </c>
      <c r="AJ52">
        <v>50</v>
      </c>
      <c r="AK52">
        <v>121.326277</v>
      </c>
      <c r="AL52" s="14">
        <v>0.98582677563307908</v>
      </c>
      <c r="AM52">
        <v>33.671999999999997</v>
      </c>
      <c r="AN52" s="14">
        <v>0.98496460539402086</v>
      </c>
      <c r="AO52">
        <v>26</v>
      </c>
      <c r="AQ52">
        <v>50</v>
      </c>
      <c r="AR52">
        <v>120.22045199999999</v>
      </c>
      <c r="AS52" s="14">
        <v>0.98670923579025027</v>
      </c>
      <c r="AT52">
        <v>33.399000000000001</v>
      </c>
      <c r="AU52" s="14">
        <v>0.98629772908484192</v>
      </c>
      <c r="AV52">
        <v>26</v>
      </c>
      <c r="AX52">
        <v>50</v>
      </c>
      <c r="AY52">
        <v>121.962773</v>
      </c>
      <c r="AZ52" s="14">
        <v>0.98657358561378039</v>
      </c>
      <c r="BA52">
        <v>33.845999999999997</v>
      </c>
      <c r="BB52" s="14">
        <v>0.98607388416268493</v>
      </c>
      <c r="BC52">
        <v>26</v>
      </c>
    </row>
    <row r="53" spans="3:55" x14ac:dyDescent="0.35">
      <c r="C53">
        <v>225</v>
      </c>
      <c r="D53">
        <v>32.178666666666665</v>
      </c>
      <c r="E53">
        <v>117.02976566666666</v>
      </c>
      <c r="F53" s="14">
        <v>0.94089668615984412</v>
      </c>
      <c r="G53" s="14">
        <v>0.94531377534837135</v>
      </c>
      <c r="I53">
        <v>3.7014062887374402</v>
      </c>
      <c r="K53" s="14"/>
      <c r="L53" s="14">
        <f t="shared" si="3"/>
        <v>9.2034900166468522E-2</v>
      </c>
      <c r="M53" s="14"/>
      <c r="O53">
        <v>51</v>
      </c>
      <c r="P53">
        <v>120.99804</v>
      </c>
      <c r="Q53" s="14">
        <v>0.98629100945235049</v>
      </c>
      <c r="R53">
        <v>33.54</v>
      </c>
      <c r="S53" s="14">
        <v>0.98838922614486946</v>
      </c>
      <c r="T53">
        <v>26</v>
      </c>
      <c r="V53">
        <v>51</v>
      </c>
      <c r="W53">
        <v>121.11096499999999</v>
      </c>
      <c r="X53" s="14">
        <v>0.98808551809979006</v>
      </c>
      <c r="Y53">
        <v>33.484999999999999</v>
      </c>
      <c r="Z53" s="14">
        <v>0.98839955133124735</v>
      </c>
      <c r="AA53">
        <v>26</v>
      </c>
      <c r="AC53">
        <v>51</v>
      </c>
      <c r="AD53">
        <v>119.95384799999999</v>
      </c>
      <c r="AE53" s="14">
        <v>0.98795594732501524</v>
      </c>
      <c r="AF53">
        <v>33.18</v>
      </c>
      <c r="AG53" s="14">
        <v>0.98770577203584065</v>
      </c>
      <c r="AH53">
        <v>26</v>
      </c>
      <c r="AJ53">
        <v>51</v>
      </c>
      <c r="AK53">
        <v>121.09989299999999</v>
      </c>
      <c r="AL53" s="14">
        <v>0.98398731089144742</v>
      </c>
      <c r="AM53">
        <v>33.613</v>
      </c>
      <c r="AN53" s="14">
        <v>0.98323875270578598</v>
      </c>
      <c r="AO53">
        <v>26</v>
      </c>
      <c r="AQ53">
        <v>51</v>
      </c>
      <c r="AR53">
        <v>120.021012</v>
      </c>
      <c r="AS53" s="14">
        <v>0.98507233219595991</v>
      </c>
      <c r="AT53">
        <v>33.344000000000001</v>
      </c>
      <c r="AU53" s="14">
        <v>0.9846735374892952</v>
      </c>
      <c r="AV53">
        <v>26</v>
      </c>
      <c r="AX53">
        <v>51</v>
      </c>
      <c r="AY53">
        <v>121.793043</v>
      </c>
      <c r="AZ53" s="14">
        <v>0.98520061638253609</v>
      </c>
      <c r="BA53">
        <v>33.805</v>
      </c>
      <c r="BB53" s="14">
        <v>0.98487938468709946</v>
      </c>
      <c r="BC53">
        <v>26</v>
      </c>
    </row>
    <row r="54" spans="3:55" x14ac:dyDescent="0.35">
      <c r="C54">
        <v>300</v>
      </c>
      <c r="D54">
        <v>31.48266666666667</v>
      </c>
      <c r="E54">
        <v>114.58193166666666</v>
      </c>
      <c r="F54" s="14">
        <v>0.92054580896686178</v>
      </c>
      <c r="G54" s="14">
        <v>0.92554127399553654</v>
      </c>
      <c r="I54">
        <v>3.83251777644147</v>
      </c>
      <c r="K54" s="14"/>
      <c r="L54" s="14">
        <f t="shared" si="3"/>
        <v>0.1307170412816461</v>
      </c>
      <c r="M54" s="14"/>
      <c r="O54">
        <v>52</v>
      </c>
      <c r="P54">
        <v>121.00162400000001</v>
      </c>
      <c r="Q54" s="14">
        <v>0.9863202237022497</v>
      </c>
      <c r="R54">
        <v>33.542000000000002</v>
      </c>
      <c r="S54" s="14">
        <v>0.98844816408322045</v>
      </c>
      <c r="T54">
        <v>26</v>
      </c>
      <c r="V54">
        <v>52</v>
      </c>
      <c r="W54">
        <v>121.01997799999999</v>
      </c>
      <c r="X54" s="14">
        <v>0.98734319937550818</v>
      </c>
      <c r="Y54">
        <v>33.460999999999999</v>
      </c>
      <c r="Z54" s="14">
        <v>0.98769112698506401</v>
      </c>
      <c r="AA54">
        <v>26</v>
      </c>
      <c r="AC54">
        <v>52</v>
      </c>
      <c r="AD54">
        <v>119.859436</v>
      </c>
      <c r="AE54" s="14">
        <v>0.98717835745646154</v>
      </c>
      <c r="AF54">
        <v>33.155000000000001</v>
      </c>
      <c r="AG54" s="14">
        <v>0.98696156937457202</v>
      </c>
      <c r="AH54">
        <v>26</v>
      </c>
      <c r="AJ54">
        <v>52</v>
      </c>
      <c r="AK54">
        <v>120.980463</v>
      </c>
      <c r="AL54" s="14">
        <v>0.98301689216003074</v>
      </c>
      <c r="AM54">
        <v>33.582000000000001</v>
      </c>
      <c r="AN54" s="14">
        <v>0.98233194875095076</v>
      </c>
      <c r="AO54">
        <v>26</v>
      </c>
      <c r="AQ54">
        <v>52</v>
      </c>
      <c r="AR54">
        <v>119.89290699999999</v>
      </c>
      <c r="AS54" s="14">
        <v>0.98402091054059204</v>
      </c>
      <c r="AT54">
        <v>33.311</v>
      </c>
      <c r="AU54" s="14">
        <v>0.98369902253196706</v>
      </c>
      <c r="AV54">
        <v>26</v>
      </c>
      <c r="AX54">
        <v>52</v>
      </c>
      <c r="AY54">
        <v>121.707545</v>
      </c>
      <c r="AZ54" s="14">
        <v>0.98450901134316227</v>
      </c>
      <c r="BA54">
        <v>33.780999999999999</v>
      </c>
      <c r="BB54" s="14">
        <v>0.98418016548187859</v>
      </c>
      <c r="BC54">
        <v>26</v>
      </c>
    </row>
    <row r="55" spans="3:55" x14ac:dyDescent="0.35">
      <c r="C55">
        <v>375</v>
      </c>
      <c r="D55">
        <v>30.833666666666669</v>
      </c>
      <c r="E55">
        <v>112.36888600000002</v>
      </c>
      <c r="F55" s="14">
        <v>0.90156920077972724</v>
      </c>
      <c r="G55" s="14">
        <v>0.90766528712794203</v>
      </c>
      <c r="I55">
        <v>3.9580770359292798</v>
      </c>
      <c r="K55" s="14"/>
      <c r="L55" s="14">
        <f t="shared" si="3"/>
        <v>0.167761095001703</v>
      </c>
      <c r="M55" s="14"/>
      <c r="O55">
        <v>53</v>
      </c>
      <c r="P55">
        <v>121.132058</v>
      </c>
      <c r="Q55" s="14">
        <v>0.98738343002796292</v>
      </c>
      <c r="R55">
        <v>33.576999999999998</v>
      </c>
      <c r="S55" s="14">
        <v>0.98947957800436148</v>
      </c>
      <c r="T55">
        <v>26</v>
      </c>
      <c r="V55">
        <v>53</v>
      </c>
      <c r="W55">
        <v>121.02638899999999</v>
      </c>
      <c r="X55" s="14">
        <v>0.98739550360953465</v>
      </c>
      <c r="Y55">
        <v>33.463999999999999</v>
      </c>
      <c r="Z55" s="14">
        <v>0.98777968002833694</v>
      </c>
      <c r="AA55">
        <v>26</v>
      </c>
      <c r="AC55">
        <v>53</v>
      </c>
      <c r="AD55">
        <v>119.896568</v>
      </c>
      <c r="AE55" s="14">
        <v>0.98748418157838602</v>
      </c>
      <c r="AF55">
        <v>33.164999999999999</v>
      </c>
      <c r="AG55" s="14">
        <v>0.98725925043907947</v>
      </c>
      <c r="AH55">
        <v>26</v>
      </c>
      <c r="AJ55">
        <v>53</v>
      </c>
      <c r="AK55">
        <v>120.949118</v>
      </c>
      <c r="AL55" s="14">
        <v>0.98276220091715827</v>
      </c>
      <c r="AM55">
        <v>33.573999999999998</v>
      </c>
      <c r="AN55" s="14">
        <v>0.98209793482712215</v>
      </c>
      <c r="AO55">
        <v>26</v>
      </c>
      <c r="AQ55">
        <v>53</v>
      </c>
      <c r="AR55">
        <v>119.81968999999999</v>
      </c>
      <c r="AS55" s="14">
        <v>0.9834199820886107</v>
      </c>
      <c r="AT55">
        <v>33.292999999999999</v>
      </c>
      <c r="AU55" s="14">
        <v>0.98316746891887896</v>
      </c>
      <c r="AV55">
        <v>26</v>
      </c>
      <c r="AX55">
        <v>53</v>
      </c>
      <c r="AY55">
        <v>121.709647</v>
      </c>
      <c r="AZ55" s="14">
        <v>0.98452601470923828</v>
      </c>
      <c r="BA55">
        <v>33.783999999999999</v>
      </c>
      <c r="BB55" s="14">
        <v>0.98426756788253122</v>
      </c>
      <c r="BC55">
        <v>26</v>
      </c>
    </row>
    <row r="56" spans="3:55" x14ac:dyDescent="0.35">
      <c r="C56">
        <v>450</v>
      </c>
      <c r="D56">
        <v>30.218333333333334</v>
      </c>
      <c r="E56">
        <v>110.17296033333332</v>
      </c>
      <c r="F56" s="14">
        <v>0.88357699805068235</v>
      </c>
      <c r="G56" s="14">
        <v>0.88992758791513105</v>
      </c>
      <c r="I56">
        <v>4.0991984431037096</v>
      </c>
      <c r="K56" s="14"/>
      <c r="L56" s="14">
        <f t="shared" si="3"/>
        <v>0.20939648700500754</v>
      </c>
      <c r="M56" s="14"/>
      <c r="O56">
        <v>54</v>
      </c>
      <c r="P56">
        <v>121.27961500000001</v>
      </c>
      <c r="Q56" s="14">
        <v>0.98858621101914068</v>
      </c>
      <c r="R56">
        <v>33.615000000000002</v>
      </c>
      <c r="S56" s="14">
        <v>0.99059939883302894</v>
      </c>
      <c r="T56">
        <v>26</v>
      </c>
      <c r="V56">
        <v>54</v>
      </c>
      <c r="W56">
        <v>121.160698</v>
      </c>
      <c r="X56" s="14">
        <v>0.98849126548254485</v>
      </c>
      <c r="Y56">
        <v>33.500999999999998</v>
      </c>
      <c r="Z56" s="14">
        <v>0.98887183422870295</v>
      </c>
      <c r="AA56">
        <v>26</v>
      </c>
      <c r="AC56">
        <v>54</v>
      </c>
      <c r="AD56">
        <v>120.082503</v>
      </c>
      <c r="AE56" s="14">
        <v>0.9890155671248162</v>
      </c>
      <c r="AF56">
        <v>33.215000000000003</v>
      </c>
      <c r="AG56" s="14">
        <v>0.98874765576161705</v>
      </c>
      <c r="AH56">
        <v>26</v>
      </c>
      <c r="AJ56">
        <v>54</v>
      </c>
      <c r="AK56">
        <v>121.04588800000001</v>
      </c>
      <c r="AL56" s="14">
        <v>0.98354849766537233</v>
      </c>
      <c r="AM56">
        <v>33.600999999999999</v>
      </c>
      <c r="AN56" s="14">
        <v>0.9828877318200433</v>
      </c>
      <c r="AO56">
        <v>26</v>
      </c>
      <c r="AQ56">
        <v>54</v>
      </c>
      <c r="AR56">
        <v>119.868465</v>
      </c>
      <c r="AS56" s="14">
        <v>0.98382030285080246</v>
      </c>
      <c r="AT56">
        <v>33.308999999999997</v>
      </c>
      <c r="AU56" s="14">
        <v>0.98363996101940165</v>
      </c>
      <c r="AV56">
        <v>26</v>
      </c>
      <c r="AX56">
        <v>54</v>
      </c>
      <c r="AY56">
        <v>121.860854</v>
      </c>
      <c r="AZ56" s="14">
        <v>0.98574914885493292</v>
      </c>
      <c r="BA56">
        <v>33.823999999999998</v>
      </c>
      <c r="BB56" s="14">
        <v>0.98543293322456593</v>
      </c>
      <c r="BC56">
        <v>26</v>
      </c>
    </row>
    <row r="57" spans="3:55" x14ac:dyDescent="0.35">
      <c r="O57">
        <v>55</v>
      </c>
      <c r="P57">
        <v>121.276466</v>
      </c>
      <c r="Q57" s="14">
        <v>0.98856054258361259</v>
      </c>
      <c r="R57">
        <v>33.607999999999997</v>
      </c>
      <c r="S57" s="14">
        <v>0.99039311604880065</v>
      </c>
      <c r="T57">
        <v>26</v>
      </c>
      <c r="V57">
        <v>55</v>
      </c>
      <c r="W57">
        <v>121.30681300000001</v>
      </c>
      <c r="X57" s="14">
        <v>0.98968334677326164</v>
      </c>
      <c r="Y57">
        <v>33.537999999999997</v>
      </c>
      <c r="Z57" s="14">
        <v>0.98996398842906896</v>
      </c>
      <c r="AA57">
        <v>26</v>
      </c>
      <c r="AC57">
        <v>55</v>
      </c>
      <c r="AD57">
        <v>120.27463899999999</v>
      </c>
      <c r="AE57" s="14">
        <v>0.99059802493721771</v>
      </c>
      <c r="AF57">
        <v>33.262999999999998</v>
      </c>
      <c r="AG57" s="14">
        <v>0.99017652487125274</v>
      </c>
      <c r="AH57">
        <v>26</v>
      </c>
      <c r="AJ57">
        <v>55</v>
      </c>
      <c r="AK57">
        <v>121.199077</v>
      </c>
      <c r="AL57" s="14">
        <v>0.98479322239991973</v>
      </c>
      <c r="AM57">
        <v>33.637</v>
      </c>
      <c r="AN57" s="14">
        <v>0.98394079447727145</v>
      </c>
      <c r="AO57">
        <v>26</v>
      </c>
      <c r="AQ57">
        <v>55</v>
      </c>
      <c r="AR57">
        <v>119.99661</v>
      </c>
      <c r="AS57" s="14">
        <v>0.98487205280612911</v>
      </c>
      <c r="AT57">
        <v>33.340000000000003</v>
      </c>
      <c r="AU57" s="14">
        <v>0.9845554144641645</v>
      </c>
      <c r="AV57">
        <v>26</v>
      </c>
      <c r="AX57">
        <v>55</v>
      </c>
      <c r="AY57">
        <v>122.01997</v>
      </c>
      <c r="AZ57" s="14">
        <v>0.98703625998554423</v>
      </c>
      <c r="BA57">
        <v>33.863999999999997</v>
      </c>
      <c r="BB57" s="14">
        <v>0.98659829856660064</v>
      </c>
      <c r="BC57">
        <v>26</v>
      </c>
    </row>
    <row r="58" spans="3:55" x14ac:dyDescent="0.35">
      <c r="C58" s="79" t="s">
        <v>150</v>
      </c>
      <c r="D58" s="79"/>
      <c r="E58" s="79"/>
      <c r="F58" s="79"/>
      <c r="G58" s="79"/>
      <c r="H58" s="79" t="s">
        <v>114</v>
      </c>
      <c r="I58" s="79"/>
      <c r="J58" s="79"/>
      <c r="K58" s="79" t="s">
        <v>115</v>
      </c>
      <c r="L58" s="79"/>
      <c r="M58" s="79"/>
      <c r="O58">
        <v>56</v>
      </c>
      <c r="P58">
        <v>121.205778</v>
      </c>
      <c r="Q58" s="14">
        <v>0.98798434367265353</v>
      </c>
      <c r="R58">
        <v>33.588999999999999</v>
      </c>
      <c r="S58" s="14">
        <v>0.98983320563446697</v>
      </c>
      <c r="T58">
        <v>26</v>
      </c>
      <c r="V58">
        <v>56</v>
      </c>
      <c r="W58">
        <v>121.330134</v>
      </c>
      <c r="X58" s="14">
        <v>0.98987361148106578</v>
      </c>
      <c r="Y58">
        <v>33.537999999999997</v>
      </c>
      <c r="Z58" s="14">
        <v>0.98996398842906896</v>
      </c>
      <c r="AA58">
        <v>26</v>
      </c>
      <c r="AC58">
        <v>56</v>
      </c>
      <c r="AD58">
        <v>120.227716</v>
      </c>
      <c r="AE58" s="14">
        <v>0.990211560828819</v>
      </c>
      <c r="AF58">
        <v>33.247</v>
      </c>
      <c r="AG58" s="14">
        <v>0.98970023516804084</v>
      </c>
      <c r="AH58">
        <v>26</v>
      </c>
      <c r="AJ58">
        <v>56</v>
      </c>
      <c r="AK58">
        <v>121.285389</v>
      </c>
      <c r="AL58" s="14">
        <v>0.98549454352146404</v>
      </c>
      <c r="AM58">
        <v>33.652999999999999</v>
      </c>
      <c r="AN58" s="14">
        <v>0.98440882232492832</v>
      </c>
      <c r="AO58">
        <v>26</v>
      </c>
      <c r="AQ58">
        <v>56</v>
      </c>
      <c r="AR58">
        <v>120.13226400000001</v>
      </c>
      <c r="AS58" s="14">
        <v>0.98598543287121065</v>
      </c>
      <c r="AT58">
        <v>33.369999999999997</v>
      </c>
      <c r="AU58" s="14">
        <v>0.98544133715264437</v>
      </c>
      <c r="AV58">
        <v>26</v>
      </c>
      <c r="AX58">
        <v>56</v>
      </c>
      <c r="AY58">
        <v>121.98486</v>
      </c>
      <c r="AZ58" s="14">
        <v>0.9867522503837709</v>
      </c>
      <c r="BA58">
        <v>33.85</v>
      </c>
      <c r="BB58" s="14">
        <v>0.98619042069688856</v>
      </c>
      <c r="BC58">
        <v>26</v>
      </c>
    </row>
    <row r="59" spans="3:55" x14ac:dyDescent="0.35">
      <c r="C59" t="s">
        <v>179</v>
      </c>
      <c r="D59" t="s">
        <v>185</v>
      </c>
      <c r="E59" t="s">
        <v>186</v>
      </c>
      <c r="F59" t="s">
        <v>183</v>
      </c>
      <c r="G59" t="s">
        <v>181</v>
      </c>
      <c r="H59" s="15" t="s">
        <v>187</v>
      </c>
      <c r="I59" s="15" t="s">
        <v>188</v>
      </c>
      <c r="J59" s="15" t="s">
        <v>189</v>
      </c>
      <c r="K59" s="15" t="s">
        <v>187</v>
      </c>
      <c r="L59" s="15" t="s">
        <v>188</v>
      </c>
      <c r="M59" s="15" t="s">
        <v>189</v>
      </c>
      <c r="O59">
        <v>57</v>
      </c>
      <c r="P59">
        <v>121.214811</v>
      </c>
      <c r="Q59" s="14">
        <v>0.98805797434211229</v>
      </c>
      <c r="R59">
        <v>33.591999999999999</v>
      </c>
      <c r="S59" s="14">
        <v>0.98992161254199329</v>
      </c>
      <c r="T59">
        <v>26</v>
      </c>
      <c r="V59">
        <v>57</v>
      </c>
      <c r="W59">
        <v>121.258279</v>
      </c>
      <c r="X59" s="14">
        <v>0.98928738144893735</v>
      </c>
      <c r="Y59">
        <v>33.520000000000003</v>
      </c>
      <c r="Z59" s="14">
        <v>0.98943267016943159</v>
      </c>
      <c r="AA59">
        <v>26</v>
      </c>
      <c r="AC59">
        <v>57</v>
      </c>
      <c r="AD59">
        <v>120.15089999999999</v>
      </c>
      <c r="AE59" s="14">
        <v>0.98957889397139787</v>
      </c>
      <c r="AF59">
        <v>33.228000000000002</v>
      </c>
      <c r="AG59" s="14">
        <v>0.98913464114547667</v>
      </c>
      <c r="AH59">
        <v>26</v>
      </c>
      <c r="AJ59">
        <v>57</v>
      </c>
      <c r="AK59">
        <v>121.19549000000001</v>
      </c>
      <c r="AL59" s="14">
        <v>0.98476407652376141</v>
      </c>
      <c r="AM59">
        <v>33.627000000000002</v>
      </c>
      <c r="AN59" s="14">
        <v>0.98364827707248592</v>
      </c>
      <c r="AO59">
        <v>26</v>
      </c>
      <c r="AQ59">
        <v>57</v>
      </c>
      <c r="AR59">
        <v>120.056963</v>
      </c>
      <c r="AS59" s="14">
        <v>0.98536739999137879</v>
      </c>
      <c r="AT59">
        <v>33.348999999999997</v>
      </c>
      <c r="AU59" s="14">
        <v>0.98482119127070833</v>
      </c>
      <c r="AV59">
        <v>26</v>
      </c>
      <c r="AX59">
        <v>57</v>
      </c>
      <c r="AY59">
        <v>121.90307199999999</v>
      </c>
      <c r="AZ59" s="14">
        <v>0.98609065604284707</v>
      </c>
      <c r="BA59">
        <v>33.829000000000001</v>
      </c>
      <c r="BB59" s="14">
        <v>0.98557860389232033</v>
      </c>
      <c r="BC59">
        <v>26</v>
      </c>
    </row>
    <row r="60" spans="3:55" x14ac:dyDescent="0.35">
      <c r="C60">
        <v>0</v>
      </c>
      <c r="D60">
        <v>33.853000000000002</v>
      </c>
      <c r="E60">
        <v>122.52047033333334</v>
      </c>
      <c r="F60" s="14">
        <v>1</v>
      </c>
      <c r="G60" s="14">
        <v>1</v>
      </c>
      <c r="I60">
        <v>3.48163865836811</v>
      </c>
      <c r="K60" s="14"/>
      <c r="L60" s="14">
        <v>0</v>
      </c>
      <c r="M60" s="14"/>
      <c r="O60">
        <v>58</v>
      </c>
      <c r="P60">
        <v>121.227598</v>
      </c>
      <c r="Q60" s="14">
        <v>0.988162204982029</v>
      </c>
      <c r="R60">
        <v>33.594000000000001</v>
      </c>
      <c r="S60" s="14">
        <v>0.98998055048034428</v>
      </c>
      <c r="T60">
        <v>26</v>
      </c>
      <c r="V60">
        <v>58</v>
      </c>
      <c r="W60">
        <v>121.25219800000001</v>
      </c>
      <c r="X60" s="14">
        <v>0.98923776952457065</v>
      </c>
      <c r="Y60">
        <v>33.521000000000001</v>
      </c>
      <c r="Z60" s="14">
        <v>0.98946218785052253</v>
      </c>
      <c r="AA60">
        <v>26</v>
      </c>
      <c r="AC60">
        <v>58</v>
      </c>
      <c r="AD60">
        <v>120.19966599999999</v>
      </c>
      <c r="AE60" s="14">
        <v>0.98998053727447266</v>
      </c>
      <c r="AF60">
        <v>33.24</v>
      </c>
      <c r="AG60" s="14">
        <v>0.98949185842288567</v>
      </c>
      <c r="AH60">
        <v>26</v>
      </c>
      <c r="AJ60">
        <v>58</v>
      </c>
      <c r="AK60">
        <v>121.14917</v>
      </c>
      <c r="AL60" s="14">
        <v>0.98438770713885615</v>
      </c>
      <c r="AM60">
        <v>33.616</v>
      </c>
      <c r="AN60" s="14">
        <v>0.98332650792722165</v>
      </c>
      <c r="AO60">
        <v>26</v>
      </c>
      <c r="AQ60">
        <v>58</v>
      </c>
      <c r="AR60">
        <v>119.99775200000001</v>
      </c>
      <c r="AS60" s="14">
        <v>0.98488142576995119</v>
      </c>
      <c r="AT60">
        <v>33.332000000000001</v>
      </c>
      <c r="AU60" s="14">
        <v>0.9843191684139031</v>
      </c>
      <c r="AV60">
        <v>26</v>
      </c>
      <c r="AX60">
        <v>58</v>
      </c>
      <c r="AY60">
        <v>121.919742</v>
      </c>
      <c r="AZ60" s="14">
        <v>0.98622550195744585</v>
      </c>
      <c r="BA60">
        <v>33.835000000000001</v>
      </c>
      <c r="BB60" s="14">
        <v>0.98575340869362549</v>
      </c>
      <c r="BC60">
        <v>26</v>
      </c>
    </row>
    <row r="61" spans="3:55" x14ac:dyDescent="0.35">
      <c r="C61">
        <v>75</v>
      </c>
      <c r="D61">
        <v>33.222999999999992</v>
      </c>
      <c r="E61">
        <v>120.33687400000001</v>
      </c>
      <c r="F61" s="14">
        <v>0.98139012790594604</v>
      </c>
      <c r="G61" s="14">
        <v>0.98217770200038768</v>
      </c>
      <c r="I61">
        <v>3.6420337609986002</v>
      </c>
      <c r="K61" s="14"/>
      <c r="L61" s="14">
        <f>(I61-$I$60)/$I$60</f>
        <v>4.6068853884357282E-2</v>
      </c>
      <c r="M61" s="14"/>
      <c r="O61">
        <v>59</v>
      </c>
      <c r="P61">
        <v>121.20195200000001</v>
      </c>
      <c r="Q61" s="14">
        <v>0.98795315680878248</v>
      </c>
      <c r="R61">
        <v>33.585000000000001</v>
      </c>
      <c r="S61" s="14">
        <v>0.98971532975776522</v>
      </c>
      <c r="T61">
        <v>26</v>
      </c>
      <c r="V61">
        <v>59</v>
      </c>
      <c r="W61">
        <v>121.267291</v>
      </c>
      <c r="X61" s="14">
        <v>0.98936090597819126</v>
      </c>
      <c r="Y61">
        <v>33.521999999999998</v>
      </c>
      <c r="Z61" s="14">
        <v>0.98949170553161336</v>
      </c>
      <c r="AA61">
        <v>26</v>
      </c>
      <c r="AC61">
        <v>59</v>
      </c>
      <c r="AD61">
        <v>120.201502</v>
      </c>
      <c r="AE61" s="14">
        <v>0.98999565881621177</v>
      </c>
      <c r="AF61">
        <v>33.238999999999997</v>
      </c>
      <c r="AG61" s="14">
        <v>0.98946209031643484</v>
      </c>
      <c r="AH61">
        <v>26</v>
      </c>
      <c r="AJ61">
        <v>59</v>
      </c>
      <c r="AK61">
        <v>121.20078100000001</v>
      </c>
      <c r="AL61" s="14">
        <v>0.98480706811304319</v>
      </c>
      <c r="AM61">
        <v>33.628</v>
      </c>
      <c r="AN61" s="14">
        <v>0.98367752881296433</v>
      </c>
      <c r="AO61">
        <v>26</v>
      </c>
      <c r="AQ61">
        <v>59</v>
      </c>
      <c r="AR61">
        <v>120.020814</v>
      </c>
      <c r="AS61" s="14">
        <v>0.98507070711116418</v>
      </c>
      <c r="AT61">
        <v>33.338999999999999</v>
      </c>
      <c r="AU61" s="14">
        <v>0.98452588370788174</v>
      </c>
      <c r="AV61">
        <v>26</v>
      </c>
      <c r="AX61">
        <v>59</v>
      </c>
      <c r="AY61">
        <v>121.915418</v>
      </c>
      <c r="AZ61" s="14">
        <v>0.98619052452884803</v>
      </c>
      <c r="BA61">
        <v>33.835000000000001</v>
      </c>
      <c r="BB61" s="14">
        <v>0.98575340869362549</v>
      </c>
      <c r="BC61">
        <v>26</v>
      </c>
    </row>
    <row r="62" spans="3:55" x14ac:dyDescent="0.35">
      <c r="C62">
        <v>150</v>
      </c>
      <c r="D62">
        <v>32.497666666666667</v>
      </c>
      <c r="E62">
        <v>117.91093833333332</v>
      </c>
      <c r="F62" s="14">
        <v>0.95996415876485586</v>
      </c>
      <c r="G62" s="14">
        <v>0.96237745425348786</v>
      </c>
      <c r="I62">
        <v>3.7358484100913198</v>
      </c>
      <c r="K62" s="14"/>
      <c r="L62" s="14">
        <f t="shared" ref="L62:L66" si="4">(I62-$I$60)/$I$60</f>
        <v>7.3014398295531704E-2</v>
      </c>
      <c r="M62" s="14"/>
      <c r="O62">
        <v>60</v>
      </c>
      <c r="P62">
        <v>121.119422</v>
      </c>
      <c r="Q62" s="14">
        <v>0.9872804302339544</v>
      </c>
      <c r="R62">
        <v>33.561999999999998</v>
      </c>
      <c r="S62" s="14">
        <v>0.98903754346672956</v>
      </c>
      <c r="T62">
        <v>26</v>
      </c>
      <c r="V62">
        <v>60</v>
      </c>
      <c r="W62">
        <v>121.25063</v>
      </c>
      <c r="X62" s="14">
        <v>0.98922497697442957</v>
      </c>
      <c r="Y62">
        <v>33.517000000000003</v>
      </c>
      <c r="Z62" s="14">
        <v>0.98934411712615866</v>
      </c>
      <c r="AA62">
        <v>26</v>
      </c>
      <c r="AC62">
        <v>60</v>
      </c>
      <c r="AD62">
        <v>120.17250799999999</v>
      </c>
      <c r="AE62" s="14">
        <v>0.989756860351516</v>
      </c>
      <c r="AF62">
        <v>33.229999999999997</v>
      </c>
      <c r="AG62" s="14">
        <v>0.989194177358378</v>
      </c>
      <c r="AH62">
        <v>26</v>
      </c>
      <c r="AJ62">
        <v>60</v>
      </c>
      <c r="AK62">
        <v>121.17981399999999</v>
      </c>
      <c r="AL62" s="14">
        <v>0.98463670246336032</v>
      </c>
      <c r="AM62">
        <v>33.618000000000002</v>
      </c>
      <c r="AN62" s="14">
        <v>0.9833850114081788</v>
      </c>
      <c r="AO62">
        <v>26</v>
      </c>
      <c r="AQ62">
        <v>60</v>
      </c>
      <c r="AR62">
        <v>119.99844299999999</v>
      </c>
      <c r="AS62" s="14">
        <v>0.98488709715173839</v>
      </c>
      <c r="AT62">
        <v>33.338000000000001</v>
      </c>
      <c r="AU62" s="14">
        <v>0.9844963529515991</v>
      </c>
      <c r="AV62">
        <v>26</v>
      </c>
      <c r="AX62">
        <v>60</v>
      </c>
      <c r="AY62">
        <v>121.879728</v>
      </c>
      <c r="AZ62" s="14">
        <v>0.98590182322758657</v>
      </c>
      <c r="BA62">
        <v>33.826000000000001</v>
      </c>
      <c r="BB62" s="14">
        <v>0.98549120149166769</v>
      </c>
      <c r="BC62">
        <v>26</v>
      </c>
    </row>
    <row r="63" spans="3:55" x14ac:dyDescent="0.35">
      <c r="C63">
        <v>225</v>
      </c>
      <c r="D63">
        <v>31.876999999999999</v>
      </c>
      <c r="E63">
        <v>115.85223266666667</v>
      </c>
      <c r="F63" s="14">
        <v>0.94162998847960289</v>
      </c>
      <c r="G63" s="14">
        <v>0.94557450156267897</v>
      </c>
      <c r="I63">
        <v>3.8501372095253199</v>
      </c>
      <c r="K63" s="14"/>
      <c r="L63" s="14">
        <f t="shared" si="4"/>
        <v>0.10584055018791927</v>
      </c>
      <c r="M63" s="14"/>
      <c r="O63">
        <v>61</v>
      </c>
      <c r="P63">
        <v>121.04453100000001</v>
      </c>
      <c r="Q63" s="14">
        <v>0.98666997142000257</v>
      </c>
      <c r="R63">
        <v>33.542999999999999</v>
      </c>
      <c r="S63" s="14">
        <v>0.98847763305239589</v>
      </c>
      <c r="T63">
        <v>26</v>
      </c>
      <c r="V63">
        <v>61</v>
      </c>
      <c r="W63">
        <v>121.17844700000001</v>
      </c>
      <c r="X63" s="14">
        <v>0.98863607094966965</v>
      </c>
      <c r="Y63">
        <v>33.496000000000002</v>
      </c>
      <c r="Z63" s="14">
        <v>0.98872424582324814</v>
      </c>
      <c r="AA63">
        <v>26</v>
      </c>
      <c r="AC63">
        <v>61</v>
      </c>
      <c r="AD63">
        <v>120.08570400000001</v>
      </c>
      <c r="AE63" s="14">
        <v>0.98904193098925341</v>
      </c>
      <c r="AF63">
        <v>33.206000000000003</v>
      </c>
      <c r="AG63" s="14">
        <v>0.98847974280356021</v>
      </c>
      <c r="AH63">
        <v>26</v>
      </c>
      <c r="AJ63">
        <v>61</v>
      </c>
      <c r="AK63">
        <v>121.123823</v>
      </c>
      <c r="AL63" s="14">
        <v>0.9841817521561449</v>
      </c>
      <c r="AM63">
        <v>33.603000000000002</v>
      </c>
      <c r="AN63" s="14">
        <v>0.98294623530100045</v>
      </c>
      <c r="AO63">
        <v>26</v>
      </c>
      <c r="AQ63">
        <v>61</v>
      </c>
      <c r="AR63">
        <v>119.939829</v>
      </c>
      <c r="AS63" s="14">
        <v>0.98440602280719514</v>
      </c>
      <c r="AT63">
        <v>33.322000000000003</v>
      </c>
      <c r="AU63" s="14">
        <v>0.98402386085107652</v>
      </c>
      <c r="AV63">
        <v>26</v>
      </c>
      <c r="AX63">
        <v>61</v>
      </c>
      <c r="AY63">
        <v>121.805829</v>
      </c>
      <c r="AZ63" s="14">
        <v>0.98530404408883843</v>
      </c>
      <c r="BA63">
        <v>33.804000000000002</v>
      </c>
      <c r="BB63" s="14">
        <v>0.98485025055354869</v>
      </c>
      <c r="BC63">
        <v>26</v>
      </c>
    </row>
    <row r="64" spans="3:55" x14ac:dyDescent="0.35">
      <c r="C64">
        <v>300</v>
      </c>
      <c r="D64">
        <v>31.234333333333336</v>
      </c>
      <c r="E64">
        <v>113.64016833333334</v>
      </c>
      <c r="F64" s="14">
        <v>0.92264594964503399</v>
      </c>
      <c r="G64" s="14">
        <v>0.92751985055362629</v>
      </c>
      <c r="I64">
        <v>3.9905268344693399</v>
      </c>
      <c r="K64" s="14"/>
      <c r="L64" s="14">
        <f t="shared" si="4"/>
        <v>0.14616340925504095</v>
      </c>
      <c r="M64" s="14"/>
      <c r="O64">
        <v>62</v>
      </c>
      <c r="P64">
        <v>121.03717</v>
      </c>
      <c r="Q64" s="14">
        <v>0.98660996971980497</v>
      </c>
      <c r="R64">
        <v>33.54</v>
      </c>
      <c r="S64" s="14">
        <v>0.98838922614486946</v>
      </c>
      <c r="T64">
        <v>26</v>
      </c>
      <c r="V64">
        <v>62</v>
      </c>
      <c r="W64">
        <v>121.095536</v>
      </c>
      <c r="X64" s="14">
        <v>0.98795964038542483</v>
      </c>
      <c r="Y64">
        <v>33.475000000000001</v>
      </c>
      <c r="Z64" s="14">
        <v>0.98810437452033772</v>
      </c>
      <c r="AA64">
        <v>26</v>
      </c>
      <c r="AC64">
        <v>62</v>
      </c>
      <c r="AD64">
        <v>120.010563</v>
      </c>
      <c r="AE64" s="14">
        <v>0.9884230596560224</v>
      </c>
      <c r="AF64">
        <v>33.186</v>
      </c>
      <c r="AG64" s="14">
        <v>0.9878843806745452</v>
      </c>
      <c r="AH64">
        <v>26</v>
      </c>
      <c r="AJ64">
        <v>62</v>
      </c>
      <c r="AK64">
        <v>121.030683</v>
      </c>
      <c r="AL64" s="14">
        <v>0.98342495067708458</v>
      </c>
      <c r="AM64">
        <v>33.576999999999998</v>
      </c>
      <c r="AN64" s="14">
        <v>0.98218569004855782</v>
      </c>
      <c r="AO64">
        <v>26</v>
      </c>
      <c r="AQ64">
        <v>62</v>
      </c>
      <c r="AR64">
        <v>119.84401800000001</v>
      </c>
      <c r="AS64" s="14">
        <v>0.98361965412351804</v>
      </c>
      <c r="AT64">
        <v>33.295999999999999</v>
      </c>
      <c r="AU64" s="14">
        <v>0.98325606118772702</v>
      </c>
      <c r="AV64">
        <v>26</v>
      </c>
      <c r="AX64">
        <v>62</v>
      </c>
      <c r="AY64">
        <v>121.714527</v>
      </c>
      <c r="AZ64" s="14">
        <v>0.98456548969803503</v>
      </c>
      <c r="BA64">
        <v>33.780999999999999</v>
      </c>
      <c r="BB64" s="14">
        <v>0.98418016548187859</v>
      </c>
      <c r="BC64">
        <v>26</v>
      </c>
    </row>
    <row r="65" spans="3:55" x14ac:dyDescent="0.35">
      <c r="C65">
        <v>375</v>
      </c>
      <c r="D65">
        <v>30.575999999999997</v>
      </c>
      <c r="E65">
        <v>111.37782533333335</v>
      </c>
      <c r="F65" s="14">
        <v>0.90319912563140625</v>
      </c>
      <c r="G65" s="14">
        <v>0.90905483002403653</v>
      </c>
      <c r="I65">
        <v>4.1318539097878304</v>
      </c>
      <c r="K65" s="14"/>
      <c r="L65" s="14">
        <f t="shared" si="4"/>
        <v>0.18675552382695706</v>
      </c>
      <c r="M65" s="14"/>
      <c r="O65">
        <v>63</v>
      </c>
      <c r="P65">
        <v>121.034494</v>
      </c>
      <c r="Q65" s="14">
        <v>0.98658815684794932</v>
      </c>
      <c r="R65">
        <v>33.539000000000001</v>
      </c>
      <c r="S65" s="14">
        <v>0.98835975717569413</v>
      </c>
      <c r="T65">
        <v>26</v>
      </c>
      <c r="V65">
        <v>63</v>
      </c>
      <c r="W65">
        <v>121.074933</v>
      </c>
      <c r="X65" s="14">
        <v>0.98779155051900025</v>
      </c>
      <c r="Y65">
        <v>33.47</v>
      </c>
      <c r="Z65" s="14">
        <v>0.9879567861148828</v>
      </c>
      <c r="AA65">
        <v>26</v>
      </c>
      <c r="AC65">
        <v>63</v>
      </c>
      <c r="AD65">
        <v>120.004987</v>
      </c>
      <c r="AE65" s="14">
        <v>0.98837713497370383</v>
      </c>
      <c r="AF65">
        <v>33.186</v>
      </c>
      <c r="AG65" s="14">
        <v>0.9878843806745452</v>
      </c>
      <c r="AH65">
        <v>26</v>
      </c>
      <c r="AJ65">
        <v>63</v>
      </c>
      <c r="AK65">
        <v>120.96437299999999</v>
      </c>
      <c r="AL65" s="14">
        <v>0.98288615417637082</v>
      </c>
      <c r="AM65">
        <v>33.561</v>
      </c>
      <c r="AN65" s="14">
        <v>0.98171766220090095</v>
      </c>
      <c r="AO65">
        <v>26</v>
      </c>
      <c r="AQ65">
        <v>63</v>
      </c>
      <c r="AR65">
        <v>119.78511399999999</v>
      </c>
      <c r="AS65" s="14">
        <v>0.98313619960427368</v>
      </c>
      <c r="AT65">
        <v>33.279000000000003</v>
      </c>
      <c r="AU65" s="14">
        <v>0.98275403833092179</v>
      </c>
      <c r="AV65">
        <v>26</v>
      </c>
      <c r="AX65">
        <v>63</v>
      </c>
      <c r="AY65">
        <v>121.68146400000001</v>
      </c>
      <c r="AZ65" s="14">
        <v>0.98429803855980003</v>
      </c>
      <c r="BA65">
        <v>33.773000000000003</v>
      </c>
      <c r="BB65" s="14">
        <v>0.98394709241347178</v>
      </c>
      <c r="BC65">
        <v>26</v>
      </c>
    </row>
    <row r="66" spans="3:55" x14ac:dyDescent="0.35">
      <c r="C66">
        <v>450</v>
      </c>
      <c r="D66">
        <v>29.990666666666669</v>
      </c>
      <c r="E66">
        <v>109.28701833333334</v>
      </c>
      <c r="F66" s="14">
        <v>0.885908683622328</v>
      </c>
      <c r="G66" s="14">
        <v>0.89198986941531788</v>
      </c>
      <c r="I66">
        <v>4.2801154859989197</v>
      </c>
      <c r="K66" s="14"/>
      <c r="L66" s="14">
        <f t="shared" si="4"/>
        <v>0.22933937320338299</v>
      </c>
      <c r="M66" s="14"/>
      <c r="O66">
        <v>64</v>
      </c>
      <c r="P66">
        <v>120.99627099999999</v>
      </c>
      <c r="Q66" s="14">
        <v>0.98627658980724109</v>
      </c>
      <c r="R66">
        <v>33.526000000000003</v>
      </c>
      <c r="S66" s="14">
        <v>0.9879766605764132</v>
      </c>
      <c r="T66">
        <v>26</v>
      </c>
      <c r="V66">
        <v>64</v>
      </c>
      <c r="W66">
        <v>121.05229</v>
      </c>
      <c r="X66" s="14">
        <v>0.98760681728376976</v>
      </c>
      <c r="Y66">
        <v>33.463999999999999</v>
      </c>
      <c r="Z66" s="14">
        <v>0.98777968002833694</v>
      </c>
      <c r="AA66">
        <v>26</v>
      </c>
      <c r="AC66">
        <v>64</v>
      </c>
      <c r="AD66">
        <v>120.00068899999999</v>
      </c>
      <c r="AE66" s="14">
        <v>0.98834173607043885</v>
      </c>
      <c r="AF66">
        <v>33.182000000000002</v>
      </c>
      <c r="AG66" s="14">
        <v>0.98776530824874231</v>
      </c>
      <c r="AH66">
        <v>26</v>
      </c>
      <c r="AJ66">
        <v>64</v>
      </c>
      <c r="AK66">
        <v>120.962456</v>
      </c>
      <c r="AL66" s="14">
        <v>0.98287057774910702</v>
      </c>
      <c r="AM66">
        <v>33.56</v>
      </c>
      <c r="AN66" s="14">
        <v>0.98168841046042243</v>
      </c>
      <c r="AO66">
        <v>26</v>
      </c>
      <c r="AQ66">
        <v>64</v>
      </c>
      <c r="AR66">
        <v>119.762562</v>
      </c>
      <c r="AS66" s="14">
        <v>0.98295110408753472</v>
      </c>
      <c r="AT66">
        <v>33.274000000000001</v>
      </c>
      <c r="AU66" s="14">
        <v>0.98260638454950833</v>
      </c>
      <c r="AV66">
        <v>26</v>
      </c>
      <c r="AX66">
        <v>64</v>
      </c>
      <c r="AY66">
        <v>121.66765700000001</v>
      </c>
      <c r="AZ66" s="14">
        <v>0.98418635184457126</v>
      </c>
      <c r="BA66">
        <v>33.770000000000003</v>
      </c>
      <c r="BB66" s="14">
        <v>0.98385969001281914</v>
      </c>
      <c r="BC66">
        <v>26</v>
      </c>
    </row>
    <row r="67" spans="3:55" x14ac:dyDescent="0.35">
      <c r="O67">
        <v>65</v>
      </c>
      <c r="P67">
        <v>120.932078</v>
      </c>
      <c r="Q67" s="14">
        <v>0.98575333357292716</v>
      </c>
      <c r="R67">
        <v>33.509</v>
      </c>
      <c r="S67" s="14">
        <v>0.98747568810043029</v>
      </c>
      <c r="T67">
        <v>26</v>
      </c>
      <c r="V67">
        <v>65</v>
      </c>
      <c r="W67">
        <v>121.04110900000001</v>
      </c>
      <c r="X67" s="14">
        <v>0.98751559693738855</v>
      </c>
      <c r="Y67">
        <v>33.460999999999999</v>
      </c>
      <c r="Z67" s="14">
        <v>0.98769112698506401</v>
      </c>
      <c r="AA67">
        <v>26</v>
      </c>
      <c r="AC67">
        <v>65</v>
      </c>
      <c r="AD67">
        <v>119.978047</v>
      </c>
      <c r="AE67" s="14">
        <v>0.98815525352792533</v>
      </c>
      <c r="AF67">
        <v>33.174999999999997</v>
      </c>
      <c r="AG67" s="14">
        <v>0.98755693150358692</v>
      </c>
      <c r="AH67">
        <v>26</v>
      </c>
      <c r="AJ67">
        <v>65</v>
      </c>
      <c r="AK67">
        <v>120.932748</v>
      </c>
      <c r="AL67" s="14">
        <v>0.98262918781631858</v>
      </c>
      <c r="AM67">
        <v>33.549999999999997</v>
      </c>
      <c r="AN67" s="14">
        <v>0.98139589305563668</v>
      </c>
      <c r="AO67">
        <v>26</v>
      </c>
      <c r="AQ67">
        <v>65</v>
      </c>
      <c r="AR67">
        <v>119.75268199999999</v>
      </c>
      <c r="AS67" s="14">
        <v>0.98287001399772522</v>
      </c>
      <c r="AT67">
        <v>33.268000000000001</v>
      </c>
      <c r="AU67" s="14">
        <v>0.98242920001181233</v>
      </c>
      <c r="AV67">
        <v>26</v>
      </c>
      <c r="AX67">
        <v>65</v>
      </c>
      <c r="AY67">
        <v>121.625513</v>
      </c>
      <c r="AZ67" s="14">
        <v>0.98384544325279866</v>
      </c>
      <c r="BA67">
        <v>33.756999999999998</v>
      </c>
      <c r="BB67" s="14">
        <v>0.98348094627665772</v>
      </c>
      <c r="BC67">
        <v>26</v>
      </c>
    </row>
    <row r="68" spans="3:55" x14ac:dyDescent="0.35">
      <c r="C68" s="79" t="s">
        <v>151</v>
      </c>
      <c r="D68" s="79"/>
      <c r="E68" s="79"/>
      <c r="F68" s="79"/>
      <c r="G68" s="79"/>
      <c r="H68" s="79" t="s">
        <v>114</v>
      </c>
      <c r="I68" s="79"/>
      <c r="J68" s="79"/>
      <c r="K68" s="79" t="s">
        <v>115</v>
      </c>
      <c r="L68" s="79"/>
      <c r="M68" s="79"/>
      <c r="O68">
        <v>66</v>
      </c>
      <c r="P68">
        <v>120.898599</v>
      </c>
      <c r="Q68" s="14">
        <v>0.98548043628710791</v>
      </c>
      <c r="R68">
        <v>33.499000000000002</v>
      </c>
      <c r="S68" s="14">
        <v>0.98718099840867579</v>
      </c>
      <c r="T68">
        <v>26</v>
      </c>
      <c r="V68">
        <v>66</v>
      </c>
      <c r="W68">
        <v>120.965564</v>
      </c>
      <c r="X68" s="14">
        <v>0.98689926198815536</v>
      </c>
      <c r="Y68">
        <v>33.442</v>
      </c>
      <c r="Z68" s="14">
        <v>0.98713029104433558</v>
      </c>
      <c r="AA68">
        <v>26</v>
      </c>
      <c r="AC68">
        <v>66</v>
      </c>
      <c r="AD68">
        <v>119.907087</v>
      </c>
      <c r="AE68" s="14">
        <v>0.9875708174702994</v>
      </c>
      <c r="AF68">
        <v>33.155999999999999</v>
      </c>
      <c r="AG68" s="14">
        <v>0.98699133748102275</v>
      </c>
      <c r="AH68">
        <v>26</v>
      </c>
      <c r="AJ68">
        <v>66</v>
      </c>
      <c r="AK68">
        <v>120.86444400000001</v>
      </c>
      <c r="AL68" s="14">
        <v>0.98207418923111645</v>
      </c>
      <c r="AM68">
        <v>33.531999999999996</v>
      </c>
      <c r="AN68" s="14">
        <v>0.98086936172702266</v>
      </c>
      <c r="AO68">
        <v>26</v>
      </c>
      <c r="AQ68">
        <v>66</v>
      </c>
      <c r="AR68">
        <v>119.706627</v>
      </c>
      <c r="AS68" s="14">
        <v>0.98249201763272809</v>
      </c>
      <c r="AT68">
        <v>33.253</v>
      </c>
      <c r="AU68" s="14">
        <v>0.98198623866757229</v>
      </c>
      <c r="AV68">
        <v>26</v>
      </c>
      <c r="AX68">
        <v>66</v>
      </c>
      <c r="AY68">
        <v>121.55680099999999</v>
      </c>
      <c r="AZ68" s="14">
        <v>0.98328962246792107</v>
      </c>
      <c r="BA68">
        <v>33.74</v>
      </c>
      <c r="BB68" s="14">
        <v>0.98298566600629311</v>
      </c>
      <c r="BC68">
        <v>26</v>
      </c>
    </row>
    <row r="69" spans="3:55" x14ac:dyDescent="0.35">
      <c r="C69" t="s">
        <v>179</v>
      </c>
      <c r="D69" t="s">
        <v>185</v>
      </c>
      <c r="E69" t="s">
        <v>186</v>
      </c>
      <c r="F69" t="s">
        <v>183</v>
      </c>
      <c r="G69" t="s">
        <v>181</v>
      </c>
      <c r="H69" s="15" t="s">
        <v>187</v>
      </c>
      <c r="I69" s="15" t="s">
        <v>188</v>
      </c>
      <c r="J69" s="15" t="s">
        <v>189</v>
      </c>
      <c r="K69" s="15" t="s">
        <v>187</v>
      </c>
      <c r="L69" s="15" t="s">
        <v>188</v>
      </c>
      <c r="M69" s="15" t="s">
        <v>189</v>
      </c>
      <c r="O69">
        <v>67</v>
      </c>
      <c r="P69">
        <v>120.90738899999999</v>
      </c>
      <c r="Q69" s="14">
        <v>0.98555208619129708</v>
      </c>
      <c r="R69">
        <v>33.502000000000002</v>
      </c>
      <c r="S69" s="14">
        <v>0.98726940531620222</v>
      </c>
      <c r="T69">
        <v>26</v>
      </c>
      <c r="V69">
        <v>67</v>
      </c>
      <c r="W69">
        <v>120.912556</v>
      </c>
      <c r="X69" s="14">
        <v>0.98646679547165594</v>
      </c>
      <c r="Y69">
        <v>33.430999999999997</v>
      </c>
      <c r="Z69" s="14">
        <v>0.9868055965523348</v>
      </c>
      <c r="AA69">
        <v>26</v>
      </c>
      <c r="AC69">
        <v>67</v>
      </c>
      <c r="AD69">
        <v>119.865784</v>
      </c>
      <c r="AE69" s="14">
        <v>0.98723064043410824</v>
      </c>
      <c r="AF69">
        <v>33.146000000000001</v>
      </c>
      <c r="AG69" s="14">
        <v>0.9866936564165153</v>
      </c>
      <c r="AH69">
        <v>26</v>
      </c>
      <c r="AJ69">
        <v>67</v>
      </c>
      <c r="AK69">
        <v>120.832573</v>
      </c>
      <c r="AL69" s="14">
        <v>0.98181522401811305</v>
      </c>
      <c r="AM69">
        <v>33.523000000000003</v>
      </c>
      <c r="AN69" s="14">
        <v>0.98060609606271587</v>
      </c>
      <c r="AO69">
        <v>26</v>
      </c>
      <c r="AQ69">
        <v>67</v>
      </c>
      <c r="AR69">
        <v>119.63891700000001</v>
      </c>
      <c r="AS69" s="14">
        <v>0.9819362878775667</v>
      </c>
      <c r="AT69">
        <v>33.237000000000002</v>
      </c>
      <c r="AU69" s="14">
        <v>0.98151374656704971</v>
      </c>
      <c r="AV69">
        <v>26</v>
      </c>
      <c r="AX69">
        <v>67</v>
      </c>
      <c r="AY69">
        <v>121.50577199999999</v>
      </c>
      <c r="AZ69" s="14">
        <v>0.98287684189347246</v>
      </c>
      <c r="BA69">
        <v>33.726999999999997</v>
      </c>
      <c r="BB69" s="14">
        <v>0.98260692227013169</v>
      </c>
      <c r="BC69">
        <v>26</v>
      </c>
    </row>
    <row r="70" spans="3:55" x14ac:dyDescent="0.35">
      <c r="C70">
        <v>0</v>
      </c>
      <c r="D70">
        <v>34.391999999999996</v>
      </c>
      <c r="E70">
        <v>124.53186866666668</v>
      </c>
      <c r="F70" s="14">
        <v>1</v>
      </c>
      <c r="G70" s="14">
        <v>1</v>
      </c>
      <c r="I70">
        <v>3.4214842966911698</v>
      </c>
      <c r="K70" s="14"/>
      <c r="L70" s="14">
        <v>0</v>
      </c>
      <c r="M70" s="14"/>
      <c r="O70">
        <v>68</v>
      </c>
      <c r="P70">
        <v>120.903966</v>
      </c>
      <c r="Q70" s="14">
        <v>0.98552418430027999</v>
      </c>
      <c r="R70">
        <v>33.500999999999998</v>
      </c>
      <c r="S70" s="14">
        <v>0.98723993634702656</v>
      </c>
      <c r="T70">
        <v>26</v>
      </c>
      <c r="V70">
        <v>68</v>
      </c>
      <c r="W70">
        <v>120.88657000000001</v>
      </c>
      <c r="X70" s="14">
        <v>0.98625478832372071</v>
      </c>
      <c r="Y70">
        <v>33.424999999999997</v>
      </c>
      <c r="Z70" s="14">
        <v>0.98662849046578893</v>
      </c>
      <c r="AA70">
        <v>26</v>
      </c>
      <c r="AC70">
        <v>68</v>
      </c>
      <c r="AD70">
        <v>119.879345</v>
      </c>
      <c r="AE70" s="14">
        <v>0.98734233064517729</v>
      </c>
      <c r="AF70">
        <v>33.148000000000003</v>
      </c>
      <c r="AG70" s="14">
        <v>0.98675319262941685</v>
      </c>
      <c r="AH70">
        <v>26</v>
      </c>
      <c r="AJ70">
        <v>68</v>
      </c>
      <c r="AK70">
        <v>120.795067</v>
      </c>
      <c r="AL70" s="14">
        <v>0.98151047207186415</v>
      </c>
      <c r="AM70">
        <v>33.512999999999998</v>
      </c>
      <c r="AN70" s="14">
        <v>0.98031357865793012</v>
      </c>
      <c r="AO70">
        <v>26</v>
      </c>
      <c r="AQ70">
        <v>68</v>
      </c>
      <c r="AR70">
        <v>119.585606</v>
      </c>
      <c r="AS70" s="14">
        <v>0.98149873790005349</v>
      </c>
      <c r="AT70">
        <v>33.225999999999999</v>
      </c>
      <c r="AU70" s="14">
        <v>0.98118890824794025</v>
      </c>
      <c r="AV70">
        <v>26</v>
      </c>
      <c r="AX70">
        <v>68</v>
      </c>
      <c r="AY70">
        <v>121.506394</v>
      </c>
      <c r="AZ70" s="14">
        <v>0.98288187333671673</v>
      </c>
      <c r="BA70">
        <v>33.723999999999997</v>
      </c>
      <c r="BB70" s="14">
        <v>0.98251951986947905</v>
      </c>
      <c r="BC70">
        <v>26</v>
      </c>
    </row>
    <row r="71" spans="3:55" x14ac:dyDescent="0.35">
      <c r="C71">
        <v>75</v>
      </c>
      <c r="D71">
        <v>33.752666666666663</v>
      </c>
      <c r="E71">
        <v>122.36330266666666</v>
      </c>
      <c r="F71" s="14">
        <v>0.98141040552066372</v>
      </c>
      <c r="G71" s="14">
        <v>0.98258625664885346</v>
      </c>
      <c r="I71">
        <v>3.57255665780017</v>
      </c>
      <c r="K71" s="14"/>
      <c r="L71" s="14">
        <f>(I71-$I$70)/$I$70</f>
        <v>4.415404193294073E-2</v>
      </c>
      <c r="M71" s="14"/>
      <c r="O71">
        <v>69</v>
      </c>
      <c r="P71">
        <v>120.911671</v>
      </c>
      <c r="Q71" s="14">
        <v>0.98558699004678496</v>
      </c>
      <c r="R71">
        <v>33.499000000000002</v>
      </c>
      <c r="S71" s="14">
        <v>0.98718099840867579</v>
      </c>
      <c r="T71">
        <v>26</v>
      </c>
      <c r="V71">
        <v>69</v>
      </c>
      <c r="W71">
        <v>120.89199499999999</v>
      </c>
      <c r="X71" s="14">
        <v>0.98629904826282433</v>
      </c>
      <c r="Y71">
        <v>33.423999999999999</v>
      </c>
      <c r="Z71" s="14">
        <v>0.98659897278469799</v>
      </c>
      <c r="AA71">
        <v>26</v>
      </c>
      <c r="AC71">
        <v>69</v>
      </c>
      <c r="AD71">
        <v>119.88624299999999</v>
      </c>
      <c r="AE71" s="14">
        <v>0.98739914349643854</v>
      </c>
      <c r="AF71">
        <v>33.149000000000001</v>
      </c>
      <c r="AG71" s="14">
        <v>0.98678296073586746</v>
      </c>
      <c r="AH71">
        <v>26</v>
      </c>
      <c r="AJ71">
        <v>69</v>
      </c>
      <c r="AK71">
        <v>120.787443</v>
      </c>
      <c r="AL71" s="14">
        <v>0.9814485238812225</v>
      </c>
      <c r="AM71">
        <v>33.508000000000003</v>
      </c>
      <c r="AN71" s="14">
        <v>0.98016731995553741</v>
      </c>
      <c r="AO71">
        <v>26</v>
      </c>
      <c r="AQ71">
        <v>69</v>
      </c>
      <c r="AR71">
        <v>119.566952</v>
      </c>
      <c r="AS71" s="14">
        <v>0.98134563521429397</v>
      </c>
      <c r="AT71">
        <v>33.220999999999997</v>
      </c>
      <c r="AU71" s="14">
        <v>0.98104125446652679</v>
      </c>
      <c r="AV71">
        <v>26</v>
      </c>
      <c r="AX71">
        <v>69</v>
      </c>
      <c r="AY71">
        <v>121.495225</v>
      </c>
      <c r="AZ71" s="14">
        <v>0.98279152576502193</v>
      </c>
      <c r="BA71">
        <v>33.722999999999999</v>
      </c>
      <c r="BB71" s="14">
        <v>0.98249038573592828</v>
      </c>
      <c r="BC71">
        <v>26</v>
      </c>
    </row>
    <row r="72" spans="3:55" x14ac:dyDescent="0.35">
      <c r="C72">
        <v>150</v>
      </c>
      <c r="D72">
        <v>33.081333333333333</v>
      </c>
      <c r="E72">
        <v>120.05694966666665</v>
      </c>
      <c r="F72" s="14">
        <v>0.96189036209971324</v>
      </c>
      <c r="G72" s="14">
        <v>0.96406607362507346</v>
      </c>
      <c r="I72">
        <v>3.7008324241504198</v>
      </c>
      <c r="K72" s="14"/>
      <c r="L72" s="14">
        <f t="shared" ref="L72:L76" si="5">(I72-$I$70)/$I$70</f>
        <v>8.1645304562525806E-2</v>
      </c>
      <c r="M72" s="14"/>
      <c r="O72">
        <v>70</v>
      </c>
      <c r="P72">
        <v>120.82894</v>
      </c>
      <c r="Q72" s="14">
        <v>0.9849126250611786</v>
      </c>
      <c r="R72">
        <v>33.475999999999999</v>
      </c>
      <c r="S72" s="14">
        <v>0.98650321211764014</v>
      </c>
      <c r="T72">
        <v>26</v>
      </c>
      <c r="V72">
        <v>70</v>
      </c>
      <c r="W72">
        <v>120.91707599999999</v>
      </c>
      <c r="X72" s="14">
        <v>0.9865036719554805</v>
      </c>
      <c r="Y72">
        <v>33.435000000000002</v>
      </c>
      <c r="Z72" s="14">
        <v>0.98692366727669878</v>
      </c>
      <c r="AA72">
        <v>26</v>
      </c>
      <c r="AC72">
        <v>70</v>
      </c>
      <c r="AD72">
        <v>119.93231900000001</v>
      </c>
      <c r="AE72" s="14">
        <v>0.98777863159947099</v>
      </c>
      <c r="AF72">
        <v>33.159999999999997</v>
      </c>
      <c r="AG72" s="14">
        <v>0.98711040990682564</v>
      </c>
      <c r="AH72">
        <v>26</v>
      </c>
      <c r="AJ72">
        <v>70</v>
      </c>
      <c r="AK72">
        <v>120.78889599999999</v>
      </c>
      <c r="AL72" s="14">
        <v>0.98146033011430256</v>
      </c>
      <c r="AM72">
        <v>33.509</v>
      </c>
      <c r="AN72" s="14">
        <v>0.98019657169601593</v>
      </c>
      <c r="AO72">
        <v>26</v>
      </c>
      <c r="AQ72">
        <v>70</v>
      </c>
      <c r="AR72">
        <v>119.55586</v>
      </c>
      <c r="AS72" s="14">
        <v>0.98125459763573464</v>
      </c>
      <c r="AT72">
        <v>33.22</v>
      </c>
      <c r="AU72" s="14">
        <v>0.98101172371024425</v>
      </c>
      <c r="AV72">
        <v>26</v>
      </c>
      <c r="AX72">
        <v>70</v>
      </c>
      <c r="AY72">
        <v>121.54459900000001</v>
      </c>
      <c r="AZ72" s="14">
        <v>0.98319091881765519</v>
      </c>
      <c r="BA72">
        <v>33.728999999999999</v>
      </c>
      <c r="BB72" s="14">
        <v>0.98266519053723345</v>
      </c>
      <c r="BC72">
        <v>26</v>
      </c>
    </row>
    <row r="73" spans="3:55" x14ac:dyDescent="0.35">
      <c r="C73">
        <v>225</v>
      </c>
      <c r="D73">
        <v>32.492666666666672</v>
      </c>
      <c r="E73">
        <v>118.04200200000001</v>
      </c>
      <c r="F73" s="14">
        <v>0.94477397844459976</v>
      </c>
      <c r="G73" s="14">
        <v>0.94788589670939538</v>
      </c>
      <c r="I73">
        <v>3.8378783348002101</v>
      </c>
      <c r="K73" s="14"/>
      <c r="L73" s="14">
        <f t="shared" si="5"/>
        <v>0.12169982440419919</v>
      </c>
      <c r="M73" s="14"/>
      <c r="O73">
        <v>71</v>
      </c>
      <c r="P73">
        <v>120.75815</v>
      </c>
      <c r="Q73" s="14">
        <v>0.98433559471788434</v>
      </c>
      <c r="R73">
        <v>33.457999999999998</v>
      </c>
      <c r="S73" s="14">
        <v>0.9859727706724819</v>
      </c>
      <c r="T73">
        <v>26</v>
      </c>
      <c r="V73">
        <v>71</v>
      </c>
      <c r="W73">
        <v>120.845006</v>
      </c>
      <c r="X73" s="14">
        <v>0.98591568784281625</v>
      </c>
      <c r="Y73">
        <v>33.417000000000002</v>
      </c>
      <c r="Z73" s="14">
        <v>0.9863923490170613</v>
      </c>
      <c r="AA73">
        <v>26</v>
      </c>
      <c r="AC73">
        <v>71</v>
      </c>
      <c r="AD73">
        <v>119.834253</v>
      </c>
      <c r="AE73" s="14">
        <v>0.98697094689784826</v>
      </c>
      <c r="AF73">
        <v>33.133000000000003</v>
      </c>
      <c r="AG73" s="14">
        <v>0.98630667103265557</v>
      </c>
      <c r="AH73">
        <v>26</v>
      </c>
      <c r="AJ73">
        <v>71</v>
      </c>
      <c r="AK73">
        <v>120.78508100000001</v>
      </c>
      <c r="AL73" s="14">
        <v>0.98142933164272628</v>
      </c>
      <c r="AM73">
        <v>33.503</v>
      </c>
      <c r="AN73" s="14">
        <v>0.98002106125314459</v>
      </c>
      <c r="AO73">
        <v>26</v>
      </c>
      <c r="AQ73">
        <v>71</v>
      </c>
      <c r="AR73">
        <v>119.555514</v>
      </c>
      <c r="AS73" s="14">
        <v>0.98125175784109153</v>
      </c>
      <c r="AT73">
        <v>33.216999999999999</v>
      </c>
      <c r="AU73" s="14">
        <v>0.9809231314413962</v>
      </c>
      <c r="AV73">
        <v>26</v>
      </c>
      <c r="AX73">
        <v>71</v>
      </c>
      <c r="AY73">
        <v>121.439106</v>
      </c>
      <c r="AZ73" s="14">
        <v>0.98233757148299627</v>
      </c>
      <c r="BA73">
        <v>33.703000000000003</v>
      </c>
      <c r="BB73" s="14">
        <v>0.98190770306491104</v>
      </c>
      <c r="BC73">
        <v>26</v>
      </c>
    </row>
    <row r="74" spans="3:55" x14ac:dyDescent="0.35">
      <c r="C74">
        <v>300</v>
      </c>
      <c r="D74">
        <v>31.898333333333337</v>
      </c>
      <c r="E74">
        <v>115.98612200000001</v>
      </c>
      <c r="F74" s="14">
        <v>0.92749282778940856</v>
      </c>
      <c r="G74" s="14">
        <v>0.93137703016774775</v>
      </c>
      <c r="I74">
        <v>3.9281242425189302</v>
      </c>
      <c r="K74" s="14"/>
      <c r="L74" s="14">
        <f t="shared" si="5"/>
        <v>0.14807606930060119</v>
      </c>
      <c r="M74" s="14"/>
      <c r="O74">
        <v>72</v>
      </c>
      <c r="P74">
        <v>120.74258399999999</v>
      </c>
      <c r="Q74" s="14">
        <v>0.98420871162247925</v>
      </c>
      <c r="R74">
        <v>33.454000000000001</v>
      </c>
      <c r="S74" s="14">
        <v>0.98585489479578015</v>
      </c>
      <c r="T74">
        <v>26</v>
      </c>
      <c r="V74">
        <v>72</v>
      </c>
      <c r="W74">
        <v>120.743298</v>
      </c>
      <c r="X74" s="14">
        <v>0.9850859016886484</v>
      </c>
      <c r="Y74">
        <v>33.39</v>
      </c>
      <c r="Z74" s="14">
        <v>0.98559537162760491</v>
      </c>
      <c r="AA74">
        <v>26</v>
      </c>
      <c r="AC74">
        <v>72</v>
      </c>
      <c r="AD74">
        <v>119.740126</v>
      </c>
      <c r="AE74" s="14">
        <v>0.98619570432744019</v>
      </c>
      <c r="AF74">
        <v>33.107999999999997</v>
      </c>
      <c r="AG74" s="14">
        <v>0.98556246837138672</v>
      </c>
      <c r="AH74">
        <v>26</v>
      </c>
      <c r="AJ74">
        <v>72</v>
      </c>
      <c r="AK74">
        <v>120.682579</v>
      </c>
      <c r="AL74" s="14">
        <v>0.98059645999567213</v>
      </c>
      <c r="AM74">
        <v>33.475999999999999</v>
      </c>
      <c r="AN74" s="14">
        <v>0.97923126426022344</v>
      </c>
      <c r="AO74">
        <v>26</v>
      </c>
      <c r="AQ74">
        <v>72</v>
      </c>
      <c r="AR74">
        <v>119.457044</v>
      </c>
      <c r="AS74" s="14">
        <v>0.98044356541765709</v>
      </c>
      <c r="AT74">
        <v>33.191000000000003</v>
      </c>
      <c r="AU74" s="14">
        <v>0.98015533177804692</v>
      </c>
      <c r="AV74">
        <v>26</v>
      </c>
      <c r="AX74">
        <v>72</v>
      </c>
      <c r="AY74">
        <v>121.350308</v>
      </c>
      <c r="AZ74" s="14">
        <v>0.98161927229136237</v>
      </c>
      <c r="BA74">
        <v>33.677</v>
      </c>
      <c r="BB74" s="14">
        <v>0.9811502155925883</v>
      </c>
      <c r="BC74">
        <v>26</v>
      </c>
    </row>
    <row r="75" spans="3:55" x14ac:dyDescent="0.35">
      <c r="C75">
        <v>375</v>
      </c>
      <c r="D75">
        <v>31.222999999999999</v>
      </c>
      <c r="E75">
        <v>113.608317</v>
      </c>
      <c r="F75" s="14">
        <v>0.9078564782507561</v>
      </c>
      <c r="G75" s="14">
        <v>0.91228308236580269</v>
      </c>
      <c r="I75">
        <v>4.1408308320030498</v>
      </c>
      <c r="K75" s="14"/>
      <c r="L75" s="14">
        <f t="shared" si="5"/>
        <v>0.21024399732231466</v>
      </c>
      <c r="M75" s="14"/>
      <c r="O75">
        <v>73</v>
      </c>
      <c r="P75">
        <v>120.71648399999999</v>
      </c>
      <c r="Q75" s="14">
        <v>0.98399596276021084</v>
      </c>
      <c r="R75">
        <v>33.445</v>
      </c>
      <c r="S75" s="14">
        <v>0.98558967407320097</v>
      </c>
      <c r="T75">
        <v>26</v>
      </c>
      <c r="V75">
        <v>73</v>
      </c>
      <c r="W75">
        <v>120.70012</v>
      </c>
      <c r="X75" s="14">
        <v>0.98473363336595354</v>
      </c>
      <c r="Y75">
        <v>33.380000000000003</v>
      </c>
      <c r="Z75" s="14">
        <v>0.98530019481669529</v>
      </c>
      <c r="AA75">
        <v>26</v>
      </c>
      <c r="AC75">
        <v>73</v>
      </c>
      <c r="AD75">
        <v>119.731284</v>
      </c>
      <c r="AE75" s="14">
        <v>0.98612288043198459</v>
      </c>
      <c r="AF75">
        <v>33.106000000000002</v>
      </c>
      <c r="AG75" s="14">
        <v>0.98550293215848539</v>
      </c>
      <c r="AH75">
        <v>26</v>
      </c>
      <c r="AJ75">
        <v>73</v>
      </c>
      <c r="AK75">
        <v>120.60125499999999</v>
      </c>
      <c r="AL75" s="14">
        <v>0.97993566846160407</v>
      </c>
      <c r="AM75">
        <v>33.454999999999998</v>
      </c>
      <c r="AN75" s="14">
        <v>0.97861697771017375</v>
      </c>
      <c r="AO75">
        <v>26</v>
      </c>
      <c r="AQ75">
        <v>73</v>
      </c>
      <c r="AR75">
        <v>119.383869</v>
      </c>
      <c r="AS75" s="14">
        <v>0.97984298168063244</v>
      </c>
      <c r="AT75">
        <v>33.167999999999999</v>
      </c>
      <c r="AU75" s="14">
        <v>0.97947612438354548</v>
      </c>
      <c r="AV75">
        <v>26</v>
      </c>
      <c r="AX75">
        <v>73</v>
      </c>
      <c r="AY75">
        <v>121.320921</v>
      </c>
      <c r="AZ75" s="14">
        <v>0.98138155682091766</v>
      </c>
      <c r="BA75">
        <v>33.67</v>
      </c>
      <c r="BB75" s="14">
        <v>0.98094627665773226</v>
      </c>
      <c r="BC75">
        <v>26</v>
      </c>
    </row>
    <row r="76" spans="3:55" x14ac:dyDescent="0.35">
      <c r="C76">
        <v>450</v>
      </c>
      <c r="D76">
        <v>30.540666666666667</v>
      </c>
      <c r="E76">
        <v>111.08427</v>
      </c>
      <c r="F76" s="14">
        <v>0.88801659300612557</v>
      </c>
      <c r="G76" s="14">
        <v>0.89201480062375249</v>
      </c>
      <c r="I76">
        <v>4.4384079786896402</v>
      </c>
      <c r="K76" s="14"/>
      <c r="L76" s="14">
        <f t="shared" si="5"/>
        <v>0.29721711217026814</v>
      </c>
      <c r="M76" s="14"/>
      <c r="O76">
        <v>74</v>
      </c>
      <c r="P76">
        <v>120.70038599999999</v>
      </c>
      <c r="Q76" s="14">
        <v>0.9838647431745865</v>
      </c>
      <c r="R76">
        <v>33.44</v>
      </c>
      <c r="S76" s="14">
        <v>0.98544232922732367</v>
      </c>
      <c r="T76">
        <v>26</v>
      </c>
      <c r="V76">
        <v>74</v>
      </c>
      <c r="W76">
        <v>120.685964</v>
      </c>
      <c r="X76" s="14">
        <v>0.98461814144006377</v>
      </c>
      <c r="Y76">
        <v>33.375999999999998</v>
      </c>
      <c r="Z76" s="14">
        <v>0.98518212409233119</v>
      </c>
      <c r="AA76">
        <v>26</v>
      </c>
      <c r="AC76">
        <v>74</v>
      </c>
      <c r="AD76">
        <v>119.708777</v>
      </c>
      <c r="AE76" s="14">
        <v>0.98593750976754002</v>
      </c>
      <c r="AF76">
        <v>33.097999999999999</v>
      </c>
      <c r="AG76" s="14">
        <v>0.98526478730687927</v>
      </c>
      <c r="AH76">
        <v>26</v>
      </c>
      <c r="AJ76">
        <v>74</v>
      </c>
      <c r="AK76">
        <v>120.583163</v>
      </c>
      <c r="AL76" s="14">
        <v>0.97978866339010795</v>
      </c>
      <c r="AM76">
        <v>33.450000000000003</v>
      </c>
      <c r="AN76" s="14">
        <v>0.97847071900778104</v>
      </c>
      <c r="AO76">
        <v>26</v>
      </c>
      <c r="AQ76">
        <v>74</v>
      </c>
      <c r="AR76">
        <v>119.344493</v>
      </c>
      <c r="AS76" s="14">
        <v>0.97951980320124632</v>
      </c>
      <c r="AT76">
        <v>33.161999999999999</v>
      </c>
      <c r="AU76" s="14">
        <v>0.97929893984584948</v>
      </c>
      <c r="AV76">
        <v>26</v>
      </c>
      <c r="AX76">
        <v>74</v>
      </c>
      <c r="AY76">
        <v>121.289512</v>
      </c>
      <c r="AZ76" s="14">
        <v>0.98112748511536096</v>
      </c>
      <c r="BA76">
        <v>33.661000000000001</v>
      </c>
      <c r="BB76" s="14">
        <v>0.98068406945577447</v>
      </c>
      <c r="BC76">
        <v>26</v>
      </c>
    </row>
    <row r="77" spans="3:55" x14ac:dyDescent="0.35">
      <c r="O77">
        <v>75</v>
      </c>
      <c r="P77">
        <v>120.595562</v>
      </c>
      <c r="Q77" s="14">
        <v>0.98301029157541331</v>
      </c>
      <c r="R77">
        <v>33.411000000000001</v>
      </c>
      <c r="S77" s="14">
        <v>0.98458772912123549</v>
      </c>
      <c r="T77">
        <v>26</v>
      </c>
      <c r="V77">
        <v>75</v>
      </c>
      <c r="W77">
        <v>120.68447500000001</v>
      </c>
      <c r="X77" s="14">
        <v>0.9846059934125384</v>
      </c>
      <c r="Y77">
        <v>33.375</v>
      </c>
      <c r="Z77" s="14">
        <v>0.98515260641124036</v>
      </c>
      <c r="AA77">
        <v>26</v>
      </c>
      <c r="AC77">
        <v>75</v>
      </c>
      <c r="AD77">
        <v>119.716266</v>
      </c>
      <c r="AE77" s="14">
        <v>0.98599919017390358</v>
      </c>
      <c r="AF77">
        <v>33.1</v>
      </c>
      <c r="AG77" s="14">
        <v>0.98532432351978083</v>
      </c>
      <c r="AH77">
        <v>26</v>
      </c>
      <c r="AJ77">
        <v>75</v>
      </c>
      <c r="AK77">
        <v>120.54599</v>
      </c>
      <c r="AL77" s="14">
        <v>0.97948661720821939</v>
      </c>
      <c r="AM77">
        <v>33.438000000000002</v>
      </c>
      <c r="AN77" s="14">
        <v>0.97811969812203836</v>
      </c>
      <c r="AO77">
        <v>26</v>
      </c>
      <c r="AQ77">
        <v>75</v>
      </c>
      <c r="AR77">
        <v>119.307648</v>
      </c>
      <c r="AS77" s="14">
        <v>0.97921739790174955</v>
      </c>
      <c r="AT77">
        <v>33.15</v>
      </c>
      <c r="AU77" s="14">
        <v>0.97894457077045738</v>
      </c>
      <c r="AV77">
        <v>26</v>
      </c>
      <c r="AX77">
        <v>75</v>
      </c>
      <c r="AY77">
        <v>121.287023</v>
      </c>
      <c r="AZ77" s="14">
        <v>0.98110735125324722</v>
      </c>
      <c r="BA77">
        <v>33.659999999999997</v>
      </c>
      <c r="BB77" s="14">
        <v>0.98065493532222348</v>
      </c>
      <c r="BC77">
        <v>26</v>
      </c>
    </row>
    <row r="78" spans="3:55" x14ac:dyDescent="0.35">
      <c r="O78">
        <v>76</v>
      </c>
      <c r="P78">
        <v>120.60142500000001</v>
      </c>
      <c r="Q78" s="14">
        <v>0.98305808263209837</v>
      </c>
      <c r="R78">
        <v>33.405999999999999</v>
      </c>
      <c r="S78" s="14">
        <v>0.98444038427535807</v>
      </c>
      <c r="T78">
        <v>54</v>
      </c>
      <c r="V78">
        <v>76</v>
      </c>
      <c r="W78">
        <v>120.569969</v>
      </c>
      <c r="X78" s="14">
        <v>0.98367179459465648</v>
      </c>
      <c r="Y78">
        <v>33.337000000000003</v>
      </c>
      <c r="Z78" s="14">
        <v>0.98403093452978341</v>
      </c>
      <c r="AA78">
        <v>54</v>
      </c>
      <c r="AC78">
        <v>76</v>
      </c>
      <c r="AD78">
        <v>119.615422</v>
      </c>
      <c r="AE78" s="14">
        <v>0.98516862549246009</v>
      </c>
      <c r="AF78">
        <v>33.067</v>
      </c>
      <c r="AG78" s="14">
        <v>0.98434197600690609</v>
      </c>
      <c r="AH78">
        <v>54</v>
      </c>
      <c r="AJ78">
        <v>76</v>
      </c>
      <c r="AK78">
        <v>120.45814300000001</v>
      </c>
      <c r="AL78" s="14">
        <v>0.97877282356927797</v>
      </c>
      <c r="AM78">
        <v>33.405000000000001</v>
      </c>
      <c r="AN78" s="14">
        <v>0.97715439068624588</v>
      </c>
      <c r="AO78">
        <v>54</v>
      </c>
      <c r="AQ78">
        <v>76</v>
      </c>
      <c r="AR78">
        <v>119.22197799999999</v>
      </c>
      <c r="AS78" s="14">
        <v>0.97851426146511267</v>
      </c>
      <c r="AT78">
        <v>33.116999999999997</v>
      </c>
      <c r="AU78" s="14">
        <v>0.97797005581312935</v>
      </c>
      <c r="AV78">
        <v>54</v>
      </c>
      <c r="AX78">
        <v>76</v>
      </c>
      <c r="AY78">
        <v>121.19881599999999</v>
      </c>
      <c r="AZ78" s="14">
        <v>0.98039383274160885</v>
      </c>
      <c r="BA78">
        <v>33.631999999999998</v>
      </c>
      <c r="BB78" s="14">
        <v>0.9798391795827992</v>
      </c>
      <c r="BC78">
        <v>54</v>
      </c>
    </row>
    <row r="79" spans="3:55" x14ac:dyDescent="0.35">
      <c r="O79">
        <v>77</v>
      </c>
      <c r="P79">
        <v>120.563281</v>
      </c>
      <c r="Q79" s="14">
        <v>0.98274715954388503</v>
      </c>
      <c r="R79">
        <v>33.396999999999998</v>
      </c>
      <c r="S79" s="14">
        <v>0.9841751635527789</v>
      </c>
      <c r="T79">
        <v>54</v>
      </c>
      <c r="V79">
        <v>77</v>
      </c>
      <c r="W79">
        <v>120.56638599999999</v>
      </c>
      <c r="X79" s="14">
        <v>0.98364256263856265</v>
      </c>
      <c r="Y79">
        <v>33.335999999999999</v>
      </c>
      <c r="Z79" s="14">
        <v>0.98400141684869236</v>
      </c>
      <c r="AA79">
        <v>54</v>
      </c>
      <c r="AC79">
        <v>77</v>
      </c>
      <c r="AD79">
        <v>119.612115</v>
      </c>
      <c r="AE79" s="14">
        <v>0.9851413885978354</v>
      </c>
      <c r="AF79">
        <v>33.066000000000003</v>
      </c>
      <c r="AG79" s="14">
        <v>0.98431220790045537</v>
      </c>
      <c r="AH79">
        <v>54</v>
      </c>
      <c r="AJ79">
        <v>77</v>
      </c>
      <c r="AK79">
        <v>120.43215600000001</v>
      </c>
      <c r="AL79" s="14">
        <v>0.97856166831872682</v>
      </c>
      <c r="AM79">
        <v>33.398000000000003</v>
      </c>
      <c r="AN79" s="14">
        <v>0.97694962850289602</v>
      </c>
      <c r="AO79">
        <v>54</v>
      </c>
      <c r="AQ79">
        <v>77</v>
      </c>
      <c r="AR79">
        <v>119.189628</v>
      </c>
      <c r="AS79" s="14">
        <v>0.97824874887347968</v>
      </c>
      <c r="AT79">
        <v>33.106999999999999</v>
      </c>
      <c r="AU79" s="14">
        <v>0.97767474825030265</v>
      </c>
      <c r="AV79">
        <v>54</v>
      </c>
      <c r="AX79">
        <v>77</v>
      </c>
      <c r="AY79">
        <v>121.193457</v>
      </c>
      <c r="AZ79" s="14">
        <v>0.9803504830561659</v>
      </c>
      <c r="BA79">
        <v>33.631</v>
      </c>
      <c r="BB79" s="14">
        <v>0.97981004544924843</v>
      </c>
      <c r="BC79">
        <v>54</v>
      </c>
    </row>
    <row r="80" spans="3:55" x14ac:dyDescent="0.35">
      <c r="O80">
        <v>78</v>
      </c>
      <c r="P80">
        <v>120.486949</v>
      </c>
      <c r="Q80" s="14">
        <v>0.98212495471037264</v>
      </c>
      <c r="R80">
        <v>33.375</v>
      </c>
      <c r="S80" s="14">
        <v>0.98352684623091891</v>
      </c>
      <c r="T80">
        <v>54</v>
      </c>
      <c r="V80">
        <v>78</v>
      </c>
      <c r="W80">
        <v>120.543279</v>
      </c>
      <c r="X80" s="14">
        <v>0.98345404385278035</v>
      </c>
      <c r="Y80">
        <v>33.33</v>
      </c>
      <c r="Z80" s="14">
        <v>0.98382431076214649</v>
      </c>
      <c r="AA80">
        <v>54</v>
      </c>
      <c r="AC80">
        <v>78</v>
      </c>
      <c r="AD80">
        <v>119.583307</v>
      </c>
      <c r="AE80" s="14">
        <v>0.98490412205403488</v>
      </c>
      <c r="AF80">
        <v>33.058</v>
      </c>
      <c r="AG80" s="14">
        <v>0.98407406304884937</v>
      </c>
      <c r="AH80">
        <v>54</v>
      </c>
      <c r="AJ80">
        <v>78</v>
      </c>
      <c r="AK80">
        <v>120.40999100000001</v>
      </c>
      <c r="AL80" s="14">
        <v>0.97838156841768142</v>
      </c>
      <c r="AM80">
        <v>33.393000000000001</v>
      </c>
      <c r="AN80" s="14">
        <v>0.9768033698005032</v>
      </c>
      <c r="AO80">
        <v>54</v>
      </c>
      <c r="AQ80">
        <v>78</v>
      </c>
      <c r="AR80">
        <v>119.152644</v>
      </c>
      <c r="AS80" s="14">
        <v>0.97794520273162633</v>
      </c>
      <c r="AT80">
        <v>33.1</v>
      </c>
      <c r="AU80" s="14">
        <v>0.97746803295632412</v>
      </c>
      <c r="AV80">
        <v>54</v>
      </c>
      <c r="AX80">
        <v>78</v>
      </c>
      <c r="AY80">
        <v>121.140991</v>
      </c>
      <c r="AZ80" s="14">
        <v>0.97992607839177859</v>
      </c>
      <c r="BA80">
        <v>33.616999999999997</v>
      </c>
      <c r="BB80" s="14">
        <v>0.97940216757953613</v>
      </c>
      <c r="BC80">
        <v>54</v>
      </c>
    </row>
    <row r="81" spans="15:55" x14ac:dyDescent="0.35">
      <c r="O81">
        <v>79</v>
      </c>
      <c r="P81">
        <v>120.356509</v>
      </c>
      <c r="Q81" s="14">
        <v>0.98106169947687505</v>
      </c>
      <c r="R81">
        <v>33.341000000000001</v>
      </c>
      <c r="S81" s="14">
        <v>0.98252490127895331</v>
      </c>
      <c r="T81">
        <v>54</v>
      </c>
      <c r="V81">
        <v>79</v>
      </c>
      <c r="W81">
        <v>120.514625</v>
      </c>
      <c r="X81" s="14">
        <v>0.98322026978917154</v>
      </c>
      <c r="Y81">
        <v>33.32</v>
      </c>
      <c r="Z81" s="14">
        <v>0.98352913395123676</v>
      </c>
      <c r="AA81">
        <v>54</v>
      </c>
      <c r="AC81">
        <v>79</v>
      </c>
      <c r="AD81">
        <v>119.555212</v>
      </c>
      <c r="AE81" s="14">
        <v>0.98467272787366555</v>
      </c>
      <c r="AF81">
        <v>33.049999999999997</v>
      </c>
      <c r="AG81" s="14">
        <v>0.98383591819724325</v>
      </c>
      <c r="AH81">
        <v>54</v>
      </c>
      <c r="AJ81">
        <v>79</v>
      </c>
      <c r="AK81">
        <v>120.36407199999999</v>
      </c>
      <c r="AL81" s="14">
        <v>0.97800845732559449</v>
      </c>
      <c r="AM81">
        <v>33.380000000000003</v>
      </c>
      <c r="AN81" s="14">
        <v>0.976423097174282</v>
      </c>
      <c r="AO81">
        <v>54</v>
      </c>
      <c r="AQ81">
        <v>79</v>
      </c>
      <c r="AR81">
        <v>119.110973</v>
      </c>
      <c r="AS81" s="14">
        <v>0.97760318804210733</v>
      </c>
      <c r="AT81">
        <v>33.087000000000003</v>
      </c>
      <c r="AU81" s="14">
        <v>0.97708413312464948</v>
      </c>
      <c r="AV81">
        <v>54</v>
      </c>
      <c r="AX81">
        <v>79</v>
      </c>
      <c r="AY81">
        <v>121.090711</v>
      </c>
      <c r="AZ81" s="14">
        <v>0.97951935658097933</v>
      </c>
      <c r="BA81">
        <v>33.603000000000002</v>
      </c>
      <c r="BB81" s="14">
        <v>0.97899428970982416</v>
      </c>
      <c r="BC81">
        <v>54</v>
      </c>
    </row>
    <row r="82" spans="15:55" x14ac:dyDescent="0.35">
      <c r="O82">
        <v>80</v>
      </c>
      <c r="P82">
        <v>120.371</v>
      </c>
      <c r="Q82" s="14">
        <v>0.98117981992756964</v>
      </c>
      <c r="R82">
        <v>33.347999999999999</v>
      </c>
      <c r="S82" s="14">
        <v>0.9827311840631815</v>
      </c>
      <c r="T82">
        <v>54</v>
      </c>
      <c r="V82">
        <v>80</v>
      </c>
      <c r="W82">
        <v>120.420233</v>
      </c>
      <c r="X82" s="14">
        <v>0.98245017132430934</v>
      </c>
      <c r="Y82">
        <v>33.295000000000002</v>
      </c>
      <c r="Z82" s="14">
        <v>0.98279119192396247</v>
      </c>
      <c r="AA82">
        <v>54</v>
      </c>
      <c r="AC82">
        <v>80</v>
      </c>
      <c r="AD82">
        <v>119.437684</v>
      </c>
      <c r="AE82" s="14">
        <v>0.98370475153515569</v>
      </c>
      <c r="AF82">
        <v>33.018999999999998</v>
      </c>
      <c r="AG82" s="14">
        <v>0.98291310689727007</v>
      </c>
      <c r="AH82">
        <v>54</v>
      </c>
      <c r="AJ82">
        <v>80</v>
      </c>
      <c r="AK82">
        <v>120.3068</v>
      </c>
      <c r="AL82" s="14">
        <v>0.97754309835728093</v>
      </c>
      <c r="AM82">
        <v>33.363</v>
      </c>
      <c r="AN82" s="14">
        <v>0.97592581758614638</v>
      </c>
      <c r="AO82">
        <v>54</v>
      </c>
      <c r="AQ82">
        <v>80</v>
      </c>
      <c r="AR82">
        <v>119.057912</v>
      </c>
      <c r="AS82" s="14">
        <v>0.97716768993933634</v>
      </c>
      <c r="AT82">
        <v>33.073</v>
      </c>
      <c r="AU82" s="14">
        <v>0.97667070253669197</v>
      </c>
      <c r="AV82">
        <v>54</v>
      </c>
      <c r="AX82">
        <v>80</v>
      </c>
      <c r="AY82">
        <v>120.952243</v>
      </c>
      <c r="AZ82" s="14">
        <v>0.97839926995214566</v>
      </c>
      <c r="BA82">
        <v>33.567999999999998</v>
      </c>
      <c r="BB82" s="14">
        <v>0.97797459503554363</v>
      </c>
      <c r="BC82">
        <v>54</v>
      </c>
    </row>
    <row r="83" spans="15:55" x14ac:dyDescent="0.35">
      <c r="O83">
        <v>81</v>
      </c>
      <c r="P83">
        <v>120.43759799999999</v>
      </c>
      <c r="Q83" s="14">
        <v>0.98172268003214247</v>
      </c>
      <c r="R83">
        <v>33.360999999999997</v>
      </c>
      <c r="S83" s="14">
        <v>0.98311428066246243</v>
      </c>
      <c r="T83">
        <v>54</v>
      </c>
      <c r="V83">
        <v>81</v>
      </c>
      <c r="W83">
        <v>120.304168</v>
      </c>
      <c r="X83" s="14">
        <v>0.98150325338291367</v>
      </c>
      <c r="Y83">
        <v>33.265000000000001</v>
      </c>
      <c r="Z83" s="14">
        <v>0.98190566149123326</v>
      </c>
      <c r="AA83">
        <v>54</v>
      </c>
      <c r="AC83">
        <v>81</v>
      </c>
      <c r="AD83">
        <v>119.33586099999999</v>
      </c>
      <c r="AE83" s="14">
        <v>0.98286612367867809</v>
      </c>
      <c r="AF83">
        <v>32.991999999999997</v>
      </c>
      <c r="AG83" s="14">
        <v>0.98210936802309989</v>
      </c>
      <c r="AH83">
        <v>54</v>
      </c>
      <c r="AJ83">
        <v>81</v>
      </c>
      <c r="AK83">
        <v>120.226601</v>
      </c>
      <c r="AL83" s="14">
        <v>0.97689144791902516</v>
      </c>
      <c r="AM83">
        <v>33.341000000000001</v>
      </c>
      <c r="AN83" s="14">
        <v>0.97528227929561817</v>
      </c>
      <c r="AO83">
        <v>54</v>
      </c>
      <c r="AQ83">
        <v>81</v>
      </c>
      <c r="AR83">
        <v>118.963105</v>
      </c>
      <c r="AS83" s="14">
        <v>0.97638956158462376</v>
      </c>
      <c r="AT83">
        <v>33.048999999999999</v>
      </c>
      <c r="AU83" s="14">
        <v>0.97596196438590788</v>
      </c>
      <c r="AV83">
        <v>54</v>
      </c>
      <c r="AX83">
        <v>81</v>
      </c>
      <c r="AY83">
        <v>120.86926</v>
      </c>
      <c r="AZ83" s="14">
        <v>0.97772800909244895</v>
      </c>
      <c r="BA83">
        <v>33.542999999999999</v>
      </c>
      <c r="BB83" s="14">
        <v>0.97724624169677199</v>
      </c>
      <c r="BC83">
        <v>54</v>
      </c>
    </row>
    <row r="84" spans="15:55" x14ac:dyDescent="0.35">
      <c r="O84">
        <v>82</v>
      </c>
      <c r="P84">
        <v>120.37657299999999</v>
      </c>
      <c r="Q84" s="14">
        <v>0.98122524710800729</v>
      </c>
      <c r="R84">
        <v>33.344000000000001</v>
      </c>
      <c r="S84" s="14">
        <v>0.98261330818647974</v>
      </c>
      <c r="T84">
        <v>54</v>
      </c>
      <c r="V84">
        <v>82</v>
      </c>
      <c r="W84">
        <v>120.38911</v>
      </c>
      <c r="X84" s="14">
        <v>0.98219625388933707</v>
      </c>
      <c r="Y84">
        <v>33.289000000000001</v>
      </c>
      <c r="Z84" s="14">
        <v>0.98261408583741661</v>
      </c>
      <c r="AA84">
        <v>54</v>
      </c>
      <c r="AC84">
        <v>82</v>
      </c>
      <c r="AD84">
        <v>119.500348</v>
      </c>
      <c r="AE84" s="14">
        <v>0.98422086062640535</v>
      </c>
      <c r="AF84">
        <v>33.036999999999999</v>
      </c>
      <c r="AG84" s="14">
        <v>0.98344893281338364</v>
      </c>
      <c r="AH84">
        <v>54</v>
      </c>
      <c r="AJ84">
        <v>82</v>
      </c>
      <c r="AK84">
        <v>120.121762</v>
      </c>
      <c r="AL84" s="14">
        <v>0.97603958716893724</v>
      </c>
      <c r="AM84">
        <v>33.311999999999998</v>
      </c>
      <c r="AN84" s="14">
        <v>0.97443397882173988</v>
      </c>
      <c r="AO84">
        <v>54</v>
      </c>
      <c r="AQ84">
        <v>82</v>
      </c>
      <c r="AR84">
        <v>118.868593</v>
      </c>
      <c r="AS84" s="14">
        <v>0.97561385444210691</v>
      </c>
      <c r="AT84">
        <v>33.023000000000003</v>
      </c>
      <c r="AU84" s="14">
        <v>0.9751941647225586</v>
      </c>
      <c r="AV84">
        <v>54</v>
      </c>
      <c r="AX84">
        <v>82</v>
      </c>
      <c r="AY84">
        <v>120.96782899999999</v>
      </c>
      <c r="AZ84" s="14">
        <v>0.97852534724218387</v>
      </c>
      <c r="BA84">
        <v>33.572000000000003</v>
      </c>
      <c r="BB84" s="14">
        <v>0.97809113156974725</v>
      </c>
      <c r="BC84">
        <v>54</v>
      </c>
    </row>
    <row r="85" spans="15:55" x14ac:dyDescent="0.35">
      <c r="O85">
        <v>83</v>
      </c>
      <c r="P85">
        <v>120.300623</v>
      </c>
      <c r="Q85" s="14">
        <v>0.98060615607010371</v>
      </c>
      <c r="R85">
        <v>33.323999999999998</v>
      </c>
      <c r="S85" s="14">
        <v>0.98202392880297051</v>
      </c>
      <c r="T85">
        <v>54</v>
      </c>
      <c r="V85">
        <v>83</v>
      </c>
      <c r="W85">
        <v>120.403465</v>
      </c>
      <c r="X85" s="14">
        <v>0.98231336935953684</v>
      </c>
      <c r="Y85">
        <v>33.289000000000001</v>
      </c>
      <c r="Z85" s="14">
        <v>0.98261408583741661</v>
      </c>
      <c r="AA85">
        <v>54</v>
      </c>
      <c r="AC85">
        <v>83</v>
      </c>
      <c r="AD85">
        <v>119.471671</v>
      </c>
      <c r="AE85" s="14">
        <v>0.98398467301613834</v>
      </c>
      <c r="AF85">
        <v>33.026000000000003</v>
      </c>
      <c r="AG85" s="14">
        <v>0.98312148364242546</v>
      </c>
      <c r="AH85">
        <v>54</v>
      </c>
      <c r="AJ85">
        <v>83</v>
      </c>
      <c r="AK85">
        <v>120.263644</v>
      </c>
      <c r="AL85" s="14">
        <v>0.97719243779650877</v>
      </c>
      <c r="AM85">
        <v>33.35</v>
      </c>
      <c r="AN85" s="14">
        <v>0.97554554495992518</v>
      </c>
      <c r="AO85">
        <v>54</v>
      </c>
      <c r="AQ85">
        <v>83</v>
      </c>
      <c r="AR85">
        <v>118.98733799999999</v>
      </c>
      <c r="AS85" s="14">
        <v>0.9765884539071289</v>
      </c>
      <c r="AT85">
        <v>33.055</v>
      </c>
      <c r="AU85" s="14">
        <v>0.97613914892360398</v>
      </c>
      <c r="AV85">
        <v>54</v>
      </c>
      <c r="AX85">
        <v>83</v>
      </c>
      <c r="AY85">
        <v>120.913918</v>
      </c>
      <c r="AZ85" s="14">
        <v>0.97808925377476141</v>
      </c>
      <c r="BA85">
        <v>33.555999999999997</v>
      </c>
      <c r="BB85" s="14">
        <v>0.97762498543293319</v>
      </c>
      <c r="BC85">
        <v>54</v>
      </c>
    </row>
    <row r="86" spans="15:55" x14ac:dyDescent="0.35">
      <c r="O86">
        <v>84</v>
      </c>
      <c r="P86">
        <v>120.210262</v>
      </c>
      <c r="Q86" s="14">
        <v>0.97986959668529772</v>
      </c>
      <c r="R86">
        <v>33.298999999999999</v>
      </c>
      <c r="S86" s="14">
        <v>0.98128720457358409</v>
      </c>
      <c r="T86">
        <v>54</v>
      </c>
      <c r="V86">
        <v>84</v>
      </c>
      <c r="W86">
        <v>120.352476</v>
      </c>
      <c r="X86" s="14">
        <v>0.98189737488304674</v>
      </c>
      <c r="Y86">
        <v>33.276000000000003</v>
      </c>
      <c r="Z86" s="14">
        <v>0.98223035598323405</v>
      </c>
      <c r="AA86">
        <v>54</v>
      </c>
      <c r="AC86">
        <v>84</v>
      </c>
      <c r="AD86">
        <v>119.410809</v>
      </c>
      <c r="AE86" s="14">
        <v>0.98348340543807711</v>
      </c>
      <c r="AF86">
        <v>33.009</v>
      </c>
      <c r="AG86" s="14">
        <v>0.98261542583276273</v>
      </c>
      <c r="AH86">
        <v>54</v>
      </c>
      <c r="AJ86">
        <v>84</v>
      </c>
      <c r="AK86">
        <v>120.200731</v>
      </c>
      <c r="AL86" s="14">
        <v>0.97668124334243844</v>
      </c>
      <c r="AM86">
        <v>33.328000000000003</v>
      </c>
      <c r="AN86" s="14">
        <v>0.97490200666939697</v>
      </c>
      <c r="AO86">
        <v>54</v>
      </c>
      <c r="AQ86">
        <v>84</v>
      </c>
      <c r="AR86">
        <v>118.94314</v>
      </c>
      <c r="AS86" s="14">
        <v>0.97622569886771637</v>
      </c>
      <c r="AT86">
        <v>33.039000000000001</v>
      </c>
      <c r="AU86" s="14">
        <v>0.97566665682308129</v>
      </c>
      <c r="AV86">
        <v>54</v>
      </c>
      <c r="AX86">
        <v>84</v>
      </c>
      <c r="AY86">
        <v>120.83647499999999</v>
      </c>
      <c r="AZ86" s="14">
        <v>0.97746280673431329</v>
      </c>
      <c r="BA86">
        <v>33.536999999999999</v>
      </c>
      <c r="BB86" s="14">
        <v>0.97707143689546672</v>
      </c>
      <c r="BC86">
        <v>54</v>
      </c>
    </row>
    <row r="87" spans="15:55" x14ac:dyDescent="0.35">
      <c r="O87">
        <v>85</v>
      </c>
      <c r="P87">
        <v>120.35508400000001</v>
      </c>
      <c r="Q87" s="14">
        <v>0.98105008387807302</v>
      </c>
      <c r="R87">
        <v>33.338999999999999</v>
      </c>
      <c r="S87" s="14">
        <v>0.98246596334060243</v>
      </c>
      <c r="T87">
        <v>54</v>
      </c>
      <c r="V87">
        <v>85</v>
      </c>
      <c r="W87">
        <v>120.26190800000001</v>
      </c>
      <c r="X87" s="14">
        <v>0.98115847457618144</v>
      </c>
      <c r="Y87">
        <v>33.250999999999998</v>
      </c>
      <c r="Z87" s="14">
        <v>0.98149241395595954</v>
      </c>
      <c r="AA87">
        <v>54</v>
      </c>
      <c r="AC87">
        <v>85</v>
      </c>
      <c r="AD87">
        <v>119.311515</v>
      </c>
      <c r="AE87" s="14">
        <v>0.98266560676409298</v>
      </c>
      <c r="AF87">
        <v>32.984000000000002</v>
      </c>
      <c r="AG87" s="14">
        <v>0.981871223171494</v>
      </c>
      <c r="AH87">
        <v>54</v>
      </c>
      <c r="AJ87">
        <v>85</v>
      </c>
      <c r="AK87">
        <v>120.147161</v>
      </c>
      <c r="AL87" s="14">
        <v>0.97624596467341052</v>
      </c>
      <c r="AM87">
        <v>33.317</v>
      </c>
      <c r="AN87" s="14">
        <v>0.9745802375241327</v>
      </c>
      <c r="AO87">
        <v>54</v>
      </c>
      <c r="AQ87">
        <v>85</v>
      </c>
      <c r="AR87">
        <v>118.88890000000001</v>
      </c>
      <c r="AS87" s="14">
        <v>0.97578052412366156</v>
      </c>
      <c r="AT87">
        <v>33.024999999999999</v>
      </c>
      <c r="AU87" s="14">
        <v>0.97525322623512389</v>
      </c>
      <c r="AV87">
        <v>54</v>
      </c>
      <c r="AX87">
        <v>85</v>
      </c>
      <c r="AY87">
        <v>120.73419199999999</v>
      </c>
      <c r="AZ87" s="14">
        <v>0.97663542552958016</v>
      </c>
      <c r="BA87">
        <v>33.509</v>
      </c>
      <c r="BB87" s="14">
        <v>0.97625568115604244</v>
      </c>
      <c r="BC87">
        <v>54</v>
      </c>
    </row>
    <row r="88" spans="15:55" x14ac:dyDescent="0.35">
      <c r="O88">
        <v>86</v>
      </c>
      <c r="P88">
        <v>120.364087</v>
      </c>
      <c r="Q88" s="14">
        <v>0.98112347000860944</v>
      </c>
      <c r="R88">
        <v>33.335999999999999</v>
      </c>
      <c r="S88" s="14">
        <v>0.982377556433076</v>
      </c>
      <c r="T88">
        <v>54</v>
      </c>
      <c r="V88">
        <v>86</v>
      </c>
      <c r="W88">
        <v>120.177351</v>
      </c>
      <c r="X88" s="14">
        <v>0.98046861509769434</v>
      </c>
      <c r="Y88">
        <v>33.228999999999999</v>
      </c>
      <c r="Z88" s="14">
        <v>0.98084302497195819</v>
      </c>
      <c r="AA88">
        <v>54</v>
      </c>
      <c r="AC88">
        <v>86</v>
      </c>
      <c r="AD88">
        <v>119.226097</v>
      </c>
      <c r="AE88" s="14">
        <v>0.98196209268333912</v>
      </c>
      <c r="AF88">
        <v>32.960999999999999</v>
      </c>
      <c r="AG88" s="14">
        <v>0.98118655672312671</v>
      </c>
      <c r="AH88">
        <v>54</v>
      </c>
      <c r="AJ88">
        <v>86</v>
      </c>
      <c r="AK88">
        <v>120.03263699999999</v>
      </c>
      <c r="AL88" s="14">
        <v>0.97531540924515314</v>
      </c>
      <c r="AM88">
        <v>33.284999999999997</v>
      </c>
      <c r="AN88" s="14">
        <v>0.97364418182881873</v>
      </c>
      <c r="AO88">
        <v>54</v>
      </c>
      <c r="AQ88">
        <v>86</v>
      </c>
      <c r="AR88">
        <v>118.781482</v>
      </c>
      <c r="AS88" s="14">
        <v>0.97489889099945626</v>
      </c>
      <c r="AT88">
        <v>32.994</v>
      </c>
      <c r="AU88" s="14">
        <v>0.97433777279036116</v>
      </c>
      <c r="AV88">
        <v>54</v>
      </c>
      <c r="AX88">
        <v>86</v>
      </c>
      <c r="AY88">
        <v>120.663962</v>
      </c>
      <c r="AZ88" s="14">
        <v>0.97606732543466312</v>
      </c>
      <c r="BA88">
        <v>33.494</v>
      </c>
      <c r="BB88" s="14">
        <v>0.97581866915277948</v>
      </c>
      <c r="BC88">
        <v>54</v>
      </c>
    </row>
    <row r="89" spans="15:55" x14ac:dyDescent="0.35">
      <c r="O89">
        <v>87</v>
      </c>
      <c r="P89">
        <v>120.282331</v>
      </c>
      <c r="Q89" s="14">
        <v>0.98045705253797288</v>
      </c>
      <c r="R89">
        <v>33.314999999999998</v>
      </c>
      <c r="S89" s="14">
        <v>0.98175870808039134</v>
      </c>
      <c r="T89">
        <v>54</v>
      </c>
      <c r="V89">
        <v>87</v>
      </c>
      <c r="W89">
        <v>120.37463700000001</v>
      </c>
      <c r="X89" s="14">
        <v>0.9820781757144712</v>
      </c>
      <c r="Y89">
        <v>33.281999999999996</v>
      </c>
      <c r="Z89" s="14">
        <v>0.98240746206977969</v>
      </c>
      <c r="AA89">
        <v>54</v>
      </c>
      <c r="AC89">
        <v>87</v>
      </c>
      <c r="AD89">
        <v>119.509005</v>
      </c>
      <c r="AE89" s="14">
        <v>0.98429216083709958</v>
      </c>
      <c r="AF89">
        <v>33.033999999999999</v>
      </c>
      <c r="AG89" s="14">
        <v>0.98335962849403136</v>
      </c>
      <c r="AH89">
        <v>54</v>
      </c>
      <c r="AJ89">
        <v>87</v>
      </c>
      <c r="AK89">
        <v>119.94016499999999</v>
      </c>
      <c r="AL89" s="14">
        <v>0.97456403554565074</v>
      </c>
      <c r="AM89">
        <v>33.262</v>
      </c>
      <c r="AN89" s="14">
        <v>0.972971391797812</v>
      </c>
      <c r="AO89">
        <v>54</v>
      </c>
      <c r="AQ89">
        <v>87</v>
      </c>
      <c r="AR89">
        <v>118.677251</v>
      </c>
      <c r="AS89" s="14">
        <v>0.97404341517446391</v>
      </c>
      <c r="AT89">
        <v>32.969000000000001</v>
      </c>
      <c r="AU89" s="14">
        <v>0.97359950388329453</v>
      </c>
      <c r="AV89">
        <v>54</v>
      </c>
      <c r="AX89">
        <v>87</v>
      </c>
      <c r="AY89">
        <v>120.877464</v>
      </c>
      <c r="AZ89" s="14">
        <v>0.97779437237279498</v>
      </c>
      <c r="BA89">
        <v>33.540999999999997</v>
      </c>
      <c r="BB89" s="14">
        <v>0.97718797342967012</v>
      </c>
      <c r="BC89">
        <v>54</v>
      </c>
    </row>
    <row r="90" spans="15:55" x14ac:dyDescent="0.35">
      <c r="O90">
        <v>88</v>
      </c>
      <c r="P90">
        <v>120.250731</v>
      </c>
      <c r="Q90" s="14">
        <v>0.98019947153997744</v>
      </c>
      <c r="R90">
        <v>33.305999999999997</v>
      </c>
      <c r="S90" s="14">
        <v>0.98149348735781217</v>
      </c>
      <c r="T90">
        <v>54</v>
      </c>
      <c r="V90">
        <v>88</v>
      </c>
      <c r="W90">
        <v>120.346548</v>
      </c>
      <c r="X90" s="14">
        <v>0.98184901121134038</v>
      </c>
      <c r="Y90">
        <v>33.270000000000003</v>
      </c>
      <c r="Z90" s="14">
        <v>0.98205324989668819</v>
      </c>
      <c r="AA90">
        <v>54</v>
      </c>
      <c r="AC90">
        <v>88</v>
      </c>
      <c r="AD90">
        <v>119.419118</v>
      </c>
      <c r="AE90" s="14">
        <v>0.98355183947419333</v>
      </c>
      <c r="AF90">
        <v>33.008000000000003</v>
      </c>
      <c r="AG90" s="14">
        <v>0.98258565772631201</v>
      </c>
      <c r="AH90">
        <v>54</v>
      </c>
      <c r="AJ90">
        <v>88</v>
      </c>
      <c r="AK90">
        <v>120.156053</v>
      </c>
      <c r="AL90" s="14">
        <v>0.97631821589470968</v>
      </c>
      <c r="AM90">
        <v>33.314</v>
      </c>
      <c r="AN90" s="14">
        <v>0.97449248230269703</v>
      </c>
      <c r="AO90">
        <v>54</v>
      </c>
      <c r="AQ90">
        <v>88</v>
      </c>
      <c r="AR90">
        <v>118.893737</v>
      </c>
      <c r="AS90" s="14">
        <v>0.97582022379617239</v>
      </c>
      <c r="AT90">
        <v>33.020000000000003</v>
      </c>
      <c r="AU90" s="14">
        <v>0.97510557245371066</v>
      </c>
      <c r="AV90">
        <v>54</v>
      </c>
      <c r="AX90">
        <v>88</v>
      </c>
      <c r="AY90">
        <v>120.789323</v>
      </c>
      <c r="AZ90" s="14">
        <v>0.97708138774420183</v>
      </c>
      <c r="BA90">
        <v>33.521000000000001</v>
      </c>
      <c r="BB90" s="14">
        <v>0.97660529075865288</v>
      </c>
      <c r="BC90">
        <v>54</v>
      </c>
    </row>
    <row r="91" spans="15:55" x14ac:dyDescent="0.35">
      <c r="O91">
        <v>89</v>
      </c>
      <c r="P91">
        <v>120.19925499999999</v>
      </c>
      <c r="Q91" s="14">
        <v>0.97977987535476174</v>
      </c>
      <c r="R91">
        <v>33.292000000000002</v>
      </c>
      <c r="S91" s="14">
        <v>0.98108092178935591</v>
      </c>
      <c r="T91">
        <v>54</v>
      </c>
      <c r="V91">
        <v>89</v>
      </c>
      <c r="W91">
        <v>120.275488</v>
      </c>
      <c r="X91" s="14">
        <v>0.98126926719793772</v>
      </c>
      <c r="Y91">
        <v>33.252000000000002</v>
      </c>
      <c r="Z91" s="14">
        <v>0.9815219316370507</v>
      </c>
      <c r="AA91">
        <v>54</v>
      </c>
      <c r="AC91">
        <v>89</v>
      </c>
      <c r="AD91">
        <v>119.363922</v>
      </c>
      <c r="AE91" s="14">
        <v>0.98309723783049663</v>
      </c>
      <c r="AF91">
        <v>32.994</v>
      </c>
      <c r="AG91" s="14">
        <v>0.98216890423600145</v>
      </c>
      <c r="AH91">
        <v>54</v>
      </c>
      <c r="AJ91">
        <v>89</v>
      </c>
      <c r="AK91">
        <v>120.07738999999999</v>
      </c>
      <c r="AL91" s="14">
        <v>0.97567904609926936</v>
      </c>
      <c r="AM91">
        <v>33.292000000000002</v>
      </c>
      <c r="AN91" s="14">
        <v>0.97384894401216882</v>
      </c>
      <c r="AO91">
        <v>54</v>
      </c>
      <c r="AQ91">
        <v>89</v>
      </c>
      <c r="AR91">
        <v>118.826246</v>
      </c>
      <c r="AS91" s="14">
        <v>0.97526629148328503</v>
      </c>
      <c r="AT91">
        <v>32.999000000000002</v>
      </c>
      <c r="AU91" s="14">
        <v>0.97448542657177462</v>
      </c>
      <c r="AV91">
        <v>54</v>
      </c>
      <c r="AX91">
        <v>89</v>
      </c>
      <c r="AY91">
        <v>120.754761</v>
      </c>
      <c r="AZ91" s="14">
        <v>0.97680181098953112</v>
      </c>
      <c r="BA91">
        <v>33.508000000000003</v>
      </c>
      <c r="BB91" s="14">
        <v>0.97622654702249168</v>
      </c>
      <c r="BC91">
        <v>54</v>
      </c>
    </row>
    <row r="92" spans="15:55" x14ac:dyDescent="0.35">
      <c r="O92">
        <v>90</v>
      </c>
      <c r="P92">
        <v>120.192352</v>
      </c>
      <c r="Q92" s="14">
        <v>0.97972360694877558</v>
      </c>
      <c r="R92">
        <v>33.29</v>
      </c>
      <c r="S92" s="14">
        <v>0.98102198385100492</v>
      </c>
      <c r="T92">
        <v>54</v>
      </c>
      <c r="V92">
        <v>90</v>
      </c>
      <c r="W92">
        <v>120.24511200000001</v>
      </c>
      <c r="X92" s="14">
        <v>0.98102144417301351</v>
      </c>
      <c r="Y92">
        <v>33.244</v>
      </c>
      <c r="Z92" s="14">
        <v>0.98128579018832285</v>
      </c>
      <c r="AA92">
        <v>54</v>
      </c>
      <c r="AC92">
        <v>90</v>
      </c>
      <c r="AD92">
        <v>119.32480099999999</v>
      </c>
      <c r="AE92" s="14">
        <v>0.9827750320383547</v>
      </c>
      <c r="AF92">
        <v>32.982999999999997</v>
      </c>
      <c r="AG92" s="14">
        <v>0.98184145506504317</v>
      </c>
      <c r="AH92">
        <v>54</v>
      </c>
      <c r="AJ92">
        <v>90</v>
      </c>
      <c r="AK92">
        <v>120.03400499999999</v>
      </c>
      <c r="AL92" s="14">
        <v>0.97532652481766069</v>
      </c>
      <c r="AM92">
        <v>33.28</v>
      </c>
      <c r="AN92" s="14">
        <v>0.97349792312642602</v>
      </c>
      <c r="AO92">
        <v>54</v>
      </c>
      <c r="AQ92">
        <v>90</v>
      </c>
      <c r="AR92">
        <v>118.77791499999999</v>
      </c>
      <c r="AS92" s="14">
        <v>0.97486961485063539</v>
      </c>
      <c r="AT92">
        <v>32.985999999999997</v>
      </c>
      <c r="AU92" s="14">
        <v>0.97410152674009975</v>
      </c>
      <c r="AV92">
        <v>54</v>
      </c>
      <c r="AX92">
        <v>90</v>
      </c>
      <c r="AY92">
        <v>120.703751</v>
      </c>
      <c r="AZ92" s="14">
        <v>0.97638918410868647</v>
      </c>
      <c r="BA92">
        <v>33.494</v>
      </c>
      <c r="BB92" s="14">
        <v>0.97581866915277948</v>
      </c>
      <c r="BC92">
        <v>54</v>
      </c>
    </row>
    <row r="93" spans="15:55" x14ac:dyDescent="0.35">
      <c r="O93">
        <v>91</v>
      </c>
      <c r="P93">
        <v>120.19879400000001</v>
      </c>
      <c r="Q93" s="14">
        <v>0.97977611760665817</v>
      </c>
      <c r="R93">
        <v>33.29</v>
      </c>
      <c r="S93" s="14">
        <v>0.98102198385100492</v>
      </c>
      <c r="T93">
        <v>54</v>
      </c>
      <c r="V93">
        <v>91</v>
      </c>
      <c r="W93">
        <v>120.200186</v>
      </c>
      <c r="X93" s="14">
        <v>0.98065491476763589</v>
      </c>
      <c r="Y93">
        <v>33.231999999999999</v>
      </c>
      <c r="Z93" s="14">
        <v>0.98093157801523112</v>
      </c>
      <c r="AA93">
        <v>54</v>
      </c>
      <c r="AC93">
        <v>91</v>
      </c>
      <c r="AD93">
        <v>119.285675</v>
      </c>
      <c r="AE93" s="14">
        <v>0.98245278506554368</v>
      </c>
      <c r="AF93">
        <v>32.972000000000001</v>
      </c>
      <c r="AG93" s="14">
        <v>0.981514005894085</v>
      </c>
      <c r="AH93">
        <v>54</v>
      </c>
      <c r="AJ93">
        <v>91</v>
      </c>
      <c r="AK93">
        <v>119.981447</v>
      </c>
      <c r="AL93" s="14">
        <v>0.97489946907215463</v>
      </c>
      <c r="AM93">
        <v>33.264000000000003</v>
      </c>
      <c r="AN93" s="14">
        <v>0.97302989527876915</v>
      </c>
      <c r="AO93">
        <v>54</v>
      </c>
      <c r="AQ93">
        <v>91</v>
      </c>
      <c r="AR93">
        <v>118.736446</v>
      </c>
      <c r="AS93" s="14">
        <v>0.97452925807590807</v>
      </c>
      <c r="AT93">
        <v>32.973999999999997</v>
      </c>
      <c r="AU93" s="14">
        <v>0.97374715766470765</v>
      </c>
      <c r="AV93">
        <v>54</v>
      </c>
      <c r="AX93">
        <v>91</v>
      </c>
      <c r="AY93">
        <v>120.656447</v>
      </c>
      <c r="AZ93" s="14">
        <v>0.97600653556974359</v>
      </c>
      <c r="BA93">
        <v>33.481999999999999</v>
      </c>
      <c r="BB93" s="14">
        <v>0.97546905955016905</v>
      </c>
      <c r="BC93">
        <v>54</v>
      </c>
    </row>
    <row r="94" spans="15:55" x14ac:dyDescent="0.35">
      <c r="O94">
        <v>92</v>
      </c>
      <c r="P94">
        <v>120.198093</v>
      </c>
      <c r="Q94" s="14">
        <v>0.97977040354717726</v>
      </c>
      <c r="R94">
        <v>33.287999999999997</v>
      </c>
      <c r="S94" s="14">
        <v>0.98096304591265393</v>
      </c>
      <c r="T94">
        <v>54</v>
      </c>
      <c r="V94">
        <v>92</v>
      </c>
      <c r="W94">
        <v>120.194643</v>
      </c>
      <c r="X94" s="14">
        <v>0.98060969212386595</v>
      </c>
      <c r="Y94">
        <v>33.229999999999997</v>
      </c>
      <c r="Z94" s="14">
        <v>0.98087254265304913</v>
      </c>
      <c r="AA94">
        <v>54</v>
      </c>
      <c r="AC94">
        <v>92</v>
      </c>
      <c r="AD94">
        <v>119.291785</v>
      </c>
      <c r="AE94" s="14">
        <v>0.98250310784333539</v>
      </c>
      <c r="AF94">
        <v>32.973999999999997</v>
      </c>
      <c r="AG94" s="14">
        <v>0.98157354210698633</v>
      </c>
      <c r="AH94">
        <v>54</v>
      </c>
      <c r="AJ94">
        <v>92</v>
      </c>
      <c r="AK94">
        <v>119.935023</v>
      </c>
      <c r="AL94" s="14">
        <v>0.97452225464372544</v>
      </c>
      <c r="AM94">
        <v>33.252000000000002</v>
      </c>
      <c r="AN94" s="14">
        <v>0.97267887439302647</v>
      </c>
      <c r="AO94">
        <v>54</v>
      </c>
      <c r="AQ94">
        <v>92</v>
      </c>
      <c r="AR94">
        <v>118.681004</v>
      </c>
      <c r="AS94" s="14">
        <v>0.97407421791809301</v>
      </c>
      <c r="AT94">
        <v>32.960999999999999</v>
      </c>
      <c r="AU94" s="14">
        <v>0.97336325783303312</v>
      </c>
      <c r="AV94">
        <v>54</v>
      </c>
      <c r="AX94">
        <v>92</v>
      </c>
      <c r="AY94">
        <v>120.645217</v>
      </c>
      <c r="AZ94" s="14">
        <v>0.97591569456068872</v>
      </c>
      <c r="BA94">
        <v>33.479999999999997</v>
      </c>
      <c r="BB94" s="14">
        <v>0.97541079128306718</v>
      </c>
      <c r="BC94">
        <v>54</v>
      </c>
    </row>
    <row r="95" spans="15:55" x14ac:dyDescent="0.35">
      <c r="O95">
        <v>93</v>
      </c>
      <c r="P95">
        <v>120.166543</v>
      </c>
      <c r="Q95" s="14">
        <v>0.97951323011405211</v>
      </c>
      <c r="R95">
        <v>33.279000000000003</v>
      </c>
      <c r="S95" s="14">
        <v>0.98069782519007498</v>
      </c>
      <c r="T95">
        <v>54</v>
      </c>
      <c r="V95">
        <v>93</v>
      </c>
      <c r="W95">
        <v>120.198381</v>
      </c>
      <c r="X95" s="14">
        <v>0.98064018864964841</v>
      </c>
      <c r="Y95">
        <v>33.229999999999997</v>
      </c>
      <c r="Z95" s="14">
        <v>0.98087254265304913</v>
      </c>
      <c r="AA95">
        <v>54</v>
      </c>
      <c r="AC95">
        <v>93</v>
      </c>
      <c r="AD95">
        <v>119.29901599999999</v>
      </c>
      <c r="AE95" s="14">
        <v>0.98256266332716691</v>
      </c>
      <c r="AF95">
        <v>32.975000000000001</v>
      </c>
      <c r="AG95" s="14">
        <v>0.98160331021343727</v>
      </c>
      <c r="AH95">
        <v>54</v>
      </c>
      <c r="AJ95">
        <v>93</v>
      </c>
      <c r="AK95">
        <v>119.924938</v>
      </c>
      <c r="AL95" s="14">
        <v>0.97444030979815621</v>
      </c>
      <c r="AM95">
        <v>33.249000000000002</v>
      </c>
      <c r="AN95" s="14">
        <v>0.9725911191715908</v>
      </c>
      <c r="AO95">
        <v>54</v>
      </c>
      <c r="AQ95">
        <v>93</v>
      </c>
      <c r="AR95">
        <v>118.66531999999999</v>
      </c>
      <c r="AS95" s="14">
        <v>0.97394549150427001</v>
      </c>
      <c r="AT95">
        <v>32.956000000000003</v>
      </c>
      <c r="AU95" s="14">
        <v>0.97321560405161989</v>
      </c>
      <c r="AV95">
        <v>54</v>
      </c>
      <c r="AX95">
        <v>93</v>
      </c>
      <c r="AY95">
        <v>120.65644</v>
      </c>
      <c r="AZ95" s="14">
        <v>0.97600647894578418</v>
      </c>
      <c r="BA95">
        <v>33.479999999999997</v>
      </c>
      <c r="BB95" s="14">
        <v>0.97541079128306718</v>
      </c>
      <c r="BC95">
        <v>54</v>
      </c>
    </row>
    <row r="96" spans="15:55" x14ac:dyDescent="0.35">
      <c r="O96">
        <v>94</v>
      </c>
      <c r="P96">
        <v>120.107345</v>
      </c>
      <c r="Q96" s="14">
        <v>0.97903068961027562</v>
      </c>
      <c r="R96">
        <v>33.262999999999998</v>
      </c>
      <c r="S96" s="14">
        <v>0.98022632168326751</v>
      </c>
      <c r="T96">
        <v>54</v>
      </c>
      <c r="V96">
        <v>94</v>
      </c>
      <c r="W96">
        <v>120.204565</v>
      </c>
      <c r="X96" s="14">
        <v>0.98069064090096958</v>
      </c>
      <c r="Y96">
        <v>33.231000000000002</v>
      </c>
      <c r="Z96" s="14">
        <v>0.98090206033414018</v>
      </c>
      <c r="AA96">
        <v>54</v>
      </c>
      <c r="AC96">
        <v>94</v>
      </c>
      <c r="AD96">
        <v>119.293556</v>
      </c>
      <c r="AE96" s="14">
        <v>0.98251769403637446</v>
      </c>
      <c r="AF96">
        <v>32.972999999999999</v>
      </c>
      <c r="AG96" s="14">
        <v>0.98154377400053572</v>
      </c>
      <c r="AH96">
        <v>54</v>
      </c>
      <c r="AJ96">
        <v>94</v>
      </c>
      <c r="AK96">
        <v>119.92870000000001</v>
      </c>
      <c r="AL96" s="14">
        <v>0.97447087762255202</v>
      </c>
      <c r="AM96">
        <v>33.247</v>
      </c>
      <c r="AN96" s="14">
        <v>0.97253261569063354</v>
      </c>
      <c r="AO96">
        <v>54</v>
      </c>
      <c r="AQ96">
        <v>94</v>
      </c>
      <c r="AR96">
        <v>118.67498000000001</v>
      </c>
      <c r="AS96" s="14">
        <v>0.97402477594430636</v>
      </c>
      <c r="AT96">
        <v>32.957000000000001</v>
      </c>
      <c r="AU96" s="14">
        <v>0.97324513480790242</v>
      </c>
      <c r="AV96">
        <v>54</v>
      </c>
      <c r="AX96">
        <v>94</v>
      </c>
      <c r="AY96">
        <v>120.62967500000001</v>
      </c>
      <c r="AZ96" s="14">
        <v>0.97578997319268079</v>
      </c>
      <c r="BA96">
        <v>33.473999999999997</v>
      </c>
      <c r="BB96" s="14">
        <v>0.97523598648176202</v>
      </c>
      <c r="BC96">
        <v>54</v>
      </c>
    </row>
    <row r="97" spans="15:55" x14ac:dyDescent="0.35">
      <c r="O97">
        <v>95</v>
      </c>
      <c r="P97">
        <v>120.10344600000001</v>
      </c>
      <c r="Q97" s="14">
        <v>0.97899890770169395</v>
      </c>
      <c r="R97">
        <v>33.262</v>
      </c>
      <c r="S97" s="14">
        <v>0.98019685271409218</v>
      </c>
      <c r="T97">
        <v>54</v>
      </c>
      <c r="V97">
        <v>95</v>
      </c>
      <c r="W97">
        <v>120.17057800000001</v>
      </c>
      <c r="X97" s="14">
        <v>0.98041335748155622</v>
      </c>
      <c r="Y97">
        <v>33.22</v>
      </c>
      <c r="Z97" s="14">
        <v>0.98057736584213939</v>
      </c>
      <c r="AA97">
        <v>54</v>
      </c>
      <c r="AC97">
        <v>95</v>
      </c>
      <c r="AD97">
        <v>119.25138099999999</v>
      </c>
      <c r="AE97" s="14">
        <v>0.98217033509147056</v>
      </c>
      <c r="AF97">
        <v>32.959000000000003</v>
      </c>
      <c r="AG97" s="14">
        <v>0.98112702051022538</v>
      </c>
      <c r="AH97">
        <v>54</v>
      </c>
      <c r="AJ97">
        <v>95</v>
      </c>
      <c r="AK97">
        <v>119.910286</v>
      </c>
      <c r="AL97" s="14">
        <v>0.97432125616629883</v>
      </c>
      <c r="AM97">
        <v>33.241</v>
      </c>
      <c r="AN97" s="14">
        <v>0.9723571052477622</v>
      </c>
      <c r="AO97">
        <v>54</v>
      </c>
      <c r="AQ97">
        <v>95</v>
      </c>
      <c r="AR97">
        <v>118.638746</v>
      </c>
      <c r="AS97" s="14">
        <v>0.97372738542667936</v>
      </c>
      <c r="AT97">
        <v>32.945</v>
      </c>
      <c r="AU97" s="14">
        <v>0.97289076573251043</v>
      </c>
      <c r="AV97">
        <v>54</v>
      </c>
      <c r="AX97">
        <v>95</v>
      </c>
      <c r="AY97">
        <v>120.575261</v>
      </c>
      <c r="AZ97" s="14">
        <v>0.97534981088932293</v>
      </c>
      <c r="BA97">
        <v>33.459000000000003</v>
      </c>
      <c r="BB97" s="14">
        <v>0.97479897447849917</v>
      </c>
      <c r="BC97">
        <v>54</v>
      </c>
    </row>
    <row r="98" spans="15:55" x14ac:dyDescent="0.35">
      <c r="O98">
        <v>96</v>
      </c>
      <c r="P98">
        <v>120.09698</v>
      </c>
      <c r="Q98" s="14">
        <v>0.97894620141267363</v>
      </c>
      <c r="R98">
        <v>33.26</v>
      </c>
      <c r="S98" s="14">
        <v>0.98013791477574119</v>
      </c>
      <c r="T98">
        <v>54</v>
      </c>
      <c r="V98">
        <v>96</v>
      </c>
      <c r="W98">
        <v>120.107876</v>
      </c>
      <c r="X98" s="14">
        <v>0.97990180232917268</v>
      </c>
      <c r="Y98">
        <v>33.204000000000001</v>
      </c>
      <c r="Z98" s="14">
        <v>0.9801050829446839</v>
      </c>
      <c r="AA98">
        <v>54</v>
      </c>
      <c r="AC98">
        <v>96</v>
      </c>
      <c r="AD98">
        <v>119.19762</v>
      </c>
      <c r="AE98" s="14">
        <v>0.9817275522998411</v>
      </c>
      <c r="AF98">
        <v>32.945999999999998</v>
      </c>
      <c r="AG98" s="14">
        <v>0.98074003512636543</v>
      </c>
      <c r="AH98">
        <v>54</v>
      </c>
      <c r="AJ98">
        <v>96</v>
      </c>
      <c r="AK98">
        <v>119.859842</v>
      </c>
      <c r="AL98" s="14">
        <v>0.97391137755550106</v>
      </c>
      <c r="AM98">
        <v>33.226999999999997</v>
      </c>
      <c r="AN98" s="14">
        <v>0.97194758088106237</v>
      </c>
      <c r="AO98">
        <v>54</v>
      </c>
      <c r="AQ98">
        <v>96</v>
      </c>
      <c r="AR98">
        <v>118.590614</v>
      </c>
      <c r="AS98" s="14">
        <v>0.97333234208632458</v>
      </c>
      <c r="AT98">
        <v>32.93</v>
      </c>
      <c r="AU98" s="14">
        <v>0.97244780438827039</v>
      </c>
      <c r="AV98">
        <v>54</v>
      </c>
      <c r="AX98">
        <v>96</v>
      </c>
      <c r="AY98">
        <v>120.525802</v>
      </c>
      <c r="AZ98" s="14">
        <v>0.9749497302600405</v>
      </c>
      <c r="BA98">
        <v>33.444000000000003</v>
      </c>
      <c r="BB98" s="14">
        <v>0.9743619624752361</v>
      </c>
      <c r="BC98">
        <v>54</v>
      </c>
    </row>
    <row r="99" spans="15:55" x14ac:dyDescent="0.35">
      <c r="O99">
        <v>97</v>
      </c>
      <c r="P99">
        <v>120.10524599999999</v>
      </c>
      <c r="Q99" s="14">
        <v>0.97901358003702266</v>
      </c>
      <c r="R99">
        <v>33.26</v>
      </c>
      <c r="S99" s="14">
        <v>0.98013791477574119</v>
      </c>
      <c r="T99">
        <v>54</v>
      </c>
      <c r="V99">
        <v>97</v>
      </c>
      <c r="W99">
        <v>120.104797</v>
      </c>
      <c r="X99" s="14">
        <v>0.97987668226419566</v>
      </c>
      <c r="Y99">
        <v>33.203000000000003</v>
      </c>
      <c r="Z99" s="14">
        <v>0.98007556526359296</v>
      </c>
      <c r="AA99">
        <v>54</v>
      </c>
      <c r="AC99">
        <v>97</v>
      </c>
      <c r="AD99">
        <v>119.20411199999999</v>
      </c>
      <c r="AE99" s="14">
        <v>0.9817810212807615</v>
      </c>
      <c r="AF99">
        <v>32.948</v>
      </c>
      <c r="AG99" s="14">
        <v>0.98079957133926698</v>
      </c>
      <c r="AH99">
        <v>54</v>
      </c>
      <c r="AJ99">
        <v>97</v>
      </c>
      <c r="AK99">
        <v>119.782545</v>
      </c>
      <c r="AL99" s="14">
        <v>0.97328330708173127</v>
      </c>
      <c r="AM99">
        <v>33.207999999999998</v>
      </c>
      <c r="AN99" s="14">
        <v>0.97139179781196971</v>
      </c>
      <c r="AO99">
        <v>54</v>
      </c>
      <c r="AQ99">
        <v>97</v>
      </c>
      <c r="AR99">
        <v>118.515173</v>
      </c>
      <c r="AS99" s="14">
        <v>0.97271316015663711</v>
      </c>
      <c r="AT99">
        <v>32.911000000000001</v>
      </c>
      <c r="AU99" s="14">
        <v>0.97188672001889975</v>
      </c>
      <c r="AV99">
        <v>54</v>
      </c>
      <c r="AX99">
        <v>97</v>
      </c>
      <c r="AY99">
        <v>120.54049000000001</v>
      </c>
      <c r="AZ99" s="14">
        <v>0.97506854350500904</v>
      </c>
      <c r="BA99">
        <v>33.445</v>
      </c>
      <c r="BB99" s="14">
        <v>0.97439109660878687</v>
      </c>
      <c r="BC99">
        <v>54</v>
      </c>
    </row>
    <row r="100" spans="15:55" x14ac:dyDescent="0.35">
      <c r="O100">
        <v>98</v>
      </c>
      <c r="P100">
        <v>120.052818</v>
      </c>
      <c r="Q100" s="14">
        <v>0.97858622381667759</v>
      </c>
      <c r="R100">
        <v>33.244</v>
      </c>
      <c r="S100" s="14">
        <v>0.97966641126893383</v>
      </c>
      <c r="T100">
        <v>54</v>
      </c>
      <c r="V100">
        <v>98</v>
      </c>
      <c r="W100">
        <v>120.102406</v>
      </c>
      <c r="X100" s="14">
        <v>0.9798571752569335</v>
      </c>
      <c r="Y100">
        <v>33.200000000000003</v>
      </c>
      <c r="Z100" s="14">
        <v>0.97998701222032003</v>
      </c>
      <c r="AA100">
        <v>54</v>
      </c>
      <c r="AC100">
        <v>98</v>
      </c>
      <c r="AD100">
        <v>119.205528</v>
      </c>
      <c r="AE100" s="14">
        <v>0.98179268364628569</v>
      </c>
      <c r="AF100">
        <v>32.945999999999998</v>
      </c>
      <c r="AG100" s="14">
        <v>0.98074003512636543</v>
      </c>
      <c r="AH100">
        <v>54</v>
      </c>
      <c r="AJ100">
        <v>98</v>
      </c>
      <c r="AK100">
        <v>119.799252</v>
      </c>
      <c r="AL100" s="14">
        <v>0.97341905844860543</v>
      </c>
      <c r="AM100">
        <v>33.212000000000003</v>
      </c>
      <c r="AN100" s="14">
        <v>0.97150880477388413</v>
      </c>
      <c r="AO100">
        <v>54</v>
      </c>
      <c r="AQ100">
        <v>98</v>
      </c>
      <c r="AR100">
        <v>118.524697</v>
      </c>
      <c r="AS100" s="14">
        <v>0.9727913283768137</v>
      </c>
      <c r="AT100">
        <v>32.914999999999999</v>
      </c>
      <c r="AU100" s="14">
        <v>0.97200484304403034</v>
      </c>
      <c r="AV100">
        <v>54</v>
      </c>
      <c r="AX100">
        <v>98</v>
      </c>
      <c r="AY100">
        <v>120.515511</v>
      </c>
      <c r="AZ100" s="14">
        <v>0.97486648495067418</v>
      </c>
      <c r="BA100">
        <v>33.441000000000003</v>
      </c>
      <c r="BB100" s="14">
        <v>0.97427456007458346</v>
      </c>
      <c r="BC100">
        <v>54</v>
      </c>
    </row>
    <row r="101" spans="15:55" x14ac:dyDescent="0.35">
      <c r="O101">
        <v>99</v>
      </c>
      <c r="P101">
        <v>120.005319</v>
      </c>
      <c r="Q101" s="14">
        <v>0.97819904534124136</v>
      </c>
      <c r="R101">
        <v>33.231999999999999</v>
      </c>
      <c r="S101" s="14">
        <v>0.97931278363882834</v>
      </c>
      <c r="T101">
        <v>54</v>
      </c>
      <c r="V101">
        <v>99</v>
      </c>
      <c r="W101">
        <v>120.10968200000001</v>
      </c>
      <c r="X101" s="14">
        <v>0.97991653660567424</v>
      </c>
      <c r="Y101">
        <v>33.201999999999998</v>
      </c>
      <c r="Z101" s="14">
        <v>0.98004604758250191</v>
      </c>
      <c r="AA101">
        <v>54</v>
      </c>
      <c r="AC101">
        <v>99</v>
      </c>
      <c r="AD101">
        <v>119.210767</v>
      </c>
      <c r="AE101" s="14">
        <v>0.98183583275149855</v>
      </c>
      <c r="AF101">
        <v>32.945999999999998</v>
      </c>
      <c r="AG101" s="14">
        <v>0.98074003512636543</v>
      </c>
      <c r="AH101">
        <v>54</v>
      </c>
      <c r="AJ101">
        <v>99</v>
      </c>
      <c r="AK101">
        <v>119.781898</v>
      </c>
      <c r="AL101" s="14">
        <v>0.97327804993596201</v>
      </c>
      <c r="AM101">
        <v>33.203000000000003</v>
      </c>
      <c r="AN101" s="14">
        <v>0.97124553910957712</v>
      </c>
      <c r="AO101">
        <v>54</v>
      </c>
      <c r="AQ101">
        <v>99</v>
      </c>
      <c r="AR101">
        <v>118.517786</v>
      </c>
      <c r="AS101" s="14">
        <v>0.97273460635144193</v>
      </c>
      <c r="AT101">
        <v>32.906999999999996</v>
      </c>
      <c r="AU101" s="14">
        <v>0.97176859699376894</v>
      </c>
      <c r="AV101">
        <v>54</v>
      </c>
      <c r="AX101">
        <v>99</v>
      </c>
      <c r="AY101">
        <v>120.513887</v>
      </c>
      <c r="AZ101" s="14">
        <v>0.97485334819210745</v>
      </c>
      <c r="BA101">
        <v>33.438000000000002</v>
      </c>
      <c r="BB101" s="14">
        <v>0.97418715767393094</v>
      </c>
      <c r="BC101">
        <v>54</v>
      </c>
    </row>
    <row r="102" spans="15:55" x14ac:dyDescent="0.35">
      <c r="O102">
        <v>100</v>
      </c>
      <c r="P102">
        <v>119.98073599999999</v>
      </c>
      <c r="Q102" s="14">
        <v>0.97799866199713614</v>
      </c>
      <c r="R102">
        <v>33.225000000000001</v>
      </c>
      <c r="S102" s="14">
        <v>0.97910650085460027</v>
      </c>
      <c r="T102">
        <v>54</v>
      </c>
      <c r="V102">
        <v>100</v>
      </c>
      <c r="W102">
        <v>120.071427</v>
      </c>
      <c r="X102" s="14">
        <v>0.97960443264799457</v>
      </c>
      <c r="Y102">
        <v>33.191000000000003</v>
      </c>
      <c r="Z102" s="14">
        <v>0.97972135309050123</v>
      </c>
      <c r="AA102">
        <v>54</v>
      </c>
      <c r="AC102">
        <v>100</v>
      </c>
      <c r="AD102">
        <v>119.16547</v>
      </c>
      <c r="AE102" s="14">
        <v>0.98146276059673132</v>
      </c>
      <c r="AF102">
        <v>32.933</v>
      </c>
      <c r="AG102" s="14">
        <v>0.98035304974250581</v>
      </c>
      <c r="AH102">
        <v>54</v>
      </c>
      <c r="AJ102">
        <v>100</v>
      </c>
      <c r="AK102">
        <v>119.79176099999999</v>
      </c>
      <c r="AL102" s="14">
        <v>0.9733581909386243</v>
      </c>
      <c r="AM102">
        <v>33.204999999999998</v>
      </c>
      <c r="AN102" s="14">
        <v>0.97130404259053404</v>
      </c>
      <c r="AO102">
        <v>54</v>
      </c>
      <c r="AQ102">
        <v>100</v>
      </c>
      <c r="AR102">
        <v>118.515321</v>
      </c>
      <c r="AS102" s="14">
        <v>0.97271437486648449</v>
      </c>
      <c r="AT102">
        <v>32.905000000000001</v>
      </c>
      <c r="AU102" s="14">
        <v>0.97170953548120376</v>
      </c>
      <c r="AV102">
        <v>54</v>
      </c>
      <c r="AX102">
        <v>100</v>
      </c>
      <c r="AY102">
        <v>120.454527</v>
      </c>
      <c r="AZ102" s="14">
        <v>0.97437317701690762</v>
      </c>
      <c r="BA102">
        <v>33.421999999999997</v>
      </c>
      <c r="BB102" s="14">
        <v>0.97372101153711688</v>
      </c>
      <c r="BC102">
        <v>54</v>
      </c>
    </row>
    <row r="103" spans="15:55" x14ac:dyDescent="0.35">
      <c r="O103">
        <v>101</v>
      </c>
      <c r="P103">
        <v>120.007526</v>
      </c>
      <c r="Q103" s="14">
        <v>0.97821703525461401</v>
      </c>
      <c r="R103">
        <v>33.231000000000002</v>
      </c>
      <c r="S103" s="14">
        <v>0.97928331466965302</v>
      </c>
      <c r="T103">
        <v>54</v>
      </c>
      <c r="V103">
        <v>101</v>
      </c>
      <c r="W103">
        <v>120.016502</v>
      </c>
      <c r="X103" s="14">
        <v>0.9791563262599261</v>
      </c>
      <c r="Y103">
        <v>33.177</v>
      </c>
      <c r="Z103" s="14">
        <v>0.97930810555522751</v>
      </c>
      <c r="AA103">
        <v>54</v>
      </c>
      <c r="AC103">
        <v>101</v>
      </c>
      <c r="AD103">
        <v>119.110176</v>
      </c>
      <c r="AE103" s="14">
        <v>0.98100735181191767</v>
      </c>
      <c r="AF103">
        <v>32.918999999999997</v>
      </c>
      <c r="AG103" s="14">
        <v>0.97993629625219525</v>
      </c>
      <c r="AH103">
        <v>54</v>
      </c>
      <c r="AJ103">
        <v>101</v>
      </c>
      <c r="AK103">
        <v>119.733276</v>
      </c>
      <c r="AL103" s="14">
        <v>0.97288297583767058</v>
      </c>
      <c r="AM103">
        <v>33.188000000000002</v>
      </c>
      <c r="AN103" s="14">
        <v>0.97080676300239876</v>
      </c>
      <c r="AO103">
        <v>54</v>
      </c>
      <c r="AQ103">
        <v>101</v>
      </c>
      <c r="AR103">
        <v>118.457283</v>
      </c>
      <c r="AS103" s="14">
        <v>0.97223802804134696</v>
      </c>
      <c r="AT103">
        <v>32.89</v>
      </c>
      <c r="AU103" s="14">
        <v>0.97126657413696371</v>
      </c>
      <c r="AV103">
        <v>54</v>
      </c>
      <c r="AX103">
        <v>101</v>
      </c>
      <c r="AY103">
        <v>120.39179900000001</v>
      </c>
      <c r="AZ103" s="14">
        <v>0.97386576162812855</v>
      </c>
      <c r="BA103">
        <v>33.405000000000001</v>
      </c>
      <c r="BB103" s="14">
        <v>0.97322573126675227</v>
      </c>
      <c r="BC103">
        <v>54</v>
      </c>
    </row>
    <row r="104" spans="15:55" x14ac:dyDescent="0.35">
      <c r="O104">
        <v>102</v>
      </c>
      <c r="P104">
        <v>119.975532</v>
      </c>
      <c r="Q104" s="14">
        <v>0.97795624264544101</v>
      </c>
      <c r="R104">
        <v>33.220999999999997</v>
      </c>
      <c r="S104" s="14">
        <v>0.97898862497789829</v>
      </c>
      <c r="T104">
        <v>54</v>
      </c>
      <c r="V104">
        <v>102</v>
      </c>
      <c r="W104">
        <v>119.99568600000001</v>
      </c>
      <c r="X104" s="14">
        <v>0.97898649862999387</v>
      </c>
      <c r="Y104">
        <v>33.17</v>
      </c>
      <c r="Z104" s="14">
        <v>0.97910148178759082</v>
      </c>
      <c r="AA104">
        <v>54</v>
      </c>
      <c r="AC104">
        <v>102</v>
      </c>
      <c r="AD104">
        <v>119.09887000000001</v>
      </c>
      <c r="AE104" s="14">
        <v>0.98091423408266865</v>
      </c>
      <c r="AF104">
        <v>32.917000000000002</v>
      </c>
      <c r="AG104" s="14">
        <v>0.9798767600392938</v>
      </c>
      <c r="AH104">
        <v>54</v>
      </c>
      <c r="AJ104">
        <v>102</v>
      </c>
      <c r="AK104">
        <v>119.680764</v>
      </c>
      <c r="AL104" s="14">
        <v>0.9724562938614153</v>
      </c>
      <c r="AM104">
        <v>33.174999999999997</v>
      </c>
      <c r="AN104" s="14">
        <v>0.97042649037617734</v>
      </c>
      <c r="AO104">
        <v>54</v>
      </c>
      <c r="AQ104">
        <v>102</v>
      </c>
      <c r="AR104">
        <v>118.405697</v>
      </c>
      <c r="AS104" s="14">
        <v>0.97181463599955464</v>
      </c>
      <c r="AT104">
        <v>32.877000000000002</v>
      </c>
      <c r="AU104" s="14">
        <v>0.97088267430528907</v>
      </c>
      <c r="AV104">
        <v>54</v>
      </c>
      <c r="AX104">
        <v>102</v>
      </c>
      <c r="AY104">
        <v>120.369152</v>
      </c>
      <c r="AZ104" s="14">
        <v>0.97368256694139077</v>
      </c>
      <c r="BA104">
        <v>33.4</v>
      </c>
      <c r="BB104" s="14">
        <v>0.97308006059899776</v>
      </c>
      <c r="BC104">
        <v>54</v>
      </c>
    </row>
    <row r="105" spans="15:55" x14ac:dyDescent="0.35">
      <c r="O105">
        <v>103</v>
      </c>
      <c r="P105">
        <v>119.908119</v>
      </c>
      <c r="Q105" s="14">
        <v>0.97740673923348309</v>
      </c>
      <c r="R105">
        <v>33.201999999999998</v>
      </c>
      <c r="S105" s="14">
        <v>0.97842871456356462</v>
      </c>
      <c r="T105">
        <v>54</v>
      </c>
      <c r="V105">
        <v>103</v>
      </c>
      <c r="W105">
        <v>120.01464</v>
      </c>
      <c r="X105" s="14">
        <v>0.9791411351066337</v>
      </c>
      <c r="Y105">
        <v>33.174999999999997</v>
      </c>
      <c r="Z105" s="14">
        <v>0.97924907019304552</v>
      </c>
      <c r="AA105">
        <v>54</v>
      </c>
      <c r="AC105">
        <v>103</v>
      </c>
      <c r="AD105">
        <v>119.112313</v>
      </c>
      <c r="AE105" s="14">
        <v>0.98102495242994403</v>
      </c>
      <c r="AF105">
        <v>32.917999999999999</v>
      </c>
      <c r="AG105" s="14">
        <v>0.97990652814574453</v>
      </c>
      <c r="AH105">
        <v>54</v>
      </c>
      <c r="AJ105">
        <v>103</v>
      </c>
      <c r="AK105">
        <v>119.644148</v>
      </c>
      <c r="AL105" s="14">
        <v>0.97215877353763114</v>
      </c>
      <c r="AM105">
        <v>33.162999999999997</v>
      </c>
      <c r="AN105" s="14">
        <v>0.97007546949043455</v>
      </c>
      <c r="AO105">
        <v>54</v>
      </c>
      <c r="AQ105">
        <v>103</v>
      </c>
      <c r="AR105">
        <v>118.365529</v>
      </c>
      <c r="AS105" s="14">
        <v>0.97148495718098538</v>
      </c>
      <c r="AT105">
        <v>32.865000000000002</v>
      </c>
      <c r="AU105" s="14">
        <v>0.97052830522989697</v>
      </c>
      <c r="AV105">
        <v>54</v>
      </c>
      <c r="AX105">
        <v>103</v>
      </c>
      <c r="AY105">
        <v>120.378511</v>
      </c>
      <c r="AZ105" s="14">
        <v>0.97375827317502783</v>
      </c>
      <c r="BA105">
        <v>33.402000000000001</v>
      </c>
      <c r="BB105" s="14">
        <v>0.97313832886609963</v>
      </c>
      <c r="BC105">
        <v>54</v>
      </c>
    </row>
    <row r="106" spans="15:55" x14ac:dyDescent="0.35">
      <c r="O106">
        <v>104</v>
      </c>
      <c r="P106">
        <v>119.84319600000001</v>
      </c>
      <c r="Q106" s="14">
        <v>0.97687753255206355</v>
      </c>
      <c r="R106">
        <v>33.185000000000002</v>
      </c>
      <c r="S106" s="14">
        <v>0.97792774208758193</v>
      </c>
      <c r="T106">
        <v>54</v>
      </c>
      <c r="V106">
        <v>104</v>
      </c>
      <c r="W106">
        <v>119.99505000000001</v>
      </c>
      <c r="X106" s="14">
        <v>0.97898130981501319</v>
      </c>
      <c r="Y106">
        <v>33.167999999999999</v>
      </c>
      <c r="Z106" s="14">
        <v>0.97904244642540883</v>
      </c>
      <c r="AA106">
        <v>54</v>
      </c>
      <c r="AC106">
        <v>104</v>
      </c>
      <c r="AD106">
        <v>119.103728</v>
      </c>
      <c r="AE106" s="14">
        <v>0.98095424522088659</v>
      </c>
      <c r="AF106">
        <v>32.914999999999999</v>
      </c>
      <c r="AG106" s="14">
        <v>0.97981722382639225</v>
      </c>
      <c r="AH106">
        <v>54</v>
      </c>
      <c r="AJ106">
        <v>104</v>
      </c>
      <c r="AK106">
        <v>119.62073599999999</v>
      </c>
      <c r="AL106" s="14">
        <v>0.97196854123971654</v>
      </c>
      <c r="AM106">
        <v>33.159999999999997</v>
      </c>
      <c r="AN106" s="14">
        <v>0.96998771426899888</v>
      </c>
      <c r="AO106">
        <v>54</v>
      </c>
      <c r="AQ106">
        <v>104</v>
      </c>
      <c r="AR106">
        <v>118.45638</v>
      </c>
      <c r="AS106" s="14">
        <v>0.97223061666977828</v>
      </c>
      <c r="AT106">
        <v>32.871000000000002</v>
      </c>
      <c r="AU106" s="14">
        <v>0.97070548976759308</v>
      </c>
      <c r="AV106">
        <v>54</v>
      </c>
      <c r="AX106">
        <v>104</v>
      </c>
      <c r="AY106">
        <v>120.344662</v>
      </c>
      <c r="AZ106" s="14">
        <v>0.97348446397507271</v>
      </c>
      <c r="BA106">
        <v>33.392000000000003</v>
      </c>
      <c r="BB106" s="14">
        <v>0.97284698753059096</v>
      </c>
      <c r="BC106">
        <v>54</v>
      </c>
    </row>
    <row r="107" spans="15:55" x14ac:dyDescent="0.35">
      <c r="O107">
        <v>105</v>
      </c>
      <c r="P107">
        <v>119.821303</v>
      </c>
      <c r="Q107" s="14">
        <v>0.97669907619797769</v>
      </c>
      <c r="R107">
        <v>33.180999999999997</v>
      </c>
      <c r="S107" s="14">
        <v>0.97780986621087995</v>
      </c>
      <c r="T107">
        <v>54</v>
      </c>
      <c r="V107">
        <v>105</v>
      </c>
      <c r="W107">
        <v>119.94051</v>
      </c>
      <c r="X107" s="14">
        <v>0.97853634445488114</v>
      </c>
      <c r="Y107">
        <v>33.152999999999999</v>
      </c>
      <c r="Z107" s="14">
        <v>0.97859968120904417</v>
      </c>
      <c r="AA107">
        <v>54</v>
      </c>
      <c r="AC107">
        <v>105</v>
      </c>
      <c r="AD107">
        <v>119.03475899999999</v>
      </c>
      <c r="AE107" s="14">
        <v>0.98038620730574555</v>
      </c>
      <c r="AF107">
        <v>32.895000000000003</v>
      </c>
      <c r="AG107" s="14">
        <v>0.97922186169737746</v>
      </c>
      <c r="AH107">
        <v>54</v>
      </c>
      <c r="AJ107">
        <v>105</v>
      </c>
      <c r="AK107">
        <v>119.602728</v>
      </c>
      <c r="AL107" s="14">
        <v>0.97182221870337437</v>
      </c>
      <c r="AM107">
        <v>33.152999999999999</v>
      </c>
      <c r="AN107" s="14">
        <v>0.96978295208564902</v>
      </c>
      <c r="AO107">
        <v>54</v>
      </c>
      <c r="AQ107">
        <v>105</v>
      </c>
      <c r="AR107">
        <v>118.373244</v>
      </c>
      <c r="AS107" s="14">
        <v>0.97154827803552779</v>
      </c>
      <c r="AT107">
        <v>32.857999999999997</v>
      </c>
      <c r="AU107" s="14">
        <v>0.97032158993591822</v>
      </c>
      <c r="AV107">
        <v>54</v>
      </c>
      <c r="AX107">
        <v>105</v>
      </c>
      <c r="AY107">
        <v>120.266688</v>
      </c>
      <c r="AZ107" s="14">
        <v>0.97285372160285188</v>
      </c>
      <c r="BA107">
        <v>33.372</v>
      </c>
      <c r="BB107" s="14">
        <v>0.97226430485957349</v>
      </c>
      <c r="BC107">
        <v>54</v>
      </c>
    </row>
    <row r="108" spans="15:55" x14ac:dyDescent="0.35">
      <c r="O108">
        <v>106</v>
      </c>
      <c r="P108">
        <v>119.802226</v>
      </c>
      <c r="Q108" s="14">
        <v>0.976543573897384</v>
      </c>
      <c r="R108">
        <v>33.173000000000002</v>
      </c>
      <c r="S108" s="14">
        <v>0.97757411445747644</v>
      </c>
      <c r="T108">
        <v>54</v>
      </c>
      <c r="V108">
        <v>106</v>
      </c>
      <c r="W108">
        <v>119.86926</v>
      </c>
      <c r="X108" s="14">
        <v>0.97795505032379548</v>
      </c>
      <c r="Y108">
        <v>33.134999999999998</v>
      </c>
      <c r="Z108" s="14">
        <v>0.97806836294940658</v>
      </c>
      <c r="AA108">
        <v>54</v>
      </c>
      <c r="AC108">
        <v>106</v>
      </c>
      <c r="AD108">
        <v>118.964574</v>
      </c>
      <c r="AE108" s="14">
        <v>0.97980815425184931</v>
      </c>
      <c r="AF108">
        <v>32.877000000000002</v>
      </c>
      <c r="AG108" s="14">
        <v>0.9786860357812639</v>
      </c>
      <c r="AH108">
        <v>54</v>
      </c>
      <c r="AJ108">
        <v>106</v>
      </c>
      <c r="AK108">
        <v>119.55896300000001</v>
      </c>
      <c r="AL108" s="14">
        <v>0.97146660976273591</v>
      </c>
      <c r="AM108">
        <v>33.139000000000003</v>
      </c>
      <c r="AN108" s="14">
        <v>0.96937342771894941</v>
      </c>
      <c r="AO108">
        <v>54</v>
      </c>
      <c r="AQ108">
        <v>106</v>
      </c>
      <c r="AR108">
        <v>118.34953400000001</v>
      </c>
      <c r="AS108" s="14">
        <v>0.9713536782349832</v>
      </c>
      <c r="AT108">
        <v>32.847999999999999</v>
      </c>
      <c r="AU108" s="14">
        <v>0.97002628237309152</v>
      </c>
      <c r="AV108">
        <v>54</v>
      </c>
      <c r="AX108">
        <v>106</v>
      </c>
      <c r="AY108">
        <v>120.19886</v>
      </c>
      <c r="AZ108" s="14">
        <v>0.97230505161512526</v>
      </c>
      <c r="BA108">
        <v>33.353000000000002</v>
      </c>
      <c r="BB108" s="14">
        <v>0.97171075632210713</v>
      </c>
      <c r="BC108">
        <v>54</v>
      </c>
    </row>
    <row r="109" spans="15:55" x14ac:dyDescent="0.35">
      <c r="O109">
        <v>107</v>
      </c>
      <c r="P109">
        <v>119.783903</v>
      </c>
      <c r="Q109" s="14">
        <v>0.97639421767503365</v>
      </c>
      <c r="R109">
        <v>33.168999999999997</v>
      </c>
      <c r="S109" s="14">
        <v>0.97745623858077446</v>
      </c>
      <c r="T109">
        <v>54</v>
      </c>
      <c r="V109">
        <v>107</v>
      </c>
      <c r="W109">
        <v>119.82496</v>
      </c>
      <c r="X109" s="14">
        <v>0.97759362814825745</v>
      </c>
      <c r="Y109">
        <v>33.124000000000002</v>
      </c>
      <c r="Z109" s="14">
        <v>0.97774366845740601</v>
      </c>
      <c r="AA109">
        <v>54</v>
      </c>
      <c r="AC109">
        <v>107</v>
      </c>
      <c r="AD109">
        <v>118.933834</v>
      </c>
      <c r="AE109" s="14">
        <v>0.97955497549746073</v>
      </c>
      <c r="AF109">
        <v>32.869999999999997</v>
      </c>
      <c r="AG109" s="14">
        <v>0.9784776590361085</v>
      </c>
      <c r="AH109">
        <v>54</v>
      </c>
      <c r="AJ109">
        <v>107</v>
      </c>
      <c r="AK109">
        <v>119.47965000000001</v>
      </c>
      <c r="AL109" s="14">
        <v>0.97082215844527076</v>
      </c>
      <c r="AM109">
        <v>33.118000000000002</v>
      </c>
      <c r="AN109" s="14">
        <v>0.96875914116889961</v>
      </c>
      <c r="AO109">
        <v>54</v>
      </c>
      <c r="AQ109">
        <v>107</v>
      </c>
      <c r="AR109">
        <v>118.257468</v>
      </c>
      <c r="AS109" s="14">
        <v>0.97059804663494342</v>
      </c>
      <c r="AT109">
        <v>32.825000000000003</v>
      </c>
      <c r="AU109" s="14">
        <v>0.9693470749785903</v>
      </c>
      <c r="AV109">
        <v>54</v>
      </c>
      <c r="AX109">
        <v>107</v>
      </c>
      <c r="AY109">
        <v>120.164231</v>
      </c>
      <c r="AZ109" s="14">
        <v>0.9720249328882723</v>
      </c>
      <c r="BA109">
        <v>33.344000000000001</v>
      </c>
      <c r="BB109" s="14">
        <v>0.97144854912014922</v>
      </c>
      <c r="BC109">
        <v>54</v>
      </c>
    </row>
    <row r="110" spans="15:55" x14ac:dyDescent="0.35">
      <c r="O110">
        <v>108</v>
      </c>
      <c r="P110">
        <v>119.710382</v>
      </c>
      <c r="Q110" s="14">
        <v>0.97579492613852659</v>
      </c>
      <c r="R110">
        <v>33.146999999999998</v>
      </c>
      <c r="S110" s="14">
        <v>0.97680792125891436</v>
      </c>
      <c r="T110">
        <v>54</v>
      </c>
      <c r="V110">
        <v>108</v>
      </c>
      <c r="W110">
        <v>119.814992</v>
      </c>
      <c r="X110" s="14">
        <v>0.97751230407950429</v>
      </c>
      <c r="Y110">
        <v>33.119999999999997</v>
      </c>
      <c r="Z110" s="14">
        <v>0.97762559773304203</v>
      </c>
      <c r="AA110">
        <v>54</v>
      </c>
      <c r="AC110">
        <v>108</v>
      </c>
      <c r="AD110">
        <v>118.92347700000001</v>
      </c>
      <c r="AE110" s="14">
        <v>0.97946967385923023</v>
      </c>
      <c r="AF110">
        <v>32.866</v>
      </c>
      <c r="AG110" s="14">
        <v>0.97835858661030561</v>
      </c>
      <c r="AH110">
        <v>54</v>
      </c>
      <c r="AJ110">
        <v>108</v>
      </c>
      <c r="AK110">
        <v>119.418477</v>
      </c>
      <c r="AL110" s="14">
        <v>0.97032510221938983</v>
      </c>
      <c r="AM110">
        <v>33.103000000000002</v>
      </c>
      <c r="AN110" s="14">
        <v>0.96832036506172126</v>
      </c>
      <c r="AO110">
        <v>54</v>
      </c>
      <c r="AQ110">
        <v>108</v>
      </c>
      <c r="AR110">
        <v>118.183577</v>
      </c>
      <c r="AS110" s="14">
        <v>0.96999158632865734</v>
      </c>
      <c r="AT110">
        <v>32.813000000000002</v>
      </c>
      <c r="AU110" s="14">
        <v>0.9689927059031983</v>
      </c>
      <c r="AV110">
        <v>54</v>
      </c>
      <c r="AX110">
        <v>108</v>
      </c>
      <c r="AY110">
        <v>120.151657</v>
      </c>
      <c r="AZ110" s="14">
        <v>0.97192322007902421</v>
      </c>
      <c r="BA110">
        <v>33.338999999999999</v>
      </c>
      <c r="BB110" s="14">
        <v>0.97130287845239482</v>
      </c>
      <c r="BC110">
        <v>54</v>
      </c>
    </row>
    <row r="111" spans="15:55" x14ac:dyDescent="0.35">
      <c r="O111">
        <v>109</v>
      </c>
      <c r="P111">
        <v>119.65373200000001</v>
      </c>
      <c r="Q111" s="14">
        <v>0.97533315514053787</v>
      </c>
      <c r="R111">
        <v>33.133000000000003</v>
      </c>
      <c r="S111" s="14">
        <v>0.9763953556904581</v>
      </c>
      <c r="T111">
        <v>54</v>
      </c>
      <c r="V111">
        <v>109</v>
      </c>
      <c r="W111">
        <v>119.79828000000001</v>
      </c>
      <c r="X111" s="14">
        <v>0.97737595899152252</v>
      </c>
      <c r="Y111">
        <v>33.113999999999997</v>
      </c>
      <c r="Z111" s="14">
        <v>0.97744849164649616</v>
      </c>
      <c r="AA111">
        <v>54</v>
      </c>
      <c r="AC111">
        <v>109</v>
      </c>
      <c r="AD111">
        <v>118.904342</v>
      </c>
      <c r="AE111" s="14">
        <v>0.97931207543811027</v>
      </c>
      <c r="AF111">
        <v>32.860999999999997</v>
      </c>
      <c r="AG111" s="14">
        <v>0.97820974607805178</v>
      </c>
      <c r="AH111">
        <v>54</v>
      </c>
      <c r="AJ111">
        <v>109</v>
      </c>
      <c r="AK111">
        <v>119.411614</v>
      </c>
      <c r="AL111" s="14">
        <v>0.97026933747222655</v>
      </c>
      <c r="AM111">
        <v>33.098999999999997</v>
      </c>
      <c r="AN111" s="14">
        <v>0.96820335809980684</v>
      </c>
      <c r="AO111">
        <v>54</v>
      </c>
      <c r="AQ111">
        <v>109</v>
      </c>
      <c r="AR111">
        <v>118.15581</v>
      </c>
      <c r="AS111" s="14">
        <v>0.96976368870479723</v>
      </c>
      <c r="AT111">
        <v>32.802</v>
      </c>
      <c r="AU111" s="14">
        <v>0.96866786758408885</v>
      </c>
      <c r="AV111">
        <v>54</v>
      </c>
      <c r="AX111">
        <v>109</v>
      </c>
      <c r="AY111">
        <v>120.143925</v>
      </c>
      <c r="AZ111" s="14">
        <v>0.97186067487136507</v>
      </c>
      <c r="BA111">
        <v>33.332999999999998</v>
      </c>
      <c r="BB111" s="14">
        <v>0.97112807365108966</v>
      </c>
      <c r="BC111">
        <v>54</v>
      </c>
    </row>
    <row r="112" spans="15:55" x14ac:dyDescent="0.35">
      <c r="O112">
        <v>110</v>
      </c>
      <c r="P112">
        <v>119.64913900000001</v>
      </c>
      <c r="Q112" s="14">
        <v>0.97529571623155709</v>
      </c>
      <c r="R112">
        <v>33.131</v>
      </c>
      <c r="S112" s="14">
        <v>0.97633641775210711</v>
      </c>
      <c r="T112">
        <v>54</v>
      </c>
      <c r="V112">
        <v>110</v>
      </c>
      <c r="W112">
        <v>119.746134</v>
      </c>
      <c r="X112" s="14">
        <v>0.976950525114195</v>
      </c>
      <c r="Y112">
        <v>33.100999999999999</v>
      </c>
      <c r="Z112" s="14">
        <v>0.97706476179231361</v>
      </c>
      <c r="AA112">
        <v>54</v>
      </c>
      <c r="AC112">
        <v>110</v>
      </c>
      <c r="AD112">
        <v>118.841307</v>
      </c>
      <c r="AE112" s="14">
        <v>0.97879291074120423</v>
      </c>
      <c r="AF112">
        <v>32.841999999999999</v>
      </c>
      <c r="AG112" s="14">
        <v>0.9776441520554876</v>
      </c>
      <c r="AH112">
        <v>54</v>
      </c>
      <c r="AJ112">
        <v>110</v>
      </c>
      <c r="AK112">
        <v>119.383769</v>
      </c>
      <c r="AL112" s="14">
        <v>0.97004308519410298</v>
      </c>
      <c r="AM112">
        <v>33.091000000000001</v>
      </c>
      <c r="AN112" s="14">
        <v>0.96796934417597846</v>
      </c>
      <c r="AO112">
        <v>54</v>
      </c>
      <c r="AQ112">
        <v>110</v>
      </c>
      <c r="AR112">
        <v>118.137956</v>
      </c>
      <c r="AS112" s="14">
        <v>0.96961715201821252</v>
      </c>
      <c r="AT112">
        <v>32.798000000000002</v>
      </c>
      <c r="AU112" s="14">
        <v>0.96854974455895826</v>
      </c>
      <c r="AV112">
        <v>54</v>
      </c>
      <c r="AX112">
        <v>110</v>
      </c>
      <c r="AY112">
        <v>120.05045699999999</v>
      </c>
      <c r="AZ112" s="14">
        <v>0.97110459940971461</v>
      </c>
      <c r="BA112">
        <v>33.308999999999997</v>
      </c>
      <c r="BB112" s="14">
        <v>0.97042885444586879</v>
      </c>
      <c r="BC112">
        <v>54</v>
      </c>
    </row>
    <row r="113" spans="15:55" x14ac:dyDescent="0.35">
      <c r="O113">
        <v>111</v>
      </c>
      <c r="P113">
        <v>119.677362</v>
      </c>
      <c r="Q113" s="14">
        <v>0.97552577029821619</v>
      </c>
      <c r="R113">
        <v>33.137</v>
      </c>
      <c r="S113" s="14">
        <v>0.97651323156715986</v>
      </c>
      <c r="T113">
        <v>54</v>
      </c>
      <c r="V113">
        <v>111</v>
      </c>
      <c r="W113">
        <v>119.679768</v>
      </c>
      <c r="X113" s="14">
        <v>0.97640907716607384</v>
      </c>
      <c r="Y113">
        <v>33.082000000000001</v>
      </c>
      <c r="Z113" s="14">
        <v>0.97650392585158508</v>
      </c>
      <c r="AA113">
        <v>54</v>
      </c>
      <c r="AC113">
        <v>111</v>
      </c>
      <c r="AD113">
        <v>118.784294</v>
      </c>
      <c r="AE113" s="14">
        <v>0.97832334404231147</v>
      </c>
      <c r="AF113">
        <v>32.829000000000001</v>
      </c>
      <c r="AG113" s="14">
        <v>0.97725716667162799</v>
      </c>
      <c r="AH113">
        <v>54</v>
      </c>
      <c r="AJ113">
        <v>111</v>
      </c>
      <c r="AK113">
        <v>119.33646899999999</v>
      </c>
      <c r="AL113" s="14">
        <v>0.969658752899068</v>
      </c>
      <c r="AM113">
        <v>33.076999999999998</v>
      </c>
      <c r="AN113" s="14">
        <v>0.96755981980927863</v>
      </c>
      <c r="AO113">
        <v>54</v>
      </c>
      <c r="AQ113">
        <v>111</v>
      </c>
      <c r="AR113">
        <v>118.07044500000001</v>
      </c>
      <c r="AS113" s="14">
        <v>0.96906305555534578</v>
      </c>
      <c r="AT113">
        <v>32.777999999999999</v>
      </c>
      <c r="AU113" s="14">
        <v>0.96795912943330475</v>
      </c>
      <c r="AV113">
        <v>54</v>
      </c>
      <c r="AX113">
        <v>111</v>
      </c>
      <c r="AY113">
        <v>119.993487</v>
      </c>
      <c r="AZ113" s="14">
        <v>0.97064376127206087</v>
      </c>
      <c r="BA113">
        <v>33.292999999999999</v>
      </c>
      <c r="BB113" s="14">
        <v>0.96996270830905496</v>
      </c>
      <c r="BC113">
        <v>54</v>
      </c>
    </row>
    <row r="114" spans="15:55" x14ac:dyDescent="0.35">
      <c r="O114">
        <v>112</v>
      </c>
      <c r="P114">
        <v>119.708439</v>
      </c>
      <c r="Q114" s="14">
        <v>0.97577908816766878</v>
      </c>
      <c r="R114">
        <v>33.143000000000001</v>
      </c>
      <c r="S114" s="14">
        <v>0.9766900453822126</v>
      </c>
      <c r="T114">
        <v>54</v>
      </c>
      <c r="V114">
        <v>112</v>
      </c>
      <c r="W114">
        <v>119.66373400000001</v>
      </c>
      <c r="X114" s="14">
        <v>0.97627826355066583</v>
      </c>
      <c r="Y114">
        <v>33.078000000000003</v>
      </c>
      <c r="Z114" s="14">
        <v>0.97638585512722131</v>
      </c>
      <c r="AA114">
        <v>54</v>
      </c>
      <c r="AC114">
        <v>112</v>
      </c>
      <c r="AD114">
        <v>118.771506</v>
      </c>
      <c r="AE114" s="14">
        <v>0.97821802036270433</v>
      </c>
      <c r="AF114">
        <v>32.823999999999998</v>
      </c>
      <c r="AG114" s="14">
        <v>0.97710832613937415</v>
      </c>
      <c r="AH114">
        <v>54</v>
      </c>
      <c r="AJ114">
        <v>112</v>
      </c>
      <c r="AK114">
        <v>119.246233</v>
      </c>
      <c r="AL114" s="14">
        <v>0.96892554763533101</v>
      </c>
      <c r="AM114">
        <v>33.055</v>
      </c>
      <c r="AN114" s="14">
        <v>0.96691628151875031</v>
      </c>
      <c r="AO114">
        <v>54</v>
      </c>
      <c r="AQ114">
        <v>112</v>
      </c>
      <c r="AR114">
        <v>117.992439</v>
      </c>
      <c r="AS114" s="14">
        <v>0.96842282139080405</v>
      </c>
      <c r="AT114">
        <v>32.759</v>
      </c>
      <c r="AU114" s="14">
        <v>0.96739804506393412</v>
      </c>
      <c r="AV114">
        <v>54</v>
      </c>
      <c r="AX114">
        <v>112</v>
      </c>
      <c r="AY114">
        <v>119.97775900000001</v>
      </c>
      <c r="AZ114" s="14">
        <v>0.97051653532456184</v>
      </c>
      <c r="BA114">
        <v>33.29</v>
      </c>
      <c r="BB114" s="14">
        <v>0.96987530590840232</v>
      </c>
      <c r="BC114">
        <v>54</v>
      </c>
    </row>
    <row r="115" spans="15:55" x14ac:dyDescent="0.35">
      <c r="O115">
        <v>113</v>
      </c>
      <c r="P115">
        <v>119.65601700000001</v>
      </c>
      <c r="Q115" s="14">
        <v>0.97535178085510821</v>
      </c>
      <c r="R115">
        <v>33.128</v>
      </c>
      <c r="S115" s="14">
        <v>0.97624801084458068</v>
      </c>
      <c r="T115">
        <v>54</v>
      </c>
      <c r="V115">
        <v>113</v>
      </c>
      <c r="W115">
        <v>119.675583</v>
      </c>
      <c r="X115" s="14">
        <v>0.9763749337844797</v>
      </c>
      <c r="Y115">
        <v>33.082000000000001</v>
      </c>
      <c r="Z115" s="14">
        <v>0.97650392585158508</v>
      </c>
      <c r="AA115">
        <v>54</v>
      </c>
      <c r="AC115">
        <v>113</v>
      </c>
      <c r="AD115">
        <v>118.788681</v>
      </c>
      <c r="AE115" s="14">
        <v>0.97835947596148853</v>
      </c>
      <c r="AF115">
        <v>32.829000000000001</v>
      </c>
      <c r="AG115" s="14">
        <v>0.97725716667162799</v>
      </c>
      <c r="AH115">
        <v>54</v>
      </c>
      <c r="AJ115">
        <v>113</v>
      </c>
      <c r="AK115">
        <v>119.199792</v>
      </c>
      <c r="AL115" s="14">
        <v>0.9685481950747874</v>
      </c>
      <c r="AM115">
        <v>33.042999999999999</v>
      </c>
      <c r="AN115" s="14">
        <v>0.96656526063300763</v>
      </c>
      <c r="AO115">
        <v>54</v>
      </c>
      <c r="AQ115">
        <v>113</v>
      </c>
      <c r="AR115">
        <v>117.962975</v>
      </c>
      <c r="AS115" s="14">
        <v>0.9681809956411942</v>
      </c>
      <c r="AT115">
        <v>32.75</v>
      </c>
      <c r="AU115" s="14">
        <v>0.96713226825739007</v>
      </c>
      <c r="AV115">
        <v>54</v>
      </c>
      <c r="AX115">
        <v>113</v>
      </c>
      <c r="AY115">
        <v>120.018642</v>
      </c>
      <c r="AZ115" s="14">
        <v>0.97084724351451623</v>
      </c>
      <c r="BA115">
        <v>33.296999999999997</v>
      </c>
      <c r="BB115" s="14">
        <v>0.97007924484325836</v>
      </c>
      <c r="BC115">
        <v>54</v>
      </c>
    </row>
    <row r="116" spans="15:55" x14ac:dyDescent="0.35">
      <c r="O116">
        <v>114</v>
      </c>
      <c r="P116">
        <v>119.613438</v>
      </c>
      <c r="Q116" s="14">
        <v>0.97500470676290407</v>
      </c>
      <c r="R116">
        <v>33.116999999999997</v>
      </c>
      <c r="S116" s="14">
        <v>0.97592385218365063</v>
      </c>
      <c r="T116">
        <v>54</v>
      </c>
      <c r="V116">
        <v>114</v>
      </c>
      <c r="W116">
        <v>119.720168</v>
      </c>
      <c r="X116" s="14">
        <v>0.97673868113654205</v>
      </c>
      <c r="Y116">
        <v>33.091000000000001</v>
      </c>
      <c r="Z116" s="14">
        <v>0.97676958498140387</v>
      </c>
      <c r="AA116">
        <v>54</v>
      </c>
      <c r="AC116">
        <v>114</v>
      </c>
      <c r="AD116">
        <v>118.842812</v>
      </c>
      <c r="AE116" s="14">
        <v>0.97880530612264061</v>
      </c>
      <c r="AF116">
        <v>32.841000000000001</v>
      </c>
      <c r="AG116" s="14">
        <v>0.97761438394903688</v>
      </c>
      <c r="AH116">
        <v>54</v>
      </c>
      <c r="AJ116">
        <v>114</v>
      </c>
      <c r="AK116">
        <v>119.209491</v>
      </c>
      <c r="AL116" s="14">
        <v>0.9686270035088157</v>
      </c>
      <c r="AM116">
        <v>33.042000000000002</v>
      </c>
      <c r="AN116" s="14">
        <v>0.96653600889252911</v>
      </c>
      <c r="AO116">
        <v>54</v>
      </c>
      <c r="AQ116">
        <v>114</v>
      </c>
      <c r="AR116">
        <v>117.97917200000001</v>
      </c>
      <c r="AS116" s="14">
        <v>0.96831393250198805</v>
      </c>
      <c r="AT116">
        <v>32.752000000000002</v>
      </c>
      <c r="AU116" s="14">
        <v>0.96719132976995548</v>
      </c>
      <c r="AV116">
        <v>54</v>
      </c>
      <c r="AX116">
        <v>114</v>
      </c>
      <c r="AY116">
        <v>120.032269</v>
      </c>
      <c r="AZ116" s="14">
        <v>0.97095747418507627</v>
      </c>
      <c r="BA116">
        <v>33.299999999999997</v>
      </c>
      <c r="BB116" s="14">
        <v>0.97016664724391088</v>
      </c>
      <c r="BC116">
        <v>54</v>
      </c>
    </row>
    <row r="117" spans="15:55" x14ac:dyDescent="0.35">
      <c r="O117">
        <v>115</v>
      </c>
      <c r="P117">
        <v>119.62196400000001</v>
      </c>
      <c r="Q117" s="14">
        <v>0.9750742047245784</v>
      </c>
      <c r="R117">
        <v>33.118000000000002</v>
      </c>
      <c r="S117" s="14">
        <v>0.97595332115282618</v>
      </c>
      <c r="T117">
        <v>54</v>
      </c>
      <c r="V117">
        <v>115</v>
      </c>
      <c r="W117">
        <v>119.70469199999999</v>
      </c>
      <c r="X117" s="14">
        <v>0.9766124199720132</v>
      </c>
      <c r="Y117">
        <v>33.085000000000001</v>
      </c>
      <c r="Z117" s="14">
        <v>0.97659247889485801</v>
      </c>
      <c r="AA117">
        <v>54</v>
      </c>
      <c r="AC117">
        <v>115</v>
      </c>
      <c r="AD117">
        <v>118.827522</v>
      </c>
      <c r="AE117" s="14">
        <v>0.97867937563615381</v>
      </c>
      <c r="AF117">
        <v>32.834000000000003</v>
      </c>
      <c r="AG117" s="14">
        <v>0.97740600720388171</v>
      </c>
      <c r="AH117">
        <v>54</v>
      </c>
      <c r="AJ117">
        <v>115</v>
      </c>
      <c r="AK117">
        <v>119.256479</v>
      </c>
      <c r="AL117" s="14">
        <v>0.96900880067327866</v>
      </c>
      <c r="AM117">
        <v>33.052999999999997</v>
      </c>
      <c r="AN117" s="14">
        <v>0.96685777803779316</v>
      </c>
      <c r="AO117">
        <v>54</v>
      </c>
      <c r="AQ117">
        <v>115</v>
      </c>
      <c r="AR117">
        <v>118.016171</v>
      </c>
      <c r="AS117" s="14">
        <v>0.96861760175632594</v>
      </c>
      <c r="AT117">
        <v>32.758000000000003</v>
      </c>
      <c r="AU117" s="14">
        <v>0.96736851430765147</v>
      </c>
      <c r="AV117">
        <v>54</v>
      </c>
      <c r="AX117">
        <v>115</v>
      </c>
      <c r="AY117">
        <v>119.985934</v>
      </c>
      <c r="AZ117" s="14">
        <v>0.97058266401993343</v>
      </c>
      <c r="BA117">
        <v>33.287999999999997</v>
      </c>
      <c r="BB117" s="14">
        <v>0.96981703764130056</v>
      </c>
      <c r="BC117">
        <v>54</v>
      </c>
    </row>
    <row r="118" spans="15:55" x14ac:dyDescent="0.35">
      <c r="O118">
        <v>116</v>
      </c>
      <c r="P118">
        <v>119.635912</v>
      </c>
      <c r="Q118" s="14">
        <v>0.97518789902078229</v>
      </c>
      <c r="R118">
        <v>33.119999999999997</v>
      </c>
      <c r="S118" s="14">
        <v>0.97601225909117695</v>
      </c>
      <c r="T118">
        <v>54</v>
      </c>
      <c r="V118">
        <v>116</v>
      </c>
      <c r="W118">
        <v>119.650915</v>
      </c>
      <c r="X118" s="14">
        <v>0.97617367955815515</v>
      </c>
      <c r="Y118">
        <v>33.070999999999998</v>
      </c>
      <c r="Z118" s="14">
        <v>0.97617923135958429</v>
      </c>
      <c r="AA118">
        <v>54</v>
      </c>
      <c r="AC118">
        <v>116</v>
      </c>
      <c r="AD118">
        <v>118.762489</v>
      </c>
      <c r="AE118" s="14">
        <v>0.9781437551438259</v>
      </c>
      <c r="AF118">
        <v>32.819000000000003</v>
      </c>
      <c r="AG118" s="14">
        <v>0.97695948560712054</v>
      </c>
      <c r="AH118">
        <v>54</v>
      </c>
      <c r="AJ118">
        <v>116</v>
      </c>
      <c r="AK118">
        <v>119.25589100000001</v>
      </c>
      <c r="AL118" s="14">
        <v>0.96900402292720089</v>
      </c>
      <c r="AM118">
        <v>33.048000000000002</v>
      </c>
      <c r="AN118" s="14">
        <v>0.96671151933540056</v>
      </c>
      <c r="AO118">
        <v>54</v>
      </c>
      <c r="AQ118">
        <v>116</v>
      </c>
      <c r="AR118">
        <v>118.00867700000001</v>
      </c>
      <c r="AS118" s="14">
        <v>0.96855609475905557</v>
      </c>
      <c r="AT118">
        <v>32.753999999999998</v>
      </c>
      <c r="AU118" s="14">
        <v>0.96725039128252066</v>
      </c>
      <c r="AV118">
        <v>54</v>
      </c>
      <c r="AX118">
        <v>116</v>
      </c>
      <c r="AY118">
        <v>119.930548</v>
      </c>
      <c r="AZ118" s="14">
        <v>0.97013463907536446</v>
      </c>
      <c r="BA118">
        <v>33.273000000000003</v>
      </c>
      <c r="BB118" s="14">
        <v>0.96938002563803771</v>
      </c>
      <c r="BC118">
        <v>54</v>
      </c>
    </row>
    <row r="119" spans="15:55" x14ac:dyDescent="0.35">
      <c r="O119">
        <v>117</v>
      </c>
      <c r="P119">
        <v>119.622242</v>
      </c>
      <c r="Q119" s="14">
        <v>0.97507647078525694</v>
      </c>
      <c r="R119">
        <v>33.116</v>
      </c>
      <c r="S119" s="14">
        <v>0.97589438321447519</v>
      </c>
      <c r="T119">
        <v>54</v>
      </c>
      <c r="V119">
        <v>117</v>
      </c>
      <c r="W119">
        <v>119.625648</v>
      </c>
      <c r="X119" s="14">
        <v>0.97596753838187245</v>
      </c>
      <c r="Y119">
        <v>33.064</v>
      </c>
      <c r="Z119" s="14">
        <v>0.97597260759194759</v>
      </c>
      <c r="AA119">
        <v>54</v>
      </c>
      <c r="AC119">
        <v>117</v>
      </c>
      <c r="AD119">
        <v>118.74582700000001</v>
      </c>
      <c r="AE119" s="14">
        <v>0.97800652468170413</v>
      </c>
      <c r="AF119">
        <v>32.814</v>
      </c>
      <c r="AG119" s="14">
        <v>0.9768106450748667</v>
      </c>
      <c r="AH119">
        <v>54</v>
      </c>
      <c r="AJ119">
        <v>117</v>
      </c>
      <c r="AK119">
        <v>119.20374099999999</v>
      </c>
      <c r="AL119" s="14">
        <v>0.96858028235244253</v>
      </c>
      <c r="AM119">
        <v>33.036000000000001</v>
      </c>
      <c r="AN119" s="14">
        <v>0.96636049844965777</v>
      </c>
      <c r="AO119">
        <v>54</v>
      </c>
      <c r="AQ119">
        <v>117</v>
      </c>
      <c r="AR119">
        <v>117.935675</v>
      </c>
      <c r="AS119" s="14">
        <v>0.96795693091935242</v>
      </c>
      <c r="AT119">
        <v>32.734999999999999</v>
      </c>
      <c r="AU119" s="14">
        <v>0.96668930691315003</v>
      </c>
      <c r="AV119">
        <v>54</v>
      </c>
      <c r="AX119">
        <v>117</v>
      </c>
      <c r="AY119">
        <v>119.931021</v>
      </c>
      <c r="AZ119" s="14">
        <v>0.97013846523718839</v>
      </c>
      <c r="BA119">
        <v>33.273000000000003</v>
      </c>
      <c r="BB119" s="14">
        <v>0.96938002563803771</v>
      </c>
      <c r="BC119">
        <v>54</v>
      </c>
    </row>
    <row r="120" spans="15:55" x14ac:dyDescent="0.35">
      <c r="O120">
        <v>118</v>
      </c>
      <c r="P120">
        <v>119.560001</v>
      </c>
      <c r="Q120" s="14">
        <v>0.97456912588347733</v>
      </c>
      <c r="R120">
        <v>33.098999999999997</v>
      </c>
      <c r="S120" s="14">
        <v>0.97539341073849239</v>
      </c>
      <c r="T120">
        <v>54</v>
      </c>
      <c r="V120">
        <v>118</v>
      </c>
      <c r="W120">
        <v>119.648518</v>
      </c>
      <c r="X120" s="14">
        <v>0.97615412359980824</v>
      </c>
      <c r="Y120">
        <v>33.069000000000003</v>
      </c>
      <c r="Z120" s="14">
        <v>0.97612019599740252</v>
      </c>
      <c r="AA120">
        <v>54</v>
      </c>
      <c r="AC120">
        <v>118</v>
      </c>
      <c r="AD120">
        <v>118.775195</v>
      </c>
      <c r="AE120" s="14">
        <v>0.97824840346045772</v>
      </c>
      <c r="AF120">
        <v>32.819000000000003</v>
      </c>
      <c r="AG120" s="14">
        <v>0.97695948560712054</v>
      </c>
      <c r="AH120">
        <v>54</v>
      </c>
      <c r="AJ120">
        <v>118</v>
      </c>
      <c r="AK120">
        <v>119.14778</v>
      </c>
      <c r="AL120" s="14">
        <v>0.96812557580778202</v>
      </c>
      <c r="AM120">
        <v>33.018999999999998</v>
      </c>
      <c r="AN120" s="14">
        <v>0.96586321886152227</v>
      </c>
      <c r="AO120">
        <v>54</v>
      </c>
      <c r="AQ120">
        <v>118</v>
      </c>
      <c r="AR120">
        <v>117.905342</v>
      </c>
      <c r="AS120" s="14">
        <v>0.96770797285313903</v>
      </c>
      <c r="AT120">
        <v>32.728999999999999</v>
      </c>
      <c r="AU120" s="14">
        <v>0.96651212237545403</v>
      </c>
      <c r="AV120">
        <v>54</v>
      </c>
      <c r="AX120">
        <v>118</v>
      </c>
      <c r="AY120">
        <v>119.93124299999999</v>
      </c>
      <c r="AZ120" s="14">
        <v>0.97014026102561313</v>
      </c>
      <c r="BA120">
        <v>33.273000000000003</v>
      </c>
      <c r="BB120" s="14">
        <v>0.96938002563803771</v>
      </c>
      <c r="BC120">
        <v>54</v>
      </c>
    </row>
    <row r="121" spans="15:55" x14ac:dyDescent="0.35">
      <c r="O121">
        <v>119</v>
      </c>
      <c r="P121">
        <v>119.50320000000001</v>
      </c>
      <c r="Q121" s="14">
        <v>0.97410612403958063</v>
      </c>
      <c r="R121">
        <v>33.084000000000003</v>
      </c>
      <c r="S121" s="14">
        <v>0.9749513762008607</v>
      </c>
      <c r="T121">
        <v>54</v>
      </c>
      <c r="V121">
        <v>119</v>
      </c>
      <c r="W121">
        <v>119.651689</v>
      </c>
      <c r="X121" s="14">
        <v>0.97617999424808444</v>
      </c>
      <c r="Y121">
        <v>33.067999999999998</v>
      </c>
      <c r="Z121" s="14">
        <v>0.97609067831631136</v>
      </c>
      <c r="AA121">
        <v>54</v>
      </c>
      <c r="AC121">
        <v>119</v>
      </c>
      <c r="AD121">
        <v>118.777208</v>
      </c>
      <c r="AE121" s="14">
        <v>0.97826498279788732</v>
      </c>
      <c r="AF121">
        <v>32.819000000000003</v>
      </c>
      <c r="AG121" s="14">
        <v>0.97695948560712054</v>
      </c>
      <c r="AH121">
        <v>54</v>
      </c>
      <c r="AJ121">
        <v>119</v>
      </c>
      <c r="AK121">
        <v>119.167175</v>
      </c>
      <c r="AL121" s="14">
        <v>0.96828316829958327</v>
      </c>
      <c r="AM121">
        <v>33.024999999999999</v>
      </c>
      <c r="AN121" s="14">
        <v>0.96603872930439361</v>
      </c>
      <c r="AO121">
        <v>54</v>
      </c>
      <c r="AQ121">
        <v>119</v>
      </c>
      <c r="AR121">
        <v>117.910003</v>
      </c>
      <c r="AS121" s="14">
        <v>0.96774622800583154</v>
      </c>
      <c r="AT121">
        <v>32.725000000000001</v>
      </c>
      <c r="AU121" s="14">
        <v>0.96639399935032344</v>
      </c>
      <c r="AV121">
        <v>54</v>
      </c>
      <c r="AX121">
        <v>119</v>
      </c>
      <c r="AY121">
        <v>119.928364</v>
      </c>
      <c r="AZ121" s="14">
        <v>0.97011697240005046</v>
      </c>
      <c r="BA121">
        <v>33.268999999999998</v>
      </c>
      <c r="BB121" s="14">
        <v>0.96926348910383409</v>
      </c>
      <c r="BC121">
        <v>54</v>
      </c>
    </row>
    <row r="122" spans="15:55" x14ac:dyDescent="0.35">
      <c r="O122">
        <v>120</v>
      </c>
      <c r="P122">
        <v>119.50184299999999</v>
      </c>
      <c r="Q122" s="14">
        <v>0.97409506272900204</v>
      </c>
      <c r="R122">
        <v>33.082999999999998</v>
      </c>
      <c r="S122" s="14">
        <v>0.97492190723168504</v>
      </c>
      <c r="T122">
        <v>54</v>
      </c>
      <c r="V122">
        <v>120</v>
      </c>
      <c r="W122">
        <v>119.613558</v>
      </c>
      <c r="X122" s="14">
        <v>0.97586890194615561</v>
      </c>
      <c r="Y122">
        <v>33.055999999999997</v>
      </c>
      <c r="Z122" s="14">
        <v>0.97573646614321974</v>
      </c>
      <c r="AA122">
        <v>54</v>
      </c>
      <c r="AC122">
        <v>120</v>
      </c>
      <c r="AD122">
        <v>118.737173</v>
      </c>
      <c r="AE122" s="14">
        <v>0.97793524917941133</v>
      </c>
      <c r="AF122">
        <v>32.808</v>
      </c>
      <c r="AG122" s="14">
        <v>0.97663203643616214</v>
      </c>
      <c r="AH122">
        <v>54</v>
      </c>
      <c r="AJ122">
        <v>120</v>
      </c>
      <c r="AK122">
        <v>119.14525399999999</v>
      </c>
      <c r="AL122" s="14">
        <v>0.96810505100065181</v>
      </c>
      <c r="AM122">
        <v>33.015999999999998</v>
      </c>
      <c r="AN122" s="14">
        <v>0.96577546364008648</v>
      </c>
      <c r="AO122">
        <v>54</v>
      </c>
      <c r="AQ122">
        <v>120</v>
      </c>
      <c r="AR122">
        <v>117.890523</v>
      </c>
      <c r="AS122" s="14">
        <v>0.96758634592592385</v>
      </c>
      <c r="AT122">
        <v>32.72</v>
      </c>
      <c r="AU122" s="14">
        <v>0.96624634556890998</v>
      </c>
      <c r="AV122">
        <v>54</v>
      </c>
      <c r="AX122">
        <v>120</v>
      </c>
      <c r="AY122">
        <v>119.86382399999999</v>
      </c>
      <c r="AZ122" s="14">
        <v>0.96959489949493938</v>
      </c>
      <c r="BA122">
        <v>33.252000000000002</v>
      </c>
      <c r="BB122" s="14">
        <v>0.96876820883346937</v>
      </c>
      <c r="BC122">
        <v>54</v>
      </c>
    </row>
    <row r="123" spans="15:55" x14ac:dyDescent="0.35">
      <c r="O123">
        <v>121</v>
      </c>
      <c r="P123">
        <v>119.510767</v>
      </c>
      <c r="Q123" s="14">
        <v>0.97416780490704358</v>
      </c>
      <c r="R123">
        <v>33.084000000000003</v>
      </c>
      <c r="S123" s="14">
        <v>0.9749513762008607</v>
      </c>
      <c r="T123">
        <v>54</v>
      </c>
      <c r="V123">
        <v>121</v>
      </c>
      <c r="W123">
        <v>119.548632</v>
      </c>
      <c r="X123" s="14">
        <v>0.97533920225836812</v>
      </c>
      <c r="Y123">
        <v>33.04</v>
      </c>
      <c r="Z123" s="14">
        <v>0.97526418324576414</v>
      </c>
      <c r="AA123">
        <v>54</v>
      </c>
      <c r="AC123">
        <v>121</v>
      </c>
      <c r="AD123">
        <v>118.67154600000001</v>
      </c>
      <c r="AE123" s="14">
        <v>0.97739473642357966</v>
      </c>
      <c r="AF123">
        <v>32.790999999999997</v>
      </c>
      <c r="AG123" s="14">
        <v>0.97612597862649941</v>
      </c>
      <c r="AH123">
        <v>54</v>
      </c>
      <c r="AJ123">
        <v>121</v>
      </c>
      <c r="AK123">
        <v>119.11590200000001</v>
      </c>
      <c r="AL123" s="14">
        <v>0.96786655371684926</v>
      </c>
      <c r="AM123">
        <v>33.006999999999998</v>
      </c>
      <c r="AN123" s="14">
        <v>0.96551219797577947</v>
      </c>
      <c r="AO123">
        <v>54</v>
      </c>
      <c r="AQ123">
        <v>121</v>
      </c>
      <c r="AR123">
        <v>117.85966500000001</v>
      </c>
      <c r="AS123" s="14">
        <v>0.967333078922752</v>
      </c>
      <c r="AT123">
        <v>32.707000000000001</v>
      </c>
      <c r="AU123" s="14">
        <v>0.96586244573723534</v>
      </c>
      <c r="AV123">
        <v>54</v>
      </c>
      <c r="AX123">
        <v>121</v>
      </c>
      <c r="AY123">
        <v>119.79548800000001</v>
      </c>
      <c r="AZ123" s="14">
        <v>0.96904212022559222</v>
      </c>
      <c r="BA123">
        <v>33.235999999999997</v>
      </c>
      <c r="BB123" s="14">
        <v>0.96830206269665542</v>
      </c>
      <c r="BC123">
        <v>54</v>
      </c>
    </row>
    <row r="124" spans="15:55" x14ac:dyDescent="0.35">
      <c r="O124">
        <v>122</v>
      </c>
      <c r="P124">
        <v>119.50843500000001</v>
      </c>
      <c r="Q124" s="14">
        <v>0.97414879608149529</v>
      </c>
      <c r="R124">
        <v>33.081000000000003</v>
      </c>
      <c r="S124" s="14">
        <v>0.97486296929333427</v>
      </c>
      <c r="T124">
        <v>54</v>
      </c>
      <c r="V124">
        <v>122</v>
      </c>
      <c r="W124">
        <v>119.52507300000001</v>
      </c>
      <c r="X124" s="14">
        <v>0.97514699582420339</v>
      </c>
      <c r="Y124">
        <v>33.033999999999999</v>
      </c>
      <c r="Z124" s="14">
        <v>0.97508707715921838</v>
      </c>
      <c r="AA124">
        <v>54</v>
      </c>
      <c r="AC124">
        <v>122</v>
      </c>
      <c r="AD124">
        <v>118.64485500000001</v>
      </c>
      <c r="AE124" s="14">
        <v>0.97717490577512855</v>
      </c>
      <c r="AF124">
        <v>32.783000000000001</v>
      </c>
      <c r="AG124" s="14">
        <v>0.97588783377489352</v>
      </c>
      <c r="AH124">
        <v>54</v>
      </c>
      <c r="AJ124">
        <v>122</v>
      </c>
      <c r="AK124">
        <v>119.050971</v>
      </c>
      <c r="AL124" s="14">
        <v>0.96733896216824655</v>
      </c>
      <c r="AM124">
        <v>32.988999999999997</v>
      </c>
      <c r="AN124" s="14">
        <v>0.96498566664716545</v>
      </c>
      <c r="AO124">
        <v>54</v>
      </c>
      <c r="AQ124">
        <v>122</v>
      </c>
      <c r="AR124">
        <v>117.788757</v>
      </c>
      <c r="AS124" s="14">
        <v>0.96675110158588906</v>
      </c>
      <c r="AT124">
        <v>32.691000000000003</v>
      </c>
      <c r="AU124" s="14">
        <v>0.96538995363671276</v>
      </c>
      <c r="AV124">
        <v>54</v>
      </c>
      <c r="AX124">
        <v>122</v>
      </c>
      <c r="AY124">
        <v>119.780749</v>
      </c>
      <c r="AZ124" s="14">
        <v>0.96892289443463409</v>
      </c>
      <c r="BA124">
        <v>33.232999999999997</v>
      </c>
      <c r="BB124" s="14">
        <v>0.96821466029600278</v>
      </c>
      <c r="BC124">
        <v>54</v>
      </c>
    </row>
    <row r="125" spans="15:55" x14ac:dyDescent="0.35">
      <c r="O125">
        <v>123</v>
      </c>
      <c r="P125">
        <v>119.443226</v>
      </c>
      <c r="Q125" s="14">
        <v>0.97361725812901789</v>
      </c>
      <c r="R125">
        <v>33.064</v>
      </c>
      <c r="S125" s="14">
        <v>0.97436199681735136</v>
      </c>
      <c r="T125">
        <v>54</v>
      </c>
      <c r="V125">
        <v>123</v>
      </c>
      <c r="W125">
        <v>119.543351</v>
      </c>
      <c r="X125" s="14">
        <v>0.97529611714529774</v>
      </c>
      <c r="Y125">
        <v>33.036999999999999</v>
      </c>
      <c r="Z125" s="14">
        <v>0.97517563020249121</v>
      </c>
      <c r="AA125">
        <v>54</v>
      </c>
      <c r="AC125">
        <v>123</v>
      </c>
      <c r="AD125">
        <v>118.66866</v>
      </c>
      <c r="AE125" s="14">
        <v>0.97737096694130365</v>
      </c>
      <c r="AF125">
        <v>32.789000000000001</v>
      </c>
      <c r="AG125" s="14">
        <v>0.97606644241359797</v>
      </c>
      <c r="AH125">
        <v>54</v>
      </c>
      <c r="AJ125">
        <v>123</v>
      </c>
      <c r="AK125">
        <v>118.9884</v>
      </c>
      <c r="AL125" s="14">
        <v>0.96683054660730305</v>
      </c>
      <c r="AM125">
        <v>32.973999999999997</v>
      </c>
      <c r="AN125" s="14">
        <v>0.96454689053998699</v>
      </c>
      <c r="AO125">
        <v>54</v>
      </c>
      <c r="AQ125">
        <v>123</v>
      </c>
      <c r="AR125">
        <v>117.743359</v>
      </c>
      <c r="AS125" s="14">
        <v>0.9663784975477141</v>
      </c>
      <c r="AT125">
        <v>32.677</v>
      </c>
      <c r="AU125" s="14">
        <v>0.96497652304875525</v>
      </c>
      <c r="AV125">
        <v>54</v>
      </c>
      <c r="AX125">
        <v>123</v>
      </c>
      <c r="AY125">
        <v>119.785877</v>
      </c>
      <c r="AZ125" s="14">
        <v>0.96896437552941883</v>
      </c>
      <c r="BA125">
        <v>33.231999999999999</v>
      </c>
      <c r="BB125" s="14">
        <v>0.96818552616245201</v>
      </c>
      <c r="BC125">
        <v>54</v>
      </c>
    </row>
    <row r="126" spans="15:55" x14ac:dyDescent="0.35">
      <c r="O126">
        <v>124</v>
      </c>
      <c r="P126">
        <v>119.38464</v>
      </c>
      <c r="Q126" s="14">
        <v>0.97313970621925328</v>
      </c>
      <c r="R126">
        <v>33.048000000000002</v>
      </c>
      <c r="S126" s="14">
        <v>0.97389049331054411</v>
      </c>
      <c r="T126">
        <v>54</v>
      </c>
      <c r="V126">
        <v>124</v>
      </c>
      <c r="W126">
        <v>119.54777300000001</v>
      </c>
      <c r="X126" s="14">
        <v>0.9753321940947387</v>
      </c>
      <c r="Y126">
        <v>33.036999999999999</v>
      </c>
      <c r="Z126" s="14">
        <v>0.97517563020249121</v>
      </c>
      <c r="AA126">
        <v>54</v>
      </c>
      <c r="AC126">
        <v>124</v>
      </c>
      <c r="AD126">
        <v>118.67800099999999</v>
      </c>
      <c r="AE126" s="14">
        <v>0.97744790066754772</v>
      </c>
      <c r="AF126">
        <v>32.789000000000001</v>
      </c>
      <c r="AG126" s="14">
        <v>0.97606644241359797</v>
      </c>
      <c r="AH126">
        <v>54</v>
      </c>
      <c r="AJ126">
        <v>124</v>
      </c>
      <c r="AK126">
        <v>118.989149</v>
      </c>
      <c r="AL126" s="14">
        <v>0.96683663254575924</v>
      </c>
      <c r="AM126">
        <v>32.972000000000001</v>
      </c>
      <c r="AN126" s="14">
        <v>0.96448838705903006</v>
      </c>
      <c r="AO126">
        <v>54</v>
      </c>
      <c r="AQ126">
        <v>124</v>
      </c>
      <c r="AR126">
        <v>117.759871</v>
      </c>
      <c r="AS126" s="14">
        <v>0.96651401977068307</v>
      </c>
      <c r="AT126">
        <v>32.679000000000002</v>
      </c>
      <c r="AU126" s="14">
        <v>0.96503558456132066</v>
      </c>
      <c r="AV126">
        <v>54</v>
      </c>
      <c r="AX126">
        <v>124</v>
      </c>
      <c r="AY126">
        <v>119.779856</v>
      </c>
      <c r="AZ126" s="14">
        <v>0.96891567083524976</v>
      </c>
      <c r="BA126">
        <v>33.228000000000002</v>
      </c>
      <c r="BB126" s="14">
        <v>0.9680689896282485</v>
      </c>
      <c r="BC126">
        <v>54</v>
      </c>
    </row>
    <row r="127" spans="15:55" x14ac:dyDescent="0.35">
      <c r="O127">
        <v>125</v>
      </c>
      <c r="P127">
        <v>119.383635</v>
      </c>
      <c r="Q127" s="14">
        <v>0.97313151416536126</v>
      </c>
      <c r="R127">
        <v>33.048000000000002</v>
      </c>
      <c r="S127" s="14">
        <v>0.97389049331054411</v>
      </c>
      <c r="T127">
        <v>54</v>
      </c>
      <c r="V127">
        <v>125</v>
      </c>
      <c r="W127">
        <v>119.510682</v>
      </c>
      <c r="X127" s="14">
        <v>0.97502958664749517</v>
      </c>
      <c r="Y127">
        <v>33.024999999999999</v>
      </c>
      <c r="Z127" s="14">
        <v>0.97482141802939959</v>
      </c>
      <c r="AA127">
        <v>54</v>
      </c>
      <c r="AC127">
        <v>125</v>
      </c>
      <c r="AD127">
        <v>118.643421</v>
      </c>
      <c r="AE127" s="14">
        <v>0.97716309515919508</v>
      </c>
      <c r="AF127">
        <v>32.779000000000003</v>
      </c>
      <c r="AG127" s="14">
        <v>0.97576876134909063</v>
      </c>
      <c r="AH127">
        <v>54</v>
      </c>
      <c r="AJ127">
        <v>125</v>
      </c>
      <c r="AK127">
        <v>118.990089</v>
      </c>
      <c r="AL127" s="14">
        <v>0.966844270439149</v>
      </c>
      <c r="AM127">
        <v>32.97</v>
      </c>
      <c r="AN127" s="14">
        <v>0.96442988357807291</v>
      </c>
      <c r="AO127">
        <v>54</v>
      </c>
      <c r="AQ127">
        <v>125</v>
      </c>
      <c r="AR127">
        <v>117.765006</v>
      </c>
      <c r="AS127" s="14">
        <v>0.96655616527788668</v>
      </c>
      <c r="AT127">
        <v>32.677</v>
      </c>
      <c r="AU127" s="14">
        <v>0.96497652304875525</v>
      </c>
      <c r="AV127">
        <v>54</v>
      </c>
      <c r="AX127">
        <v>125</v>
      </c>
      <c r="AY127">
        <v>119.719374</v>
      </c>
      <c r="AZ127" s="14">
        <v>0.96842642364828158</v>
      </c>
      <c r="BA127">
        <v>33.212000000000003</v>
      </c>
      <c r="BB127" s="14">
        <v>0.96760284349143466</v>
      </c>
      <c r="BC127">
        <v>54</v>
      </c>
    </row>
    <row r="128" spans="15:55" x14ac:dyDescent="0.35">
      <c r="O128">
        <v>126</v>
      </c>
      <c r="P128">
        <v>119.38653499999999</v>
      </c>
      <c r="Q128" s="14">
        <v>0.9731551529278355</v>
      </c>
      <c r="R128">
        <v>33.045999999999999</v>
      </c>
      <c r="S128" s="14">
        <v>0.97383155537219313</v>
      </c>
      <c r="T128">
        <v>54</v>
      </c>
      <c r="V128">
        <v>126</v>
      </c>
      <c r="W128">
        <v>119.44824300000001</v>
      </c>
      <c r="X128" s="14">
        <v>0.97452017718432538</v>
      </c>
      <c r="Y128">
        <v>33.01</v>
      </c>
      <c r="Z128" s="14">
        <v>0.97437865281303493</v>
      </c>
      <c r="AA128">
        <v>54</v>
      </c>
      <c r="AC128">
        <v>126</v>
      </c>
      <c r="AD128">
        <v>118.58004</v>
      </c>
      <c r="AE128" s="14">
        <v>0.97664108075997869</v>
      </c>
      <c r="AF128">
        <v>32.762999999999998</v>
      </c>
      <c r="AG128" s="14">
        <v>0.9752924716458784</v>
      </c>
      <c r="AH128">
        <v>54</v>
      </c>
      <c r="AJ128">
        <v>126</v>
      </c>
      <c r="AK128">
        <v>118.979201</v>
      </c>
      <c r="AL128" s="14">
        <v>0.96675580088252455</v>
      </c>
      <c r="AM128">
        <v>32.965000000000003</v>
      </c>
      <c r="AN128" s="14">
        <v>0.9642836248756802</v>
      </c>
      <c r="AO128">
        <v>54</v>
      </c>
      <c r="AQ128">
        <v>126</v>
      </c>
      <c r="AR128">
        <v>117.72235000000001</v>
      </c>
      <c r="AS128" s="14">
        <v>0.96620606620188365</v>
      </c>
      <c r="AT128">
        <v>32.665999999999997</v>
      </c>
      <c r="AU128" s="14">
        <v>0.9646516847296458</v>
      </c>
      <c r="AV128">
        <v>54</v>
      </c>
      <c r="AX128">
        <v>126</v>
      </c>
      <c r="AY128">
        <v>119.65690600000001</v>
      </c>
      <c r="AZ128" s="14">
        <v>0.96792111143513504</v>
      </c>
      <c r="BA128">
        <v>33.195999999999998</v>
      </c>
      <c r="BB128" s="14">
        <v>0.96713669735462071</v>
      </c>
      <c r="BC128">
        <v>54</v>
      </c>
    </row>
    <row r="129" spans="15:55" x14ac:dyDescent="0.35">
      <c r="O129">
        <v>127</v>
      </c>
      <c r="P129">
        <v>119.37752999999999</v>
      </c>
      <c r="Q129" s="14">
        <v>0.97308175049470425</v>
      </c>
      <c r="R129">
        <v>33.042000000000002</v>
      </c>
      <c r="S129" s="14">
        <v>0.97371367949549137</v>
      </c>
      <c r="T129">
        <v>54</v>
      </c>
      <c r="V129">
        <v>127</v>
      </c>
      <c r="W129">
        <v>119.403221</v>
      </c>
      <c r="X129" s="14">
        <v>0.97415286456159222</v>
      </c>
      <c r="Y129">
        <v>32.997999999999998</v>
      </c>
      <c r="Z129" s="14">
        <v>0.9740244406399432</v>
      </c>
      <c r="AA129">
        <v>54</v>
      </c>
      <c r="AC129">
        <v>127</v>
      </c>
      <c r="AD129">
        <v>118.535798</v>
      </c>
      <c r="AE129" s="14">
        <v>0.97627669772641779</v>
      </c>
      <c r="AF129">
        <v>32.750999999999998</v>
      </c>
      <c r="AG129" s="14">
        <v>0.9749352543684694</v>
      </c>
      <c r="AH129">
        <v>54</v>
      </c>
      <c r="AJ129">
        <v>127</v>
      </c>
      <c r="AK129">
        <v>118.910843</v>
      </c>
      <c r="AL129" s="14">
        <v>0.96620036352472338</v>
      </c>
      <c r="AM129">
        <v>32.945</v>
      </c>
      <c r="AN129" s="14">
        <v>0.96369859006610892</v>
      </c>
      <c r="AO129">
        <v>54</v>
      </c>
      <c r="AQ129">
        <v>127</v>
      </c>
      <c r="AR129">
        <v>117.64426</v>
      </c>
      <c r="AS129" s="14">
        <v>0.96556514260742854</v>
      </c>
      <c r="AT129">
        <v>32.646999999999998</v>
      </c>
      <c r="AU129" s="14">
        <v>0.96409060036027516</v>
      </c>
      <c r="AV129">
        <v>54</v>
      </c>
      <c r="AX129">
        <v>127</v>
      </c>
      <c r="AY129">
        <v>119.631128</v>
      </c>
      <c r="AZ129" s="14">
        <v>0.96771258966029849</v>
      </c>
      <c r="BA129">
        <v>33.19</v>
      </c>
      <c r="BB129" s="14">
        <v>0.96696189255331544</v>
      </c>
      <c r="BC129">
        <v>54</v>
      </c>
    </row>
    <row r="130" spans="15:55" x14ac:dyDescent="0.35">
      <c r="O130">
        <v>128</v>
      </c>
      <c r="P130">
        <v>119.3222</v>
      </c>
      <c r="Q130" s="14">
        <v>0.97263073920929011</v>
      </c>
      <c r="R130">
        <v>33.027999999999999</v>
      </c>
      <c r="S130" s="14">
        <v>0.97330111392703489</v>
      </c>
      <c r="T130">
        <v>54</v>
      </c>
      <c r="V130">
        <v>128</v>
      </c>
      <c r="W130">
        <v>119.42266499999999</v>
      </c>
      <c r="X130" s="14">
        <v>0.9743114987101511</v>
      </c>
      <c r="Y130">
        <v>33.002000000000002</v>
      </c>
      <c r="Z130" s="14">
        <v>0.9741425113643073</v>
      </c>
      <c r="AA130">
        <v>54</v>
      </c>
      <c r="AC130">
        <v>128</v>
      </c>
      <c r="AD130">
        <v>118.552611</v>
      </c>
      <c r="AE130" s="14">
        <v>0.97641517184475013</v>
      </c>
      <c r="AF130">
        <v>32.755000000000003</v>
      </c>
      <c r="AG130" s="14">
        <v>0.97505432679427262</v>
      </c>
      <c r="AH130">
        <v>54</v>
      </c>
      <c r="AJ130">
        <v>128</v>
      </c>
      <c r="AK130">
        <v>118.867178</v>
      </c>
      <c r="AL130" s="14">
        <v>0.96584556712593483</v>
      </c>
      <c r="AM130">
        <v>32.936</v>
      </c>
      <c r="AN130" s="14">
        <v>0.96343532440180191</v>
      </c>
      <c r="AO130">
        <v>54</v>
      </c>
      <c r="AQ130">
        <v>128</v>
      </c>
      <c r="AR130">
        <v>117.612796</v>
      </c>
      <c r="AS130" s="14">
        <v>0.96530690185988166</v>
      </c>
      <c r="AT130">
        <v>32.637</v>
      </c>
      <c r="AU130" s="14">
        <v>0.96379529279744858</v>
      </c>
      <c r="AV130">
        <v>54</v>
      </c>
      <c r="AX130">
        <v>128</v>
      </c>
      <c r="AY130">
        <v>119.61811400000001</v>
      </c>
      <c r="AZ130" s="14">
        <v>0.96760731763074914</v>
      </c>
      <c r="BA130">
        <v>33.183999999999997</v>
      </c>
      <c r="BB130" s="14">
        <v>0.96678708775201028</v>
      </c>
      <c r="BC130">
        <v>54</v>
      </c>
    </row>
    <row r="131" spans="15:55" x14ac:dyDescent="0.35">
      <c r="O131">
        <v>129</v>
      </c>
      <c r="P131">
        <v>119.27030000000001</v>
      </c>
      <c r="Q131" s="14">
        <v>0.97220768687397485</v>
      </c>
      <c r="R131">
        <v>33.015000000000001</v>
      </c>
      <c r="S131" s="14">
        <v>0.97291801732775396</v>
      </c>
      <c r="T131">
        <v>54</v>
      </c>
      <c r="V131">
        <v>129</v>
      </c>
      <c r="W131">
        <v>119.421558</v>
      </c>
      <c r="X131" s="14">
        <v>0.97430246723501979</v>
      </c>
      <c r="Y131">
        <v>33</v>
      </c>
      <c r="Z131" s="14">
        <v>0.9740834760021253</v>
      </c>
      <c r="AA131">
        <v>54</v>
      </c>
      <c r="AC131">
        <v>129</v>
      </c>
      <c r="AD131">
        <v>118.55439800000001</v>
      </c>
      <c r="AE131" s="14">
        <v>0.97642988981593082</v>
      </c>
      <c r="AF131">
        <v>32.753</v>
      </c>
      <c r="AG131" s="14">
        <v>0.97499479058137106</v>
      </c>
      <c r="AH131">
        <v>54</v>
      </c>
      <c r="AJ131">
        <v>129</v>
      </c>
      <c r="AK131">
        <v>118.843289</v>
      </c>
      <c r="AL131" s="14">
        <v>0.965651459003396</v>
      </c>
      <c r="AM131">
        <v>32.929000000000002</v>
      </c>
      <c r="AN131" s="14">
        <v>0.96323056221845205</v>
      </c>
      <c r="AO131">
        <v>54</v>
      </c>
      <c r="AQ131">
        <v>129</v>
      </c>
      <c r="AR131">
        <v>117.630444</v>
      </c>
      <c r="AS131" s="14">
        <v>0.96545174780167875</v>
      </c>
      <c r="AT131">
        <v>32.637999999999998</v>
      </c>
      <c r="AU131" s="14">
        <v>0.96382482355373111</v>
      </c>
      <c r="AV131">
        <v>54</v>
      </c>
      <c r="AX131">
        <v>129</v>
      </c>
      <c r="AY131">
        <v>119.604077</v>
      </c>
      <c r="AZ131" s="14">
        <v>0.96749377041399909</v>
      </c>
      <c r="BA131">
        <v>33.177999999999997</v>
      </c>
      <c r="BB131" s="14">
        <v>0.966612282950705</v>
      </c>
      <c r="BC131">
        <v>54</v>
      </c>
    </row>
    <row r="132" spans="15:55" x14ac:dyDescent="0.35">
      <c r="O132">
        <v>130</v>
      </c>
      <c r="P132">
        <v>119.268601</v>
      </c>
      <c r="Q132" s="14">
        <v>0.97219383781968383</v>
      </c>
      <c r="R132">
        <v>33.014000000000003</v>
      </c>
      <c r="S132" s="14">
        <v>0.97288854835857852</v>
      </c>
      <c r="T132">
        <v>54</v>
      </c>
      <c r="V132">
        <v>130</v>
      </c>
      <c r="W132">
        <v>119.386668</v>
      </c>
      <c r="X132" s="14">
        <v>0.97401781667735554</v>
      </c>
      <c r="Y132">
        <v>32.988999999999997</v>
      </c>
      <c r="Z132" s="14">
        <v>0.97375878151012452</v>
      </c>
      <c r="AA132">
        <v>54</v>
      </c>
      <c r="AC132">
        <v>130</v>
      </c>
      <c r="AD132">
        <v>118.530427</v>
      </c>
      <c r="AE132" s="14">
        <v>0.97623246145153741</v>
      </c>
      <c r="AF132">
        <v>32.746000000000002</v>
      </c>
      <c r="AG132" s="14">
        <v>0.97478641383621589</v>
      </c>
      <c r="AH132">
        <v>54</v>
      </c>
      <c r="AJ132">
        <v>130</v>
      </c>
      <c r="AK132">
        <v>118.864193</v>
      </c>
      <c r="AL132" s="14">
        <v>0.96582131275171335</v>
      </c>
      <c r="AM132">
        <v>32.930999999999997</v>
      </c>
      <c r="AN132" s="14">
        <v>0.96328906569940909</v>
      </c>
      <c r="AO132">
        <v>54</v>
      </c>
      <c r="AQ132">
        <v>130</v>
      </c>
      <c r="AR132">
        <v>117.627951</v>
      </c>
      <c r="AS132" s="14">
        <v>0.96543128650675014</v>
      </c>
      <c r="AT132">
        <v>32.634</v>
      </c>
      <c r="AU132" s="14">
        <v>0.96370670052860052</v>
      </c>
      <c r="AV132">
        <v>54</v>
      </c>
      <c r="AX132">
        <v>130</v>
      </c>
      <c r="AY132">
        <v>119.549643</v>
      </c>
      <c r="AZ132" s="14">
        <v>0.96705344632790025</v>
      </c>
      <c r="BA132">
        <v>33.164000000000001</v>
      </c>
      <c r="BB132" s="14">
        <v>0.96620440508099303</v>
      </c>
      <c r="BC132">
        <v>54</v>
      </c>
    </row>
    <row r="133" spans="15:55" x14ac:dyDescent="0.35">
      <c r="O133">
        <v>131</v>
      </c>
      <c r="P133">
        <v>119.28462500000001</v>
      </c>
      <c r="Q133" s="14">
        <v>0.97232445420930025</v>
      </c>
      <c r="R133">
        <v>33.015000000000001</v>
      </c>
      <c r="S133" s="14">
        <v>0.97291801732775396</v>
      </c>
      <c r="T133">
        <v>54</v>
      </c>
      <c r="V133">
        <v>131</v>
      </c>
      <c r="W133">
        <v>119.332674</v>
      </c>
      <c r="X133" s="14">
        <v>0.97357730586593327</v>
      </c>
      <c r="Y133">
        <v>32.975000000000001</v>
      </c>
      <c r="Z133" s="14">
        <v>0.97334553397485102</v>
      </c>
      <c r="AA133">
        <v>54</v>
      </c>
      <c r="AC133">
        <v>131</v>
      </c>
      <c r="AD133">
        <v>118.46785800000001</v>
      </c>
      <c r="AE133" s="14">
        <v>0.97571713479300304</v>
      </c>
      <c r="AF133">
        <v>32.729999999999997</v>
      </c>
      <c r="AG133" s="14">
        <v>0.97431012413300366</v>
      </c>
      <c r="AH133">
        <v>54</v>
      </c>
      <c r="AJ133">
        <v>131</v>
      </c>
      <c r="AK133">
        <v>118.846045</v>
      </c>
      <c r="AL133" s="14">
        <v>0.96567385265678118</v>
      </c>
      <c r="AM133">
        <v>32.926000000000002</v>
      </c>
      <c r="AN133" s="14">
        <v>0.96314280699701638</v>
      </c>
      <c r="AO133">
        <v>54</v>
      </c>
      <c r="AQ133">
        <v>131</v>
      </c>
      <c r="AR133">
        <v>117.61638000000001</v>
      </c>
      <c r="AS133" s="14">
        <v>0.96533631753618498</v>
      </c>
      <c r="AT133">
        <v>32.628999999999998</v>
      </c>
      <c r="AU133" s="14">
        <v>0.96355904674718718</v>
      </c>
      <c r="AV133">
        <v>54</v>
      </c>
      <c r="AX133">
        <v>131</v>
      </c>
      <c r="AY133">
        <v>119.49160999999999</v>
      </c>
      <c r="AZ133" s="14">
        <v>0.96658400943756384</v>
      </c>
      <c r="BA133">
        <v>33.148000000000003</v>
      </c>
      <c r="BB133" s="14">
        <v>0.9657382589441792</v>
      </c>
      <c r="BC133">
        <v>54</v>
      </c>
    </row>
    <row r="134" spans="15:55" x14ac:dyDescent="0.35">
      <c r="O134">
        <v>132</v>
      </c>
      <c r="P134">
        <v>119.279977</v>
      </c>
      <c r="Q134" s="14">
        <v>0.97228656697896221</v>
      </c>
      <c r="R134">
        <v>33.012999999999998</v>
      </c>
      <c r="S134" s="14">
        <v>0.97285907938940297</v>
      </c>
      <c r="T134">
        <v>54</v>
      </c>
      <c r="V134">
        <v>132</v>
      </c>
      <c r="W134">
        <v>119.306336</v>
      </c>
      <c r="X134" s="14">
        <v>0.9733624269210277</v>
      </c>
      <c r="Y134">
        <v>32.969000000000001</v>
      </c>
      <c r="Z134" s="14">
        <v>0.97316842788830515</v>
      </c>
      <c r="AA134">
        <v>54</v>
      </c>
      <c r="AC134">
        <v>132</v>
      </c>
      <c r="AD134">
        <v>118.432706</v>
      </c>
      <c r="AE134" s="14">
        <v>0.97542761821609114</v>
      </c>
      <c r="AF134">
        <v>32.720999999999997</v>
      </c>
      <c r="AG134" s="14">
        <v>0.97404221117494694</v>
      </c>
      <c r="AH134">
        <v>54</v>
      </c>
      <c r="AJ134">
        <v>132</v>
      </c>
      <c r="AK134">
        <v>118.795492</v>
      </c>
      <c r="AL134" s="14">
        <v>0.96526308837536678</v>
      </c>
      <c r="AM134">
        <v>32.911000000000001</v>
      </c>
      <c r="AN134" s="14">
        <v>0.96270403088983802</v>
      </c>
      <c r="AO134">
        <v>54</v>
      </c>
      <c r="AQ134">
        <v>132</v>
      </c>
      <c r="AR134">
        <v>117.538425</v>
      </c>
      <c r="AS134" s="14">
        <v>0.96469650195409062</v>
      </c>
      <c r="AT134">
        <v>32.610999999999997</v>
      </c>
      <c r="AU134" s="14">
        <v>0.96302749313409908</v>
      </c>
      <c r="AV134">
        <v>54</v>
      </c>
      <c r="AX134">
        <v>132</v>
      </c>
      <c r="AY134">
        <v>119.470477</v>
      </c>
      <c r="AZ134" s="14">
        <v>0.96641306170431762</v>
      </c>
      <c r="BA134">
        <v>33.143000000000001</v>
      </c>
      <c r="BB134" s="14">
        <v>0.96559258827642469</v>
      </c>
      <c r="BC134">
        <v>54</v>
      </c>
    </row>
    <row r="135" spans="15:55" x14ac:dyDescent="0.35">
      <c r="O135">
        <v>133</v>
      </c>
      <c r="P135">
        <v>119.23078700000001</v>
      </c>
      <c r="Q135" s="14">
        <v>0.97188560465961427</v>
      </c>
      <c r="R135">
        <v>32.997999999999998</v>
      </c>
      <c r="S135" s="14">
        <v>0.97241704485177105</v>
      </c>
      <c r="T135">
        <v>54</v>
      </c>
      <c r="V135">
        <v>133</v>
      </c>
      <c r="W135">
        <v>119.31982499999999</v>
      </c>
      <c r="X135" s="14">
        <v>0.973472477117999</v>
      </c>
      <c r="Y135">
        <v>32.970999999999997</v>
      </c>
      <c r="Z135" s="14">
        <v>0.97322746325048692</v>
      </c>
      <c r="AA135">
        <v>54</v>
      </c>
      <c r="AC135">
        <v>133</v>
      </c>
      <c r="AD135">
        <v>118.452764</v>
      </c>
      <c r="AE135" s="14">
        <v>0.97559281858874991</v>
      </c>
      <c r="AF135">
        <v>32.725000000000001</v>
      </c>
      <c r="AG135" s="14">
        <v>0.97416128360075005</v>
      </c>
      <c r="AH135">
        <v>54</v>
      </c>
      <c r="AJ135">
        <v>133</v>
      </c>
      <c r="AK135">
        <v>118.734121</v>
      </c>
      <c r="AL135" s="14">
        <v>0.96476442331662293</v>
      </c>
      <c r="AM135">
        <v>32.895000000000003</v>
      </c>
      <c r="AN135" s="14">
        <v>0.96223600304218115</v>
      </c>
      <c r="AO135">
        <v>54</v>
      </c>
      <c r="AQ135">
        <v>133</v>
      </c>
      <c r="AR135">
        <v>117.48338800000001</v>
      </c>
      <c r="AS135" s="14">
        <v>0.96424478583335771</v>
      </c>
      <c r="AT135">
        <v>32.597999999999999</v>
      </c>
      <c r="AU135" s="14">
        <v>0.96264359330242444</v>
      </c>
      <c r="AV135">
        <v>54</v>
      </c>
      <c r="AX135">
        <v>133</v>
      </c>
      <c r="AY135">
        <v>119.482713</v>
      </c>
      <c r="AZ135" s="14">
        <v>0.9665120403852433</v>
      </c>
      <c r="BA135">
        <v>33.146000000000001</v>
      </c>
      <c r="BB135" s="14">
        <v>0.96567999067707733</v>
      </c>
      <c r="BC135">
        <v>54</v>
      </c>
    </row>
    <row r="136" spans="15:55" x14ac:dyDescent="0.35">
      <c r="O136">
        <v>134</v>
      </c>
      <c r="P136">
        <v>119.189385</v>
      </c>
      <c r="Q136" s="14">
        <v>0.97154812464445572</v>
      </c>
      <c r="R136">
        <v>32.987000000000002</v>
      </c>
      <c r="S136" s="14">
        <v>0.97209288619084122</v>
      </c>
      <c r="T136">
        <v>54</v>
      </c>
      <c r="V136">
        <v>134</v>
      </c>
      <c r="W136">
        <v>119.329317</v>
      </c>
      <c r="X136" s="14">
        <v>0.97354991773403088</v>
      </c>
      <c r="Y136">
        <v>32.972000000000001</v>
      </c>
      <c r="Z136" s="14">
        <v>0.97325698093157809</v>
      </c>
      <c r="AA136">
        <v>54</v>
      </c>
      <c r="AC136">
        <v>134</v>
      </c>
      <c r="AD136">
        <v>118.471593</v>
      </c>
      <c r="AE136" s="14">
        <v>0.97574789675291329</v>
      </c>
      <c r="AF136">
        <v>32.728000000000002</v>
      </c>
      <c r="AG136" s="14">
        <v>0.97425058792010233</v>
      </c>
      <c r="AH136">
        <v>54</v>
      </c>
      <c r="AJ136">
        <v>134</v>
      </c>
      <c r="AK136">
        <v>118.693609</v>
      </c>
      <c r="AL136" s="14">
        <v>0.96443524636236388</v>
      </c>
      <c r="AM136">
        <v>32.884</v>
      </c>
      <c r="AN136" s="14">
        <v>0.96191423389691688</v>
      </c>
      <c r="AO136">
        <v>54</v>
      </c>
      <c r="AQ136">
        <v>134</v>
      </c>
      <c r="AR136">
        <v>117.458545</v>
      </c>
      <c r="AS136" s="14">
        <v>0.96404088693648171</v>
      </c>
      <c r="AT136">
        <v>32.591999999999999</v>
      </c>
      <c r="AU136" s="14">
        <v>0.96246640876472844</v>
      </c>
      <c r="AV136">
        <v>54</v>
      </c>
      <c r="AX136">
        <v>134</v>
      </c>
      <c r="AY136">
        <v>119.493853</v>
      </c>
      <c r="AZ136" s="14">
        <v>0.96660215337196365</v>
      </c>
      <c r="BA136">
        <v>33.145000000000003</v>
      </c>
      <c r="BB136" s="14">
        <v>0.96565085654352656</v>
      </c>
      <c r="BC136">
        <v>54</v>
      </c>
    </row>
    <row r="137" spans="15:55" x14ac:dyDescent="0.35">
      <c r="O137">
        <v>135</v>
      </c>
      <c r="P137">
        <v>119.178455</v>
      </c>
      <c r="Q137" s="14">
        <v>0.97145903096381991</v>
      </c>
      <c r="R137">
        <v>32.981999999999999</v>
      </c>
      <c r="S137" s="14">
        <v>0.9719455413449638</v>
      </c>
      <c r="T137">
        <v>54</v>
      </c>
      <c r="V137">
        <v>135</v>
      </c>
      <c r="W137">
        <v>119.319159</v>
      </c>
      <c r="X137" s="14">
        <v>0.97346704354759483</v>
      </c>
      <c r="Y137">
        <v>32.966999999999999</v>
      </c>
      <c r="Z137" s="14">
        <v>0.97310939252612316</v>
      </c>
      <c r="AA137">
        <v>54</v>
      </c>
      <c r="AC137">
        <v>135</v>
      </c>
      <c r="AD137">
        <v>118.463087</v>
      </c>
      <c r="AE137" s="14">
        <v>0.97567784019842962</v>
      </c>
      <c r="AF137">
        <v>32.723999999999997</v>
      </c>
      <c r="AG137" s="14">
        <v>0.97413151549429922</v>
      </c>
      <c r="AH137">
        <v>54</v>
      </c>
      <c r="AJ137">
        <v>135</v>
      </c>
      <c r="AK137">
        <v>118.706024</v>
      </c>
      <c r="AL137" s="14">
        <v>0.96453612343303741</v>
      </c>
      <c r="AM137">
        <v>32.884</v>
      </c>
      <c r="AN137" s="14">
        <v>0.96191423389691688</v>
      </c>
      <c r="AO137">
        <v>54</v>
      </c>
      <c r="AQ137">
        <v>135</v>
      </c>
      <c r="AR137">
        <v>117.46083299999999</v>
      </c>
      <c r="AS137" s="14">
        <v>0.96405966569412171</v>
      </c>
      <c r="AT137">
        <v>32.590000000000003</v>
      </c>
      <c r="AU137" s="14">
        <v>0.96240734725216326</v>
      </c>
      <c r="AV137">
        <v>54</v>
      </c>
      <c r="AX137">
        <v>135</v>
      </c>
      <c r="AY137">
        <v>119.45520999999999</v>
      </c>
      <c r="AZ137" s="14">
        <v>0.96628956484899786</v>
      </c>
      <c r="BA137">
        <v>33.134</v>
      </c>
      <c r="BB137" s="14">
        <v>0.96533038107446689</v>
      </c>
      <c r="BC137">
        <v>54</v>
      </c>
    </row>
    <row r="138" spans="15:55" x14ac:dyDescent="0.35">
      <c r="O138">
        <v>136</v>
      </c>
      <c r="P138">
        <v>119.21572500000001</v>
      </c>
      <c r="Q138" s="14">
        <v>0.97176282981810136</v>
      </c>
      <c r="R138">
        <v>32.991999999999997</v>
      </c>
      <c r="S138" s="14">
        <v>0.97224023103671831</v>
      </c>
      <c r="T138">
        <v>54</v>
      </c>
      <c r="V138">
        <v>136</v>
      </c>
      <c r="W138">
        <v>119.26326</v>
      </c>
      <c r="X138" s="14">
        <v>0.973010990766773</v>
      </c>
      <c r="Y138">
        <v>32.953000000000003</v>
      </c>
      <c r="Z138" s="14">
        <v>0.97269614499084955</v>
      </c>
      <c r="AA138">
        <v>54</v>
      </c>
      <c r="AC138">
        <v>136</v>
      </c>
      <c r="AD138">
        <v>118.406398</v>
      </c>
      <c r="AE138" s="14">
        <v>0.9752109420069025</v>
      </c>
      <c r="AF138">
        <v>32.71</v>
      </c>
      <c r="AG138" s="14">
        <v>0.97371476200398888</v>
      </c>
      <c r="AH138">
        <v>54</v>
      </c>
      <c r="AJ138">
        <v>136</v>
      </c>
      <c r="AK138">
        <v>118.712903</v>
      </c>
      <c r="AL138" s="14">
        <v>0.96459201818689677</v>
      </c>
      <c r="AM138">
        <v>32.884999999999998</v>
      </c>
      <c r="AN138" s="14">
        <v>0.9619434856373954</v>
      </c>
      <c r="AO138">
        <v>54</v>
      </c>
      <c r="AQ138">
        <v>136</v>
      </c>
      <c r="AR138">
        <v>117.464009</v>
      </c>
      <c r="AS138" s="14">
        <v>0.96408573271084597</v>
      </c>
      <c r="AT138">
        <v>32.588000000000001</v>
      </c>
      <c r="AU138" s="14">
        <v>0.96234828573959785</v>
      </c>
      <c r="AV138">
        <v>54</v>
      </c>
      <c r="AX138">
        <v>136</v>
      </c>
      <c r="AY138">
        <v>119.39482</v>
      </c>
      <c r="AZ138" s="14">
        <v>0.96580106186263814</v>
      </c>
      <c r="BA138">
        <v>33.119</v>
      </c>
      <c r="BB138" s="14">
        <v>0.96489336907120382</v>
      </c>
      <c r="BC138">
        <v>54</v>
      </c>
    </row>
    <row r="139" spans="15:55" x14ac:dyDescent="0.35">
      <c r="O139">
        <v>137</v>
      </c>
      <c r="P139">
        <v>119.216672</v>
      </c>
      <c r="Q139" s="14">
        <v>0.97177054909674376</v>
      </c>
      <c r="R139">
        <v>32.99</v>
      </c>
      <c r="S139" s="14">
        <v>0.97218129309836754</v>
      </c>
      <c r="T139">
        <v>54</v>
      </c>
      <c r="V139">
        <v>137</v>
      </c>
      <c r="W139">
        <v>119.223378</v>
      </c>
      <c r="X139" s="14">
        <v>0.97268561290661926</v>
      </c>
      <c r="Y139">
        <v>32.942999999999998</v>
      </c>
      <c r="Z139" s="14">
        <v>0.97240096817993971</v>
      </c>
      <c r="AA139">
        <v>54</v>
      </c>
      <c r="AC139">
        <v>137</v>
      </c>
      <c r="AD139">
        <v>118.363258</v>
      </c>
      <c r="AE139" s="14">
        <v>0.97485563519283858</v>
      </c>
      <c r="AF139">
        <v>32.698</v>
      </c>
      <c r="AG139" s="14">
        <v>0.97335754472657987</v>
      </c>
      <c r="AH139">
        <v>54</v>
      </c>
      <c r="AJ139">
        <v>137</v>
      </c>
      <c r="AK139">
        <v>118.684192</v>
      </c>
      <c r="AL139" s="14">
        <v>0.96435872929635236</v>
      </c>
      <c r="AM139">
        <v>32.874000000000002</v>
      </c>
      <c r="AN139" s="14">
        <v>0.96162171649213135</v>
      </c>
      <c r="AO139">
        <v>54</v>
      </c>
      <c r="AQ139">
        <v>137</v>
      </c>
      <c r="AR139">
        <v>117.418092</v>
      </c>
      <c r="AS139" s="14">
        <v>0.9637088689807064</v>
      </c>
      <c r="AT139">
        <v>32.575000000000003</v>
      </c>
      <c r="AU139" s="14">
        <v>0.96196438590792321</v>
      </c>
      <c r="AV139">
        <v>54</v>
      </c>
      <c r="AX139">
        <v>137</v>
      </c>
      <c r="AY139">
        <v>119.373516</v>
      </c>
      <c r="AZ139" s="14">
        <v>0.96562873088695667</v>
      </c>
      <c r="BA139">
        <v>33.112000000000002</v>
      </c>
      <c r="BB139" s="14">
        <v>0.96468943013634789</v>
      </c>
      <c r="BC139">
        <v>54</v>
      </c>
    </row>
    <row r="140" spans="15:55" x14ac:dyDescent="0.35">
      <c r="O140">
        <v>138</v>
      </c>
      <c r="P140">
        <v>119.166252</v>
      </c>
      <c r="Q140" s="14">
        <v>0.97135956068158769</v>
      </c>
      <c r="R140">
        <v>32.975999999999999</v>
      </c>
      <c r="S140" s="14">
        <v>0.97176872752991106</v>
      </c>
      <c r="T140">
        <v>54</v>
      </c>
      <c r="V140">
        <v>138</v>
      </c>
      <c r="W140">
        <v>119.21359099999999</v>
      </c>
      <c r="X140" s="14">
        <v>0.97260576552892186</v>
      </c>
      <c r="Y140">
        <v>32.939</v>
      </c>
      <c r="Z140" s="14">
        <v>0.97228289745557583</v>
      </c>
      <c r="AA140">
        <v>54</v>
      </c>
      <c r="AC140">
        <v>138</v>
      </c>
      <c r="AD140">
        <v>118.35865200000001</v>
      </c>
      <c r="AE140" s="14">
        <v>0.97481769956034947</v>
      </c>
      <c r="AF140">
        <v>32.695999999999998</v>
      </c>
      <c r="AG140" s="14">
        <v>0.97329800851367831</v>
      </c>
      <c r="AH140">
        <v>54</v>
      </c>
      <c r="AJ140">
        <v>138</v>
      </c>
      <c r="AK140">
        <v>118.631004</v>
      </c>
      <c r="AL140" s="14">
        <v>0.96392655453719145</v>
      </c>
      <c r="AM140">
        <v>32.860999999999997</v>
      </c>
      <c r="AN140" s="14">
        <v>0.96124144386590993</v>
      </c>
      <c r="AO140">
        <v>54</v>
      </c>
      <c r="AQ140">
        <v>138</v>
      </c>
      <c r="AR140">
        <v>117.356804</v>
      </c>
      <c r="AS140" s="14">
        <v>0.96320584778392104</v>
      </c>
      <c r="AT140">
        <v>32.558999999999997</v>
      </c>
      <c r="AU140" s="14">
        <v>0.9614918938074003</v>
      </c>
      <c r="AV140">
        <v>54</v>
      </c>
      <c r="AX140">
        <v>138</v>
      </c>
      <c r="AY140">
        <v>119.36895199999999</v>
      </c>
      <c r="AZ140" s="14">
        <v>0.96559181206546718</v>
      </c>
      <c r="BA140">
        <v>33.109000000000002</v>
      </c>
      <c r="BB140" s="14">
        <v>0.96460202773569526</v>
      </c>
      <c r="BC140">
        <v>54</v>
      </c>
    </row>
    <row r="141" spans="15:55" x14ac:dyDescent="0.35">
      <c r="O141">
        <v>139</v>
      </c>
      <c r="P141">
        <v>119.11895</v>
      </c>
      <c r="Q141" s="14">
        <v>0.97097398801174017</v>
      </c>
      <c r="R141">
        <v>32.963999999999999</v>
      </c>
      <c r="S141" s="14">
        <v>0.97141509989980557</v>
      </c>
      <c r="T141">
        <v>54</v>
      </c>
      <c r="V141">
        <v>139</v>
      </c>
      <c r="W141">
        <v>119.240737</v>
      </c>
      <c r="X141" s="14">
        <v>0.972827236553237</v>
      </c>
      <c r="Y141">
        <v>32.945</v>
      </c>
      <c r="Z141" s="14">
        <v>0.9724600035421217</v>
      </c>
      <c r="AA141">
        <v>54</v>
      </c>
      <c r="AC141">
        <v>139</v>
      </c>
      <c r="AD141">
        <v>118.448599</v>
      </c>
      <c r="AE141" s="14">
        <v>0.97555851509128633</v>
      </c>
      <c r="AF141">
        <v>32.723999999999997</v>
      </c>
      <c r="AG141" s="14">
        <v>0.97413151549429922</v>
      </c>
      <c r="AH141">
        <v>54</v>
      </c>
      <c r="AJ141">
        <v>139</v>
      </c>
      <c r="AK141">
        <v>118.59539700000001</v>
      </c>
      <c r="AL141" s="14">
        <v>0.96363723276067337</v>
      </c>
      <c r="AM141">
        <v>32.850999999999999</v>
      </c>
      <c r="AN141" s="14">
        <v>0.9609489264611244</v>
      </c>
      <c r="AO141">
        <v>54</v>
      </c>
      <c r="AQ141">
        <v>139</v>
      </c>
      <c r="AR141">
        <v>117.345141</v>
      </c>
      <c r="AS141" s="14">
        <v>0.96311012372345073</v>
      </c>
      <c r="AT141">
        <v>32.555</v>
      </c>
      <c r="AU141" s="14">
        <v>0.96137377078226971</v>
      </c>
      <c r="AV141">
        <v>54</v>
      </c>
      <c r="AX141">
        <v>139</v>
      </c>
      <c r="AY141">
        <v>119.347115</v>
      </c>
      <c r="AZ141" s="14">
        <v>0.96541516957973883</v>
      </c>
      <c r="BA141">
        <v>33.101999999999997</v>
      </c>
      <c r="BB141" s="14">
        <v>0.96439808880083899</v>
      </c>
      <c r="BC141">
        <v>54</v>
      </c>
    </row>
    <row r="142" spans="15:55" x14ac:dyDescent="0.35">
      <c r="O142">
        <v>140</v>
      </c>
      <c r="P142">
        <v>118.87287600000001</v>
      </c>
      <c r="Q142" s="14">
        <v>0.96896816565412203</v>
      </c>
      <c r="R142">
        <v>32.911000000000001</v>
      </c>
      <c r="S142" s="14">
        <v>0.9698532445335063</v>
      </c>
      <c r="T142">
        <v>54</v>
      </c>
      <c r="V142">
        <v>140</v>
      </c>
      <c r="W142">
        <v>119.219144</v>
      </c>
      <c r="X142" s="14">
        <v>0.97265106975783311</v>
      </c>
      <c r="Y142">
        <v>32.936999999999998</v>
      </c>
      <c r="Z142" s="14">
        <v>0.97222386209339384</v>
      </c>
      <c r="AA142">
        <v>54</v>
      </c>
      <c r="AC142">
        <v>140</v>
      </c>
      <c r="AD142">
        <v>118.594555</v>
      </c>
      <c r="AE142" s="14">
        <v>0.9767606282427358</v>
      </c>
      <c r="AF142">
        <v>32.749000000000002</v>
      </c>
      <c r="AG142" s="14">
        <v>0.97487571815556806</v>
      </c>
      <c r="AH142">
        <v>54</v>
      </c>
      <c r="AJ142">
        <v>140</v>
      </c>
      <c r="AK142">
        <v>118.58777600000001</v>
      </c>
      <c r="AL142" s="14">
        <v>0.9635753089462874</v>
      </c>
      <c r="AM142">
        <v>32.847999999999999</v>
      </c>
      <c r="AN142" s="14">
        <v>0.96086117123968873</v>
      </c>
      <c r="AO142">
        <v>54</v>
      </c>
      <c r="AQ142">
        <v>140</v>
      </c>
      <c r="AR142">
        <v>117.33372</v>
      </c>
      <c r="AS142" s="14">
        <v>0.96301638587773075</v>
      </c>
      <c r="AT142">
        <v>32.549999999999997</v>
      </c>
      <c r="AU142" s="14">
        <v>0.96122611700085636</v>
      </c>
      <c r="AV142">
        <v>54</v>
      </c>
      <c r="AX142">
        <v>140</v>
      </c>
      <c r="AY142">
        <v>119.297898</v>
      </c>
      <c r="AZ142" s="14">
        <v>0.96501704652162223</v>
      </c>
      <c r="BA142">
        <v>33.088999999999999</v>
      </c>
      <c r="BB142" s="14">
        <v>0.96401934506467779</v>
      </c>
      <c r="BC142">
        <v>54</v>
      </c>
    </row>
    <row r="143" spans="15:55" x14ac:dyDescent="0.35">
      <c r="O143">
        <v>141</v>
      </c>
      <c r="P143">
        <v>119.108158</v>
      </c>
      <c r="Q143" s="14">
        <v>0.97088601921014628</v>
      </c>
      <c r="R143">
        <v>32.96</v>
      </c>
      <c r="S143" s="14">
        <v>0.97129722402310381</v>
      </c>
      <c r="T143">
        <v>54</v>
      </c>
      <c r="V143">
        <v>141</v>
      </c>
      <c r="W143">
        <v>119.17052200000001</v>
      </c>
      <c r="X143" s="14">
        <v>0.97225438648426621</v>
      </c>
      <c r="Y143">
        <v>32.923999999999999</v>
      </c>
      <c r="Z143" s="14">
        <v>0.97184013223921129</v>
      </c>
      <c r="AA143">
        <v>54</v>
      </c>
      <c r="AC143">
        <v>141</v>
      </c>
      <c r="AD143">
        <v>118.56161400000001</v>
      </c>
      <c r="AE143" s="14">
        <v>0.97648932175775471</v>
      </c>
      <c r="AF143">
        <v>32.74</v>
      </c>
      <c r="AG143" s="14">
        <v>0.97460780519751133</v>
      </c>
      <c r="AH143">
        <v>54</v>
      </c>
      <c r="AJ143">
        <v>141</v>
      </c>
      <c r="AK143">
        <v>118.642466</v>
      </c>
      <c r="AL143" s="14">
        <v>0.96401968808403482</v>
      </c>
      <c r="AM143">
        <v>32.86</v>
      </c>
      <c r="AN143" s="14">
        <v>0.96121219212543141</v>
      </c>
      <c r="AO143">
        <v>54</v>
      </c>
      <c r="AQ143">
        <v>141</v>
      </c>
      <c r="AR143">
        <v>117.381587</v>
      </c>
      <c r="AS143" s="14">
        <v>0.96340925423085888</v>
      </c>
      <c r="AT143">
        <v>32.558999999999997</v>
      </c>
      <c r="AU143" s="14">
        <v>0.9614918938074003</v>
      </c>
      <c r="AV143">
        <v>54</v>
      </c>
      <c r="AX143">
        <v>141</v>
      </c>
      <c r="AY143">
        <v>119.248375</v>
      </c>
      <c r="AZ143" s="14">
        <v>0.96461644818756853</v>
      </c>
      <c r="BA143">
        <v>33.073999999999998</v>
      </c>
      <c r="BB143" s="14">
        <v>0.96358233306141472</v>
      </c>
      <c r="BC143">
        <v>54</v>
      </c>
    </row>
    <row r="144" spans="15:55" x14ac:dyDescent="0.35">
      <c r="O144">
        <v>142</v>
      </c>
      <c r="P144">
        <v>119.13907</v>
      </c>
      <c r="Q144" s="14">
        <v>0.9711379921155272</v>
      </c>
      <c r="R144">
        <v>32.965000000000003</v>
      </c>
      <c r="S144" s="14">
        <v>0.97144456886898112</v>
      </c>
      <c r="T144">
        <v>54</v>
      </c>
      <c r="V144">
        <v>142</v>
      </c>
      <c r="W144">
        <v>119.131199</v>
      </c>
      <c r="X144" s="14">
        <v>0.97193356923350571</v>
      </c>
      <c r="Y144">
        <v>32.912999999999997</v>
      </c>
      <c r="Z144" s="14">
        <v>0.9715154377472105</v>
      </c>
      <c r="AA144">
        <v>54</v>
      </c>
      <c r="AC144">
        <v>142</v>
      </c>
      <c r="AD144">
        <v>118.523161</v>
      </c>
      <c r="AE144" s="14">
        <v>0.97617261770302122</v>
      </c>
      <c r="AF144">
        <v>32.729999999999997</v>
      </c>
      <c r="AG144" s="14">
        <v>0.97431012413300366</v>
      </c>
      <c r="AH144">
        <v>54</v>
      </c>
      <c r="AJ144">
        <v>142</v>
      </c>
      <c r="AK144">
        <v>118.64591</v>
      </c>
      <c r="AL144" s="14">
        <v>0.96404767202534769</v>
      </c>
      <c r="AM144">
        <v>32.853999999999999</v>
      </c>
      <c r="AN144" s="14">
        <v>0.96103668168256007</v>
      </c>
      <c r="AO144">
        <v>54</v>
      </c>
      <c r="AQ144">
        <v>142</v>
      </c>
      <c r="AR144">
        <v>117.319942</v>
      </c>
      <c r="AS144" s="14">
        <v>0.96290330295694182</v>
      </c>
      <c r="AT144">
        <v>32.542000000000002</v>
      </c>
      <c r="AU144" s="14">
        <v>0.96098987095059507</v>
      </c>
      <c r="AV144">
        <v>54</v>
      </c>
      <c r="AX144">
        <v>142</v>
      </c>
      <c r="AY144">
        <v>118.89621099999999</v>
      </c>
      <c r="AZ144" s="14">
        <v>0.96176774532801579</v>
      </c>
      <c r="BA144">
        <v>32.978000000000002</v>
      </c>
      <c r="BB144" s="14">
        <v>0.96078545624053147</v>
      </c>
      <c r="BC144">
        <v>54</v>
      </c>
    </row>
    <row r="145" spans="15:55" x14ac:dyDescent="0.35">
      <c r="O145">
        <v>143</v>
      </c>
      <c r="P145">
        <v>119.124593</v>
      </c>
      <c r="Q145" s="14">
        <v>0.9710199857829962</v>
      </c>
      <c r="R145">
        <v>32.959000000000003</v>
      </c>
      <c r="S145" s="14">
        <v>0.97126775505392837</v>
      </c>
      <c r="T145">
        <v>54</v>
      </c>
      <c r="V145">
        <v>143</v>
      </c>
      <c r="W145">
        <v>118.93508799999999</v>
      </c>
      <c r="X145" s="14">
        <v>0.97033359487082049</v>
      </c>
      <c r="Y145">
        <v>32.874000000000002</v>
      </c>
      <c r="Z145" s="14">
        <v>0.97036424818466271</v>
      </c>
      <c r="AA145">
        <v>54</v>
      </c>
      <c r="AC145">
        <v>143</v>
      </c>
      <c r="AD145">
        <v>117.976782</v>
      </c>
      <c r="AE145" s="14">
        <v>0.97167256712904126</v>
      </c>
      <c r="AF145">
        <v>32.610999999999997</v>
      </c>
      <c r="AG145" s="14">
        <v>0.97076771946536466</v>
      </c>
      <c r="AH145">
        <v>54</v>
      </c>
      <c r="AJ145">
        <v>143</v>
      </c>
      <c r="AK145">
        <v>118.590351</v>
      </c>
      <c r="AL145" s="14">
        <v>0.96359623189892396</v>
      </c>
      <c r="AM145">
        <v>32.840000000000003</v>
      </c>
      <c r="AN145" s="14">
        <v>0.96062715731586035</v>
      </c>
      <c r="AO145">
        <v>54</v>
      </c>
      <c r="AQ145">
        <v>143</v>
      </c>
      <c r="AR145">
        <v>117.265596</v>
      </c>
      <c r="AS145" s="14">
        <v>0.96245725821799633</v>
      </c>
      <c r="AT145">
        <v>32.527000000000001</v>
      </c>
      <c r="AU145" s="14">
        <v>0.96054690960635503</v>
      </c>
      <c r="AV145">
        <v>54</v>
      </c>
      <c r="AX145">
        <v>143</v>
      </c>
      <c r="AY145">
        <v>119.24081200000001</v>
      </c>
      <c r="AZ145" s="14">
        <v>0.96455527004407071</v>
      </c>
      <c r="BA145">
        <v>33.070999999999998</v>
      </c>
      <c r="BB145" s="14">
        <v>0.96349493066076219</v>
      </c>
      <c r="BC145">
        <v>54</v>
      </c>
    </row>
    <row r="146" spans="15:55" x14ac:dyDescent="0.35">
      <c r="O146">
        <v>144</v>
      </c>
      <c r="P146">
        <v>119.09570100000001</v>
      </c>
      <c r="Q146" s="14">
        <v>0.97078447849837324</v>
      </c>
      <c r="R146">
        <v>32.951000000000001</v>
      </c>
      <c r="S146" s="14">
        <v>0.97103200330052464</v>
      </c>
      <c r="T146">
        <v>54</v>
      </c>
      <c r="V146">
        <v>144</v>
      </c>
      <c r="W146">
        <v>119.165128</v>
      </c>
      <c r="X146" s="14">
        <v>0.97221037945910016</v>
      </c>
      <c r="Y146">
        <v>32.920999999999999</v>
      </c>
      <c r="Z146" s="14">
        <v>0.97175157919593835</v>
      </c>
      <c r="AA146">
        <v>54</v>
      </c>
      <c r="AC146">
        <v>144</v>
      </c>
      <c r="AD146">
        <v>118.339944</v>
      </c>
      <c r="AE146" s="14">
        <v>0.97466361796838119</v>
      </c>
      <c r="AF146">
        <v>32.686</v>
      </c>
      <c r="AG146" s="14">
        <v>0.97300032744917087</v>
      </c>
      <c r="AH146">
        <v>54</v>
      </c>
      <c r="AJ146">
        <v>144</v>
      </c>
      <c r="AK146">
        <v>118.527635</v>
      </c>
      <c r="AL146" s="14">
        <v>0.96308663815229811</v>
      </c>
      <c r="AM146">
        <v>32.823999999999998</v>
      </c>
      <c r="AN146" s="14">
        <v>0.96015912946820325</v>
      </c>
      <c r="AO146">
        <v>54</v>
      </c>
      <c r="AQ146">
        <v>144</v>
      </c>
      <c r="AR146">
        <v>116.894587</v>
      </c>
      <c r="AS146" s="14">
        <v>0.95941220223316848</v>
      </c>
      <c r="AT146">
        <v>32.441000000000003</v>
      </c>
      <c r="AU146" s="14">
        <v>0.95800726456604557</v>
      </c>
      <c r="AV146">
        <v>54</v>
      </c>
      <c r="AX146">
        <v>144</v>
      </c>
      <c r="AY146">
        <v>119.30756599999999</v>
      </c>
      <c r="AZ146" s="14">
        <v>0.96509525229860715</v>
      </c>
      <c r="BA146">
        <v>33.085000000000001</v>
      </c>
      <c r="BB146" s="14">
        <v>0.96390280853047439</v>
      </c>
      <c r="BC146">
        <v>54</v>
      </c>
    </row>
    <row r="147" spans="15:55" x14ac:dyDescent="0.35">
      <c r="O147">
        <v>145</v>
      </c>
      <c r="P147">
        <v>118.826517</v>
      </c>
      <c r="Q147" s="14">
        <v>0.96859027965772737</v>
      </c>
      <c r="R147">
        <v>32.884</v>
      </c>
      <c r="S147" s="14">
        <v>0.96905758236576889</v>
      </c>
      <c r="T147">
        <v>54</v>
      </c>
      <c r="V147">
        <v>145</v>
      </c>
      <c r="W147">
        <v>119.200554</v>
      </c>
      <c r="X147" s="14">
        <v>0.97249940298033299</v>
      </c>
      <c r="Y147">
        <v>32.927999999999997</v>
      </c>
      <c r="Z147" s="14">
        <v>0.97195820296357505</v>
      </c>
      <c r="AA147">
        <v>54</v>
      </c>
      <c r="AC147">
        <v>145</v>
      </c>
      <c r="AD147">
        <v>118.38120600000001</v>
      </c>
      <c r="AE147" s="14">
        <v>0.9750034573230848</v>
      </c>
      <c r="AF147">
        <v>32.694000000000003</v>
      </c>
      <c r="AG147" s="14">
        <v>0.97323847230077687</v>
      </c>
      <c r="AH147">
        <v>54</v>
      </c>
      <c r="AJ147">
        <v>145</v>
      </c>
      <c r="AK147">
        <v>118.290646</v>
      </c>
      <c r="AL147" s="14">
        <v>0.96116100334747745</v>
      </c>
      <c r="AM147">
        <v>32.777000000000001</v>
      </c>
      <c r="AN147" s="14">
        <v>0.95878429766571116</v>
      </c>
      <c r="AO147">
        <v>54</v>
      </c>
      <c r="AQ147">
        <v>145</v>
      </c>
      <c r="AR147">
        <v>117.201167</v>
      </c>
      <c r="AS147" s="14">
        <v>0.96192845726695075</v>
      </c>
      <c r="AT147">
        <v>32.511000000000003</v>
      </c>
      <c r="AU147" s="14">
        <v>0.96007441750583244</v>
      </c>
      <c r="AV147">
        <v>54</v>
      </c>
      <c r="AX147">
        <v>145</v>
      </c>
      <c r="AY147">
        <v>119.331834</v>
      </c>
      <c r="AZ147" s="14">
        <v>0.96529155947650047</v>
      </c>
      <c r="BA147">
        <v>33.087000000000003</v>
      </c>
      <c r="BB147" s="14">
        <v>0.96396107679757614</v>
      </c>
      <c r="BC147">
        <v>54</v>
      </c>
    </row>
    <row r="148" spans="15:55" x14ac:dyDescent="0.35">
      <c r="O148">
        <v>146</v>
      </c>
      <c r="P148">
        <v>118.724445</v>
      </c>
      <c r="Q148" s="14">
        <v>0.96775826042901247</v>
      </c>
      <c r="R148">
        <v>32.859000000000002</v>
      </c>
      <c r="S148" s="14">
        <v>0.96832085813638247</v>
      </c>
      <c r="T148">
        <v>54</v>
      </c>
      <c r="V148">
        <v>146</v>
      </c>
      <c r="W148">
        <v>119.185211</v>
      </c>
      <c r="X148" s="14">
        <v>0.97237422689818209</v>
      </c>
      <c r="Y148">
        <v>32.921999999999997</v>
      </c>
      <c r="Z148" s="14">
        <v>0.97178109687702929</v>
      </c>
      <c r="AA148">
        <v>54</v>
      </c>
      <c r="AC148">
        <v>146</v>
      </c>
      <c r="AD148">
        <v>118.372865</v>
      </c>
      <c r="AE148" s="14">
        <v>0.97493475973068544</v>
      </c>
      <c r="AF148">
        <v>32.69</v>
      </c>
      <c r="AG148" s="14">
        <v>0.97311939987497376</v>
      </c>
      <c r="AH148">
        <v>54</v>
      </c>
      <c r="AJ148">
        <v>146</v>
      </c>
      <c r="AK148">
        <v>118.494229</v>
      </c>
      <c r="AL148" s="14">
        <v>0.96281520042189783</v>
      </c>
      <c r="AM148">
        <v>32.814</v>
      </c>
      <c r="AN148" s="14">
        <v>0.95986661206341772</v>
      </c>
      <c r="AO148">
        <v>54</v>
      </c>
      <c r="AQ148">
        <v>146</v>
      </c>
      <c r="AR148">
        <v>117.258512</v>
      </c>
      <c r="AS148" s="14">
        <v>0.96239911629530295</v>
      </c>
      <c r="AT148">
        <v>32.520000000000003</v>
      </c>
      <c r="AU148" s="14">
        <v>0.96034019431237649</v>
      </c>
      <c r="AV148">
        <v>54</v>
      </c>
      <c r="AX148">
        <v>146</v>
      </c>
      <c r="AY148">
        <v>119.304975</v>
      </c>
      <c r="AZ148" s="14">
        <v>0.96507429334451444</v>
      </c>
      <c r="BA148">
        <v>33.08</v>
      </c>
      <c r="BB148" s="14">
        <v>0.96375713786271999</v>
      </c>
      <c r="BC148">
        <v>54</v>
      </c>
    </row>
    <row r="149" spans="15:55" x14ac:dyDescent="0.35">
      <c r="O149">
        <v>147</v>
      </c>
      <c r="P149">
        <v>118.688396</v>
      </c>
      <c r="Q149" s="14">
        <v>0.96746441430886243</v>
      </c>
      <c r="R149">
        <v>32.848999999999997</v>
      </c>
      <c r="S149" s="14">
        <v>0.96802616844462774</v>
      </c>
      <c r="T149">
        <v>54</v>
      </c>
      <c r="V149">
        <v>147</v>
      </c>
      <c r="W149">
        <v>119.156237</v>
      </c>
      <c r="X149" s="14">
        <v>0.97213784211005483</v>
      </c>
      <c r="Y149">
        <v>32.912999999999997</v>
      </c>
      <c r="Z149" s="14">
        <v>0.9715154377472105</v>
      </c>
      <c r="AA149">
        <v>54</v>
      </c>
      <c r="AC149">
        <v>147</v>
      </c>
      <c r="AD149">
        <v>118.34630199999999</v>
      </c>
      <c r="AE149" s="14">
        <v>0.97471598330736631</v>
      </c>
      <c r="AF149">
        <v>32.683</v>
      </c>
      <c r="AG149" s="14">
        <v>0.97291102312981859</v>
      </c>
      <c r="AH149">
        <v>54</v>
      </c>
      <c r="AJ149">
        <v>147</v>
      </c>
      <c r="AK149">
        <v>118.52116700000001</v>
      </c>
      <c r="AL149" s="14">
        <v>0.96303408294544213</v>
      </c>
      <c r="AM149">
        <v>32.817</v>
      </c>
      <c r="AN149" s="14">
        <v>0.9599543672848535</v>
      </c>
      <c r="AO149">
        <v>54</v>
      </c>
      <c r="AQ149">
        <v>147</v>
      </c>
      <c r="AR149">
        <v>117.256557</v>
      </c>
      <c r="AS149" s="14">
        <v>0.96238307063481943</v>
      </c>
      <c r="AT149">
        <v>32.517000000000003</v>
      </c>
      <c r="AU149" s="14">
        <v>0.96025160204352844</v>
      </c>
      <c r="AV149">
        <v>54</v>
      </c>
      <c r="AX149">
        <v>147</v>
      </c>
      <c r="AY149">
        <v>119.17649</v>
      </c>
      <c r="AZ149" s="14">
        <v>0.96403496057083615</v>
      </c>
      <c r="BA149">
        <v>33.040999999999997</v>
      </c>
      <c r="BB149" s="14">
        <v>0.96262090665423605</v>
      </c>
      <c r="BC149">
        <v>54</v>
      </c>
    </row>
    <row r="150" spans="15:55" x14ac:dyDescent="0.35">
      <c r="O150">
        <v>148</v>
      </c>
      <c r="P150">
        <v>118.61615999999999</v>
      </c>
      <c r="Q150" s="14">
        <v>0.96687559718952065</v>
      </c>
      <c r="R150">
        <v>32.831000000000003</v>
      </c>
      <c r="S150" s="14">
        <v>0.96749572699946973</v>
      </c>
      <c r="T150">
        <v>54</v>
      </c>
      <c r="V150">
        <v>148</v>
      </c>
      <c r="W150">
        <v>118.88310799999999</v>
      </c>
      <c r="X150" s="14">
        <v>0.96990951530683689</v>
      </c>
      <c r="Y150">
        <v>32.843000000000004</v>
      </c>
      <c r="Z150" s="14">
        <v>0.96944920007084256</v>
      </c>
      <c r="AA150">
        <v>54</v>
      </c>
      <c r="AC150">
        <v>148</v>
      </c>
      <c r="AD150">
        <v>118.048511</v>
      </c>
      <c r="AE150" s="14">
        <v>0.972263336773594</v>
      </c>
      <c r="AF150">
        <v>32.604999999999997</v>
      </c>
      <c r="AG150" s="14">
        <v>0.97058911082666011</v>
      </c>
      <c r="AH150">
        <v>54</v>
      </c>
      <c r="AJ150">
        <v>148</v>
      </c>
      <c r="AK150">
        <v>118.50188</v>
      </c>
      <c r="AL150" s="14">
        <v>0.96287736799883883</v>
      </c>
      <c r="AM150">
        <v>32.808999999999997</v>
      </c>
      <c r="AN150" s="14">
        <v>0.9597203533610249</v>
      </c>
      <c r="AO150">
        <v>54</v>
      </c>
      <c r="AQ150">
        <v>148</v>
      </c>
      <c r="AR150">
        <v>117.228037</v>
      </c>
      <c r="AS150" s="14">
        <v>0.96214899276423604</v>
      </c>
      <c r="AT150">
        <v>32.506999999999998</v>
      </c>
      <c r="AU150" s="14">
        <v>0.95995629448070163</v>
      </c>
      <c r="AV150">
        <v>54</v>
      </c>
      <c r="AX150">
        <v>148</v>
      </c>
      <c r="AY150">
        <v>118.93998000000001</v>
      </c>
      <c r="AZ150" s="14">
        <v>0.96212179876749226</v>
      </c>
      <c r="BA150">
        <v>32.988</v>
      </c>
      <c r="BB150" s="14">
        <v>0.96107679757604014</v>
      </c>
      <c r="BC150">
        <v>54</v>
      </c>
    </row>
    <row r="151" spans="15:55" x14ac:dyDescent="0.35">
      <c r="O151">
        <v>149</v>
      </c>
      <c r="P151">
        <v>118.569827</v>
      </c>
      <c r="Q151" s="14">
        <v>0.96649792312685856</v>
      </c>
      <c r="R151">
        <v>32.819000000000003</v>
      </c>
      <c r="S151" s="14">
        <v>0.96714209936936424</v>
      </c>
      <c r="T151">
        <v>54</v>
      </c>
      <c r="V151">
        <v>149</v>
      </c>
      <c r="W151">
        <v>118.774879</v>
      </c>
      <c r="X151" s="14">
        <v>0.96902652748208951</v>
      </c>
      <c r="Y151">
        <v>32.819000000000003</v>
      </c>
      <c r="Z151" s="14">
        <v>0.96874077572465911</v>
      </c>
      <c r="AA151">
        <v>54</v>
      </c>
      <c r="AC151">
        <v>149</v>
      </c>
      <c r="AD151">
        <v>117.903871</v>
      </c>
      <c r="AE151" s="14">
        <v>0.97107206237428412</v>
      </c>
      <c r="AF151">
        <v>32.573999999999998</v>
      </c>
      <c r="AG151" s="14">
        <v>0.96966629952668693</v>
      </c>
      <c r="AH151">
        <v>54</v>
      </c>
      <c r="AJ151">
        <v>149</v>
      </c>
      <c r="AK151">
        <v>118.46935499999999</v>
      </c>
      <c r="AL151" s="14">
        <v>0.96261308876213669</v>
      </c>
      <c r="AM151">
        <v>32.801000000000002</v>
      </c>
      <c r="AN151" s="14">
        <v>0.95948633943719652</v>
      </c>
      <c r="AO151">
        <v>54</v>
      </c>
      <c r="AQ151">
        <v>149</v>
      </c>
      <c r="AR151">
        <v>117.074763</v>
      </c>
      <c r="AS151" s="14">
        <v>0.96089099656732846</v>
      </c>
      <c r="AT151">
        <v>32.466999999999999</v>
      </c>
      <c r="AU151" s="14">
        <v>0.95877506422939485</v>
      </c>
      <c r="AV151">
        <v>54</v>
      </c>
      <c r="AX151">
        <v>149</v>
      </c>
      <c r="AY151">
        <v>118.87985999999999</v>
      </c>
      <c r="AZ151" s="14">
        <v>0.96163547984813547</v>
      </c>
      <c r="BA151">
        <v>32.972999999999999</v>
      </c>
      <c r="BB151" s="14">
        <v>0.96063978557277707</v>
      </c>
      <c r="BC151">
        <v>54</v>
      </c>
    </row>
    <row r="152" spans="15:55" x14ac:dyDescent="0.35">
      <c r="O152">
        <v>150</v>
      </c>
      <c r="P152">
        <v>118.623457</v>
      </c>
      <c r="Q152" s="14">
        <v>0.96693507720668437</v>
      </c>
      <c r="R152">
        <v>32.832000000000001</v>
      </c>
      <c r="S152" s="14">
        <v>0.96752519596864506</v>
      </c>
      <c r="T152">
        <v>54</v>
      </c>
      <c r="V152">
        <v>150</v>
      </c>
      <c r="W152">
        <v>118.73871800000001</v>
      </c>
      <c r="X152" s="14">
        <v>0.96873150745297809</v>
      </c>
      <c r="Y152">
        <v>32.808999999999997</v>
      </c>
      <c r="Z152" s="14">
        <v>0.96844559891374926</v>
      </c>
      <c r="AA152">
        <v>54</v>
      </c>
      <c r="AC152">
        <v>150</v>
      </c>
      <c r="AD152">
        <v>117.868602</v>
      </c>
      <c r="AE152" s="14">
        <v>0.97078158216971244</v>
      </c>
      <c r="AF152">
        <v>32.564</v>
      </c>
      <c r="AG152" s="14">
        <v>0.96936861846217948</v>
      </c>
      <c r="AH152">
        <v>54</v>
      </c>
      <c r="AJ152">
        <v>150</v>
      </c>
      <c r="AK152">
        <v>118.16801100000001</v>
      </c>
      <c r="AL152" s="14">
        <v>0.96016454264976925</v>
      </c>
      <c r="AM152">
        <v>32.728000000000002</v>
      </c>
      <c r="AN152" s="14">
        <v>0.95735096238226181</v>
      </c>
      <c r="AO152">
        <v>54</v>
      </c>
      <c r="AQ152">
        <v>150</v>
      </c>
      <c r="AR152">
        <v>116.84674699999999</v>
      </c>
      <c r="AS152" s="14">
        <v>0.95901955548251239</v>
      </c>
      <c r="AT152">
        <v>32.415999999999997</v>
      </c>
      <c r="AU152" s="14">
        <v>0.95726899565897872</v>
      </c>
      <c r="AV152">
        <v>54</v>
      </c>
      <c r="AX152">
        <v>150</v>
      </c>
      <c r="AY152">
        <v>118.82168900000001</v>
      </c>
      <c r="AZ152" s="14">
        <v>0.96116492665688646</v>
      </c>
      <c r="BA152">
        <v>32.957999999999998</v>
      </c>
      <c r="BB152" s="14">
        <v>0.960202773569514</v>
      </c>
      <c r="BC152">
        <v>54</v>
      </c>
    </row>
    <row r="153" spans="15:55" x14ac:dyDescent="0.35">
      <c r="O153">
        <v>151</v>
      </c>
      <c r="P153">
        <v>118.740371</v>
      </c>
      <c r="Q153" s="14">
        <v>0.96788807799148313</v>
      </c>
      <c r="R153">
        <v>32.853999999999999</v>
      </c>
      <c r="S153" s="14">
        <v>0.96817351329050516</v>
      </c>
      <c r="T153">
        <v>26</v>
      </c>
      <c r="V153">
        <v>151</v>
      </c>
      <c r="W153">
        <v>118.781334</v>
      </c>
      <c r="X153" s="14">
        <v>0.96907919069073734</v>
      </c>
      <c r="Y153">
        <v>32.816000000000003</v>
      </c>
      <c r="Z153" s="14">
        <v>0.96865222268138618</v>
      </c>
      <c r="AA153">
        <v>26</v>
      </c>
      <c r="AC153">
        <v>151</v>
      </c>
      <c r="AD153">
        <v>117.953192</v>
      </c>
      <c r="AE153" s="14">
        <v>0.97147827673164289</v>
      </c>
      <c r="AF153">
        <v>32.581000000000003</v>
      </c>
      <c r="AG153" s="14">
        <v>0.96987467627184232</v>
      </c>
      <c r="AH153">
        <v>26</v>
      </c>
      <c r="AJ153">
        <v>151</v>
      </c>
      <c r="AK153">
        <v>118.13267999999999</v>
      </c>
      <c r="AL153" s="14">
        <v>0.95987746348875691</v>
      </c>
      <c r="AM153">
        <v>32.716999999999999</v>
      </c>
      <c r="AN153" s="14">
        <v>0.95702919323699753</v>
      </c>
      <c r="AO153">
        <v>26</v>
      </c>
      <c r="AQ153">
        <v>151</v>
      </c>
      <c r="AR153">
        <v>116.885023</v>
      </c>
      <c r="AS153" s="14">
        <v>0.95933370571303322</v>
      </c>
      <c r="AT153">
        <v>32.421999999999997</v>
      </c>
      <c r="AU153" s="14">
        <v>0.95744618019667471</v>
      </c>
      <c r="AV153">
        <v>26</v>
      </c>
      <c r="AX153">
        <v>151</v>
      </c>
      <c r="AY153">
        <v>118.881817</v>
      </c>
      <c r="AZ153" s="14">
        <v>0.96165131028933948</v>
      </c>
      <c r="BA153">
        <v>32.966999999999999</v>
      </c>
      <c r="BB153" s="14">
        <v>0.96046498077147191</v>
      </c>
      <c r="BC153">
        <v>26</v>
      </c>
    </row>
    <row r="154" spans="15:55" x14ac:dyDescent="0.35">
      <c r="O154">
        <v>152</v>
      </c>
      <c r="P154">
        <v>118.701846</v>
      </c>
      <c r="Q154" s="14">
        <v>0.96757404925895862</v>
      </c>
      <c r="R154">
        <v>32.838000000000001</v>
      </c>
      <c r="S154" s="14">
        <v>0.96770200978369791</v>
      </c>
      <c r="T154">
        <v>26</v>
      </c>
      <c r="V154">
        <v>152</v>
      </c>
      <c r="W154">
        <v>118.81222699999999</v>
      </c>
      <c r="X154" s="14">
        <v>0.96933123166746182</v>
      </c>
      <c r="Y154">
        <v>32.819000000000003</v>
      </c>
      <c r="Z154" s="14">
        <v>0.96874077572465911</v>
      </c>
      <c r="AA154">
        <v>26</v>
      </c>
      <c r="AC154">
        <v>152</v>
      </c>
      <c r="AD154">
        <v>117.96641700000001</v>
      </c>
      <c r="AE154" s="14">
        <v>0.97158719960174023</v>
      </c>
      <c r="AF154">
        <v>32.58</v>
      </c>
      <c r="AG154" s="14">
        <v>0.96984490816539148</v>
      </c>
      <c r="AH154">
        <v>26</v>
      </c>
      <c r="AJ154">
        <v>152</v>
      </c>
      <c r="AK154">
        <v>118.140112</v>
      </c>
      <c r="AL154" s="14">
        <v>0.95993785159904665</v>
      </c>
      <c r="AM154">
        <v>32.71</v>
      </c>
      <c r="AN154" s="14">
        <v>0.95682443105364767</v>
      </c>
      <c r="AO154">
        <v>26</v>
      </c>
      <c r="AQ154">
        <v>152</v>
      </c>
      <c r="AR154">
        <v>116.849811</v>
      </c>
      <c r="AS154" s="14">
        <v>0.95904470325935209</v>
      </c>
      <c r="AT154">
        <v>32.405000000000001</v>
      </c>
      <c r="AU154" s="14">
        <v>0.95694415733986948</v>
      </c>
      <c r="AV154">
        <v>26</v>
      </c>
      <c r="AX154">
        <v>152</v>
      </c>
      <c r="AY154">
        <v>118.937073</v>
      </c>
      <c r="AZ154" s="14">
        <v>0.96209828364609218</v>
      </c>
      <c r="BA154">
        <v>32.975000000000001</v>
      </c>
      <c r="BB154" s="14">
        <v>0.96069805383987894</v>
      </c>
      <c r="BC154">
        <v>26</v>
      </c>
    </row>
    <row r="155" spans="15:55" x14ac:dyDescent="0.35">
      <c r="O155">
        <v>153</v>
      </c>
      <c r="P155">
        <v>118.65187</v>
      </c>
      <c r="Q155" s="14">
        <v>0.9671666800198504</v>
      </c>
      <c r="R155">
        <v>32.826000000000001</v>
      </c>
      <c r="S155" s="14">
        <v>0.96734838215359231</v>
      </c>
      <c r="T155">
        <v>26</v>
      </c>
      <c r="V155">
        <v>153</v>
      </c>
      <c r="W155">
        <v>118.82264499999999</v>
      </c>
      <c r="X155" s="14">
        <v>0.96941622706756925</v>
      </c>
      <c r="Y155">
        <v>32.822000000000003</v>
      </c>
      <c r="Z155" s="14">
        <v>0.96882932876793204</v>
      </c>
      <c r="AA155">
        <v>26</v>
      </c>
      <c r="AC155">
        <v>153</v>
      </c>
      <c r="AD155">
        <v>118.065974</v>
      </c>
      <c r="AE155" s="14">
        <v>0.97240716437892538</v>
      </c>
      <c r="AF155">
        <v>32.606999999999999</v>
      </c>
      <c r="AG155" s="14">
        <v>0.97064864703956166</v>
      </c>
      <c r="AH155">
        <v>26</v>
      </c>
      <c r="AJ155">
        <v>153</v>
      </c>
      <c r="AK155">
        <v>118.092051</v>
      </c>
      <c r="AL155" s="14">
        <v>0.95954733586053353</v>
      </c>
      <c r="AM155">
        <v>32.697000000000003</v>
      </c>
      <c r="AN155" s="14">
        <v>0.95644415842742647</v>
      </c>
      <c r="AO155">
        <v>26</v>
      </c>
      <c r="AQ155">
        <v>153</v>
      </c>
      <c r="AR155">
        <v>116.81619600000001</v>
      </c>
      <c r="AS155" s="14">
        <v>0.95876880818152388</v>
      </c>
      <c r="AT155">
        <v>32.396000000000001</v>
      </c>
      <c r="AU155" s="14">
        <v>0.95667838053332555</v>
      </c>
      <c r="AV155">
        <v>26</v>
      </c>
      <c r="AX155">
        <v>153</v>
      </c>
      <c r="AY155">
        <v>118.935675</v>
      </c>
      <c r="AZ155" s="14">
        <v>0.9620869750324984</v>
      </c>
      <c r="BA155">
        <v>32.973999999999997</v>
      </c>
      <c r="BB155" s="14">
        <v>0.96066891970632784</v>
      </c>
      <c r="BC155">
        <v>26</v>
      </c>
    </row>
    <row r="156" spans="15:55" x14ac:dyDescent="0.35">
      <c r="O156">
        <v>154</v>
      </c>
      <c r="P156">
        <v>118.649243</v>
      </c>
      <c r="Q156" s="14">
        <v>0.96714526656156763</v>
      </c>
      <c r="R156">
        <v>32.826000000000001</v>
      </c>
      <c r="S156" s="14">
        <v>0.96734838215359231</v>
      </c>
      <c r="T156">
        <v>26</v>
      </c>
      <c r="V156">
        <v>154</v>
      </c>
      <c r="W156">
        <v>118.81144</v>
      </c>
      <c r="X156" s="14">
        <v>0.96932481091684908</v>
      </c>
      <c r="Y156">
        <v>32.817</v>
      </c>
      <c r="Z156" s="14">
        <v>0.96868174036247712</v>
      </c>
      <c r="AA156">
        <v>26</v>
      </c>
      <c r="AC156">
        <v>154</v>
      </c>
      <c r="AD156">
        <v>118.068753</v>
      </c>
      <c r="AE156" s="14">
        <v>0.97243005259488002</v>
      </c>
      <c r="AF156">
        <v>32.607999999999997</v>
      </c>
      <c r="AG156" s="14">
        <v>0.97067841514601239</v>
      </c>
      <c r="AH156">
        <v>26</v>
      </c>
      <c r="AJ156">
        <v>154</v>
      </c>
      <c r="AK156">
        <v>118.069277</v>
      </c>
      <c r="AL156" s="14">
        <v>0.95936228757962183</v>
      </c>
      <c r="AM156">
        <v>32.691000000000003</v>
      </c>
      <c r="AN156" s="14">
        <v>0.95626864798455513</v>
      </c>
      <c r="AO156">
        <v>26</v>
      </c>
      <c r="AQ156">
        <v>154</v>
      </c>
      <c r="AR156">
        <v>116.833473</v>
      </c>
      <c r="AS156" s="14">
        <v>0.95891060914120363</v>
      </c>
      <c r="AT156">
        <v>32.399000000000001</v>
      </c>
      <c r="AU156" s="14">
        <v>0.95676697280217349</v>
      </c>
      <c r="AV156">
        <v>26</v>
      </c>
      <c r="AX156">
        <v>154</v>
      </c>
      <c r="AY156">
        <v>118.893709</v>
      </c>
      <c r="AZ156" s="14">
        <v>0.96174750630712047</v>
      </c>
      <c r="BA156">
        <v>32.963000000000001</v>
      </c>
      <c r="BB156" s="14">
        <v>0.96034844423726851</v>
      </c>
      <c r="BC156">
        <v>26</v>
      </c>
    </row>
    <row r="157" spans="15:55" x14ac:dyDescent="0.35">
      <c r="O157">
        <v>155</v>
      </c>
      <c r="P157">
        <v>118.483147</v>
      </c>
      <c r="Q157" s="14">
        <v>0.96579136866780013</v>
      </c>
      <c r="R157">
        <v>32.781999999999996</v>
      </c>
      <c r="S157" s="14">
        <v>0.96605174750987211</v>
      </c>
      <c r="T157">
        <v>26</v>
      </c>
      <c r="V157">
        <v>155</v>
      </c>
      <c r="W157">
        <v>118.762805</v>
      </c>
      <c r="X157" s="14">
        <v>0.96892802158259861</v>
      </c>
      <c r="Y157">
        <v>32.805</v>
      </c>
      <c r="Z157" s="14">
        <v>0.96832752818938539</v>
      </c>
      <c r="AA157">
        <v>26</v>
      </c>
      <c r="AC157">
        <v>155</v>
      </c>
      <c r="AD157">
        <v>118.022744</v>
      </c>
      <c r="AE157" s="14">
        <v>0.97205111631281538</v>
      </c>
      <c r="AF157">
        <v>32.594999999999999</v>
      </c>
      <c r="AG157" s="14">
        <v>0.97029142976215266</v>
      </c>
      <c r="AH157">
        <v>26</v>
      </c>
      <c r="AJ157">
        <v>155</v>
      </c>
      <c r="AK157">
        <v>118.086932</v>
      </c>
      <c r="AL157" s="14">
        <v>0.95950574184323367</v>
      </c>
      <c r="AM157">
        <v>32.692999999999998</v>
      </c>
      <c r="AN157" s="14">
        <v>0.95632715146551217</v>
      </c>
      <c r="AO157">
        <v>26</v>
      </c>
      <c r="AQ157">
        <v>155</v>
      </c>
      <c r="AR157">
        <v>116.819962</v>
      </c>
      <c r="AS157" s="14">
        <v>0.95879971762263949</v>
      </c>
      <c r="AT157">
        <v>32.392000000000003</v>
      </c>
      <c r="AU157" s="14">
        <v>0.95656025750819484</v>
      </c>
      <c r="AV157">
        <v>26</v>
      </c>
      <c r="AX157">
        <v>155</v>
      </c>
      <c r="AY157">
        <v>118.833765</v>
      </c>
      <c r="AZ157" s="14">
        <v>0.96126261107588429</v>
      </c>
      <c r="BA157">
        <v>32.948</v>
      </c>
      <c r="BB157" s="14">
        <v>0.95991143223400544</v>
      </c>
      <c r="BC157">
        <v>26</v>
      </c>
    </row>
    <row r="158" spans="15:55" x14ac:dyDescent="0.35">
      <c r="O158">
        <v>156</v>
      </c>
      <c r="P158">
        <v>118.38753</v>
      </c>
      <c r="Q158" s="14">
        <v>0.96501196606383388</v>
      </c>
      <c r="R158">
        <v>32.758000000000003</v>
      </c>
      <c r="S158" s="14">
        <v>0.96534449224966123</v>
      </c>
      <c r="T158">
        <v>26</v>
      </c>
      <c r="V158">
        <v>156</v>
      </c>
      <c r="W158">
        <v>118.713419</v>
      </c>
      <c r="X158" s="14">
        <v>0.96852510520424362</v>
      </c>
      <c r="Y158">
        <v>32.792000000000002</v>
      </c>
      <c r="Z158" s="14">
        <v>0.96794379833520283</v>
      </c>
      <c r="AA158">
        <v>26</v>
      </c>
      <c r="AC158">
        <v>156</v>
      </c>
      <c r="AD158">
        <v>117.97214200000001</v>
      </c>
      <c r="AE158" s="14">
        <v>0.97163435146800159</v>
      </c>
      <c r="AF158">
        <v>32.582000000000001</v>
      </c>
      <c r="AG158" s="14">
        <v>0.96990444437829304</v>
      </c>
      <c r="AH158">
        <v>26</v>
      </c>
      <c r="AJ158">
        <v>156</v>
      </c>
      <c r="AK158">
        <v>118.07333199999999</v>
      </c>
      <c r="AL158" s="14">
        <v>0.95939523615163791</v>
      </c>
      <c r="AM158">
        <v>32.688000000000002</v>
      </c>
      <c r="AN158" s="14">
        <v>0.95618089276311946</v>
      </c>
      <c r="AO158">
        <v>26</v>
      </c>
      <c r="AQ158">
        <v>156</v>
      </c>
      <c r="AR158">
        <v>116.793083</v>
      </c>
      <c r="AS158" s="14">
        <v>0.95857910825786341</v>
      </c>
      <c r="AT158">
        <v>32.384</v>
      </c>
      <c r="AU158" s="14">
        <v>0.95632401145793344</v>
      </c>
      <c r="AV158">
        <v>26</v>
      </c>
      <c r="AX158">
        <v>156</v>
      </c>
      <c r="AY158">
        <v>118.802076</v>
      </c>
      <c r="AZ158" s="14">
        <v>0.96100627441195396</v>
      </c>
      <c r="BA158">
        <v>32.939</v>
      </c>
      <c r="BB158" s="14">
        <v>0.95964922503204764</v>
      </c>
      <c r="BC158">
        <v>26</v>
      </c>
    </row>
    <row r="159" spans="15:55" x14ac:dyDescent="0.35">
      <c r="O159">
        <v>157</v>
      </c>
      <c r="P159">
        <v>118.289781</v>
      </c>
      <c r="Q159" s="14">
        <v>0.96421518489380054</v>
      </c>
      <c r="R159">
        <v>32.734000000000002</v>
      </c>
      <c r="S159" s="14">
        <v>0.96463723698945025</v>
      </c>
      <c r="T159">
        <v>26</v>
      </c>
      <c r="V159">
        <v>157</v>
      </c>
      <c r="W159">
        <v>118.702063</v>
      </c>
      <c r="X159" s="14">
        <v>0.96843245711789117</v>
      </c>
      <c r="Y159">
        <v>32.787999999999997</v>
      </c>
      <c r="Z159" s="14">
        <v>0.96782572761083874</v>
      </c>
      <c r="AA159">
        <v>26</v>
      </c>
      <c r="AC159">
        <v>157</v>
      </c>
      <c r="AD159">
        <v>117.94712</v>
      </c>
      <c r="AE159" s="14">
        <v>0.97142826692693729</v>
      </c>
      <c r="AF159">
        <v>32.575000000000003</v>
      </c>
      <c r="AG159" s="14">
        <v>0.96969606763313787</v>
      </c>
      <c r="AH159">
        <v>26</v>
      </c>
      <c r="AJ159">
        <v>157</v>
      </c>
      <c r="AK159">
        <v>118.02367</v>
      </c>
      <c r="AL159" s="14">
        <v>0.95899171161810692</v>
      </c>
      <c r="AM159">
        <v>32.674999999999997</v>
      </c>
      <c r="AN159" s="14">
        <v>0.95580062013689804</v>
      </c>
      <c r="AO159">
        <v>26</v>
      </c>
      <c r="AQ159">
        <v>157</v>
      </c>
      <c r="AR159">
        <v>116.729113</v>
      </c>
      <c r="AS159" s="14">
        <v>0.95805407454884439</v>
      </c>
      <c r="AT159">
        <v>32.368000000000002</v>
      </c>
      <c r="AU159" s="14">
        <v>0.95585151935741086</v>
      </c>
      <c r="AV159">
        <v>26</v>
      </c>
      <c r="AX159">
        <v>157</v>
      </c>
      <c r="AY159">
        <v>118.778874</v>
      </c>
      <c r="AZ159" s="14">
        <v>0.96081859025415428</v>
      </c>
      <c r="BA159">
        <v>32.932000000000002</v>
      </c>
      <c r="BB159" s="14">
        <v>0.9594452860971916</v>
      </c>
      <c r="BC159">
        <v>26</v>
      </c>
    </row>
    <row r="160" spans="15:55" x14ac:dyDescent="0.35">
      <c r="O160">
        <v>158</v>
      </c>
      <c r="P160">
        <v>118.244277</v>
      </c>
      <c r="Q160" s="14">
        <v>0.96384426825668701</v>
      </c>
      <c r="R160">
        <v>32.722999999999999</v>
      </c>
      <c r="S160" s="14">
        <v>0.96431307832852009</v>
      </c>
      <c r="T160">
        <v>26</v>
      </c>
      <c r="V160">
        <v>158</v>
      </c>
      <c r="W160">
        <v>118.588643</v>
      </c>
      <c r="X160" s="14">
        <v>0.96750711844634418</v>
      </c>
      <c r="Y160">
        <v>32.756</v>
      </c>
      <c r="Z160" s="14">
        <v>0.96688116181592776</v>
      </c>
      <c r="AA160">
        <v>26</v>
      </c>
      <c r="AC160">
        <v>158</v>
      </c>
      <c r="AD160">
        <v>117.902427</v>
      </c>
      <c r="AE160" s="14">
        <v>0.97106016939701234</v>
      </c>
      <c r="AF160">
        <v>32.558</v>
      </c>
      <c r="AG160" s="14">
        <v>0.96919000982347503</v>
      </c>
      <c r="AH160">
        <v>26</v>
      </c>
      <c r="AJ160">
        <v>158</v>
      </c>
      <c r="AK160">
        <v>117.969487</v>
      </c>
      <c r="AL160" s="14">
        <v>0.95855145206753878</v>
      </c>
      <c r="AM160">
        <v>32.659999999999997</v>
      </c>
      <c r="AN160" s="14">
        <v>0.95536184402971969</v>
      </c>
      <c r="AO160">
        <v>26</v>
      </c>
      <c r="AQ160">
        <v>158</v>
      </c>
      <c r="AR160">
        <v>116.687679</v>
      </c>
      <c r="AS160" s="14">
        <v>0.957714005036581</v>
      </c>
      <c r="AT160">
        <v>32.356000000000002</v>
      </c>
      <c r="AU160" s="14">
        <v>0.95549715028201876</v>
      </c>
      <c r="AV160">
        <v>26</v>
      </c>
      <c r="AX160">
        <v>158</v>
      </c>
      <c r="AY160">
        <v>118.585032</v>
      </c>
      <c r="AZ160" s="14">
        <v>0.95925057575039629</v>
      </c>
      <c r="BA160">
        <v>32.883000000000003</v>
      </c>
      <c r="BB160" s="14">
        <v>0.95801771355319909</v>
      </c>
      <c r="BC160">
        <v>26</v>
      </c>
    </row>
    <row r="161" spans="15:55" x14ac:dyDescent="0.35">
      <c r="O161">
        <v>159</v>
      </c>
      <c r="P161">
        <v>118.319588</v>
      </c>
      <c r="Q161" s="14">
        <v>0.96445815061554885</v>
      </c>
      <c r="R161">
        <v>32.741999999999997</v>
      </c>
      <c r="S161" s="14">
        <v>0.96487298874285377</v>
      </c>
      <c r="T161">
        <v>26</v>
      </c>
      <c r="V161">
        <v>159</v>
      </c>
      <c r="W161">
        <v>118.459118</v>
      </c>
      <c r="X161" s="14">
        <v>0.96645038690488649</v>
      </c>
      <c r="Y161">
        <v>32.725000000000001</v>
      </c>
      <c r="Z161" s="14">
        <v>0.96596611370210761</v>
      </c>
      <c r="AA161">
        <v>26</v>
      </c>
      <c r="AC161">
        <v>159</v>
      </c>
      <c r="AD161">
        <v>117.70541799999999</v>
      </c>
      <c r="AE161" s="14">
        <v>0.96943757690438503</v>
      </c>
      <c r="AF161">
        <v>32.514000000000003</v>
      </c>
      <c r="AG161" s="14">
        <v>0.96788021313964212</v>
      </c>
      <c r="AH161">
        <v>26</v>
      </c>
      <c r="AJ161">
        <v>159</v>
      </c>
      <c r="AK161">
        <v>117.94258499999999</v>
      </c>
      <c r="AL161" s="14">
        <v>0.95833286205906032</v>
      </c>
      <c r="AM161">
        <v>32.652999999999999</v>
      </c>
      <c r="AN161" s="14">
        <v>0.95515708184636983</v>
      </c>
      <c r="AO161">
        <v>26</v>
      </c>
      <c r="AQ161">
        <v>159</v>
      </c>
      <c r="AR161">
        <v>116.679146</v>
      </c>
      <c r="AS161" s="14">
        <v>0.95764397044788219</v>
      </c>
      <c r="AT161">
        <v>32.353000000000002</v>
      </c>
      <c r="AU161" s="14">
        <v>0.95540855801317082</v>
      </c>
      <c r="AV161">
        <v>26</v>
      </c>
      <c r="AX161">
        <v>159</v>
      </c>
      <c r="AY161">
        <v>118.485501</v>
      </c>
      <c r="AZ161" s="14">
        <v>0.95844545585082064</v>
      </c>
      <c r="BA161">
        <v>32.857999999999997</v>
      </c>
      <c r="BB161" s="14">
        <v>0.95728936021442723</v>
      </c>
      <c r="BC161">
        <v>26</v>
      </c>
    </row>
    <row r="162" spans="15:55" x14ac:dyDescent="0.35">
      <c r="O162">
        <v>160</v>
      </c>
      <c r="P162">
        <v>118.39708400000001</v>
      </c>
      <c r="Q162" s="14">
        <v>0.96508984355924066</v>
      </c>
      <c r="R162">
        <v>32.756</v>
      </c>
      <c r="S162" s="14">
        <v>0.96528555431131025</v>
      </c>
      <c r="T162">
        <v>26</v>
      </c>
      <c r="V162">
        <v>160</v>
      </c>
      <c r="W162">
        <v>118.363854</v>
      </c>
      <c r="X162" s="14">
        <v>0.96567317421571131</v>
      </c>
      <c r="Y162">
        <v>32.701999999999998</v>
      </c>
      <c r="Z162" s="14">
        <v>0.96528720703701509</v>
      </c>
      <c r="AA162">
        <v>26</v>
      </c>
      <c r="AC162">
        <v>160</v>
      </c>
      <c r="AD162">
        <v>117.605262</v>
      </c>
      <c r="AE162" s="14">
        <v>0.9686126786830267</v>
      </c>
      <c r="AF162">
        <v>32.488999999999997</v>
      </c>
      <c r="AG162" s="14">
        <v>0.96713601047837328</v>
      </c>
      <c r="AH162">
        <v>26</v>
      </c>
      <c r="AJ162">
        <v>160</v>
      </c>
      <c r="AK162">
        <v>117.905924</v>
      </c>
      <c r="AL162" s="14">
        <v>0.95803497609144361</v>
      </c>
      <c r="AM162">
        <v>32.639000000000003</v>
      </c>
      <c r="AN162" s="14">
        <v>0.95474755747967011</v>
      </c>
      <c r="AO162">
        <v>26</v>
      </c>
      <c r="AQ162">
        <v>160</v>
      </c>
      <c r="AR162">
        <v>116.484267</v>
      </c>
      <c r="AS162" s="14">
        <v>0.95604450125638751</v>
      </c>
      <c r="AT162">
        <v>32.304000000000002</v>
      </c>
      <c r="AU162" s="14">
        <v>0.95396155095532009</v>
      </c>
      <c r="AV162">
        <v>26</v>
      </c>
      <c r="AX162">
        <v>160</v>
      </c>
      <c r="AY162">
        <v>118.400674</v>
      </c>
      <c r="AZ162" s="14">
        <v>0.9577592786224064</v>
      </c>
      <c r="BA162">
        <v>32.835999999999999</v>
      </c>
      <c r="BB162" s="14">
        <v>0.95664840927630812</v>
      </c>
      <c r="BC162">
        <v>26</v>
      </c>
    </row>
    <row r="163" spans="15:55" x14ac:dyDescent="0.35">
      <c r="O163">
        <v>161</v>
      </c>
      <c r="P163">
        <v>118.337035</v>
      </c>
      <c r="Q163" s="14">
        <v>0.96460036630137258</v>
      </c>
      <c r="R163">
        <v>32.74</v>
      </c>
      <c r="S163" s="14">
        <v>0.964814050804503</v>
      </c>
      <c r="T163">
        <v>26</v>
      </c>
      <c r="V163">
        <v>161</v>
      </c>
      <c r="W163">
        <v>118.297252</v>
      </c>
      <c r="X163" s="14">
        <v>0.96512980085825784</v>
      </c>
      <c r="Y163">
        <v>32.685000000000002</v>
      </c>
      <c r="Z163" s="14">
        <v>0.96478540645846866</v>
      </c>
      <c r="AA163">
        <v>26</v>
      </c>
      <c r="AC163">
        <v>161</v>
      </c>
      <c r="AD163">
        <v>117.536086</v>
      </c>
      <c r="AE163" s="14">
        <v>0.9680429358881798</v>
      </c>
      <c r="AF163">
        <v>32.472000000000001</v>
      </c>
      <c r="AG163" s="14">
        <v>0.96662995266871066</v>
      </c>
      <c r="AH163">
        <v>26</v>
      </c>
      <c r="AJ163">
        <v>161</v>
      </c>
      <c r="AK163">
        <v>117.683176</v>
      </c>
      <c r="AL163" s="14">
        <v>0.95622505537147695</v>
      </c>
      <c r="AM163">
        <v>32.588999999999999</v>
      </c>
      <c r="AN163" s="14">
        <v>0.95328497045574212</v>
      </c>
      <c r="AO163">
        <v>26</v>
      </c>
      <c r="AQ163">
        <v>161</v>
      </c>
      <c r="AR163">
        <v>116.393066</v>
      </c>
      <c r="AS163" s="14">
        <v>0.95529596914295556</v>
      </c>
      <c r="AT163">
        <v>32.280999999999999</v>
      </c>
      <c r="AU163" s="14">
        <v>0.95328234356081853</v>
      </c>
      <c r="AV163">
        <v>26</v>
      </c>
      <c r="AX163">
        <v>161</v>
      </c>
      <c r="AY163">
        <v>118.376891</v>
      </c>
      <c r="AZ163" s="14">
        <v>0.95756689467598155</v>
      </c>
      <c r="BA163">
        <v>32.832000000000001</v>
      </c>
      <c r="BB163" s="14">
        <v>0.95653187274210472</v>
      </c>
      <c r="BC163">
        <v>26</v>
      </c>
    </row>
    <row r="164" spans="15:55" x14ac:dyDescent="0.35">
      <c r="O164">
        <v>162</v>
      </c>
      <c r="P164">
        <v>118.279054</v>
      </c>
      <c r="Q164" s="14">
        <v>0.96412774592653794</v>
      </c>
      <c r="R164">
        <v>32.725999999999999</v>
      </c>
      <c r="S164" s="14">
        <v>0.96440148523604652</v>
      </c>
      <c r="T164">
        <v>26</v>
      </c>
      <c r="V164">
        <v>162</v>
      </c>
      <c r="W164">
        <v>118.342798</v>
      </c>
      <c r="X164" s="14">
        <v>0.96550138854239009</v>
      </c>
      <c r="Y164">
        <v>32.695999999999998</v>
      </c>
      <c r="Z164" s="14">
        <v>0.96511010095046923</v>
      </c>
      <c r="AA164">
        <v>26</v>
      </c>
      <c r="AC164">
        <v>162</v>
      </c>
      <c r="AD164">
        <v>117.564454</v>
      </c>
      <c r="AE164" s="14">
        <v>0.96827657853308868</v>
      </c>
      <c r="AF164">
        <v>32.478999999999999</v>
      </c>
      <c r="AG164" s="14">
        <v>0.96683832941386583</v>
      </c>
      <c r="AH164">
        <v>26</v>
      </c>
      <c r="AJ164">
        <v>162</v>
      </c>
      <c r="AK164">
        <v>117.56722000000001</v>
      </c>
      <c r="AL164" s="14">
        <v>0.95528286434392806</v>
      </c>
      <c r="AM164">
        <v>32.558999999999997</v>
      </c>
      <c r="AN164" s="14">
        <v>0.95240741824138531</v>
      </c>
      <c r="AO164">
        <v>26</v>
      </c>
      <c r="AQ164">
        <v>162</v>
      </c>
      <c r="AR164">
        <v>116.301625</v>
      </c>
      <c r="AS164" s="14">
        <v>0.95454546722977107</v>
      </c>
      <c r="AT164">
        <v>32.258000000000003</v>
      </c>
      <c r="AU164" s="14">
        <v>0.95260313616631731</v>
      </c>
      <c r="AV164">
        <v>26</v>
      </c>
      <c r="AX164">
        <v>162</v>
      </c>
      <c r="AY164">
        <v>118.459445</v>
      </c>
      <c r="AZ164" s="14">
        <v>0.95823468529588463</v>
      </c>
      <c r="BA164">
        <v>32.851999999999997</v>
      </c>
      <c r="BB164" s="14">
        <v>0.95711455541312196</v>
      </c>
      <c r="BC164">
        <v>26</v>
      </c>
    </row>
    <row r="165" spans="15:55" x14ac:dyDescent="0.35">
      <c r="O165">
        <v>163</v>
      </c>
      <c r="P165">
        <v>118.22285100000001</v>
      </c>
      <c r="Q165" s="14">
        <v>0.9636696185584892</v>
      </c>
      <c r="R165">
        <v>32.712000000000003</v>
      </c>
      <c r="S165" s="14">
        <v>0.96398891966759015</v>
      </c>
      <c r="T165">
        <v>26</v>
      </c>
      <c r="V165">
        <v>163</v>
      </c>
      <c r="W165">
        <v>118.456553</v>
      </c>
      <c r="X165" s="14">
        <v>0.96642946031616739</v>
      </c>
      <c r="Y165">
        <v>32.722999999999999</v>
      </c>
      <c r="Z165" s="14">
        <v>0.96590707833992562</v>
      </c>
      <c r="AA165">
        <v>26</v>
      </c>
      <c r="AC165">
        <v>163</v>
      </c>
      <c r="AD165">
        <v>117.665903</v>
      </c>
      <c r="AE165" s="14">
        <v>0.96911212607550834</v>
      </c>
      <c r="AF165">
        <v>32.503</v>
      </c>
      <c r="AG165" s="14">
        <v>0.96755276396868384</v>
      </c>
      <c r="AH165">
        <v>26</v>
      </c>
      <c r="AJ165">
        <v>163</v>
      </c>
      <c r="AK165">
        <v>117.488973</v>
      </c>
      <c r="AL165" s="14">
        <v>0.95464707472258359</v>
      </c>
      <c r="AM165">
        <v>32.540999999999997</v>
      </c>
      <c r="AN165" s="14">
        <v>0.95188088691277117</v>
      </c>
      <c r="AO165">
        <v>26</v>
      </c>
      <c r="AQ165">
        <v>163</v>
      </c>
      <c r="AR165">
        <v>116.257825</v>
      </c>
      <c r="AS165" s="14">
        <v>0.95418597877494793</v>
      </c>
      <c r="AT165">
        <v>32.247</v>
      </c>
      <c r="AU165" s="14">
        <v>0.95227829784720786</v>
      </c>
      <c r="AV165">
        <v>26</v>
      </c>
      <c r="AX165">
        <v>163</v>
      </c>
      <c r="AY165">
        <v>118.499106</v>
      </c>
      <c r="AZ165" s="14">
        <v>0.95855550856036564</v>
      </c>
      <c r="BA165">
        <v>32.856000000000002</v>
      </c>
      <c r="BB165" s="14">
        <v>0.95723109194732559</v>
      </c>
      <c r="BC165">
        <v>26</v>
      </c>
    </row>
    <row r="166" spans="15:55" x14ac:dyDescent="0.35">
      <c r="O166">
        <v>164</v>
      </c>
      <c r="P166">
        <v>118.237348</v>
      </c>
      <c r="Q166" s="14">
        <v>0.96378778791696829</v>
      </c>
      <c r="R166">
        <v>32.713999999999999</v>
      </c>
      <c r="S166" s="14">
        <v>0.96404785760594103</v>
      </c>
      <c r="T166">
        <v>26</v>
      </c>
      <c r="V166">
        <v>164</v>
      </c>
      <c r="W166">
        <v>118.41798</v>
      </c>
      <c r="X166" s="14">
        <v>0.96611476195099744</v>
      </c>
      <c r="Y166">
        <v>32.710999999999999</v>
      </c>
      <c r="Z166" s="14">
        <v>0.96555286616683389</v>
      </c>
      <c r="AA166">
        <v>26</v>
      </c>
      <c r="AC166">
        <v>164</v>
      </c>
      <c r="AD166">
        <v>117.67125</v>
      </c>
      <c r="AE166" s="14">
        <v>0.96915616468317645</v>
      </c>
      <c r="AF166">
        <v>32.499000000000002</v>
      </c>
      <c r="AG166" s="14">
        <v>0.96743369154288095</v>
      </c>
      <c r="AH166">
        <v>26</v>
      </c>
      <c r="AJ166">
        <v>164</v>
      </c>
      <c r="AK166">
        <v>117.48045500000001</v>
      </c>
      <c r="AL166" s="14">
        <v>0.9545778624078034</v>
      </c>
      <c r="AM166">
        <v>32.537999999999997</v>
      </c>
      <c r="AN166" s="14">
        <v>0.9517931316913355</v>
      </c>
      <c r="AO166">
        <v>26</v>
      </c>
      <c r="AQ166">
        <v>164</v>
      </c>
      <c r="AR166">
        <v>116.321538</v>
      </c>
      <c r="AS166" s="14">
        <v>0.95470890315673207</v>
      </c>
      <c r="AT166">
        <v>32.26</v>
      </c>
      <c r="AU166" s="14">
        <v>0.95266219767888249</v>
      </c>
      <c r="AV166">
        <v>26</v>
      </c>
      <c r="AX166">
        <v>164</v>
      </c>
      <c r="AY166">
        <v>118.443344</v>
      </c>
      <c r="AZ166" s="14">
        <v>0.95810444210026646</v>
      </c>
      <c r="BA166">
        <v>32.841000000000001</v>
      </c>
      <c r="BB166" s="14">
        <v>0.95679407994406251</v>
      </c>
      <c r="BC166">
        <v>26</v>
      </c>
    </row>
    <row r="167" spans="15:55" x14ac:dyDescent="0.35">
      <c r="O167">
        <v>165</v>
      </c>
      <c r="P167">
        <v>118.238817</v>
      </c>
      <c r="Q167" s="14">
        <v>0.96379976217285612</v>
      </c>
      <c r="R167">
        <v>32.712000000000003</v>
      </c>
      <c r="S167" s="14">
        <v>0.96398891966759015</v>
      </c>
      <c r="T167">
        <v>26</v>
      </c>
      <c r="V167">
        <v>165</v>
      </c>
      <c r="W167">
        <v>118.356745</v>
      </c>
      <c r="X167" s="14">
        <v>0.96561517533882868</v>
      </c>
      <c r="Y167">
        <v>32.695</v>
      </c>
      <c r="Z167" s="14">
        <v>0.9650805832693784</v>
      </c>
      <c r="AA167">
        <v>26</v>
      </c>
      <c r="AC167">
        <v>165</v>
      </c>
      <c r="AD167">
        <v>117.61479300000001</v>
      </c>
      <c r="AE167" s="14">
        <v>0.96869117727470144</v>
      </c>
      <c r="AF167">
        <v>32.484999999999999</v>
      </c>
      <c r="AG167" s="14">
        <v>0.96701693805257039</v>
      </c>
      <c r="AH167">
        <v>26</v>
      </c>
      <c r="AJ167">
        <v>165</v>
      </c>
      <c r="AK167">
        <v>117.565887</v>
      </c>
      <c r="AL167" s="14">
        <v>0.95527203316106801</v>
      </c>
      <c r="AM167">
        <v>32.557000000000002</v>
      </c>
      <c r="AN167" s="14">
        <v>0.95234891476042827</v>
      </c>
      <c r="AO167">
        <v>26</v>
      </c>
      <c r="AQ167">
        <v>165</v>
      </c>
      <c r="AR167">
        <v>116.391294</v>
      </c>
      <c r="AS167" s="14">
        <v>0.95528142545478323</v>
      </c>
      <c r="AT167">
        <v>32.271999999999998</v>
      </c>
      <c r="AU167" s="14">
        <v>0.9530165667542746</v>
      </c>
      <c r="AV167">
        <v>26</v>
      </c>
      <c r="AX167">
        <v>165</v>
      </c>
      <c r="AY167">
        <v>118.403347</v>
      </c>
      <c r="AZ167" s="14">
        <v>0.95778090088573709</v>
      </c>
      <c r="BA167">
        <v>32.826999999999998</v>
      </c>
      <c r="BB167" s="14">
        <v>0.95638620207435032</v>
      </c>
      <c r="BC167">
        <v>26</v>
      </c>
    </row>
    <row r="168" spans="15:55" x14ac:dyDescent="0.35">
      <c r="O168">
        <v>166</v>
      </c>
      <c r="P168">
        <v>118.203075</v>
      </c>
      <c r="Q168" s="14">
        <v>0.96350841850100954</v>
      </c>
      <c r="R168">
        <v>32.701999999999998</v>
      </c>
      <c r="S168" s="14">
        <v>0.96369422997583543</v>
      </c>
      <c r="T168">
        <v>26</v>
      </c>
      <c r="V168">
        <v>166</v>
      </c>
      <c r="W168">
        <v>118.298699</v>
      </c>
      <c r="X168" s="14">
        <v>0.96514160622819012</v>
      </c>
      <c r="Y168">
        <v>32.68</v>
      </c>
      <c r="Z168" s="14">
        <v>0.96463781805301374</v>
      </c>
      <c r="AA168">
        <v>26</v>
      </c>
      <c r="AC168">
        <v>166</v>
      </c>
      <c r="AD168">
        <v>117.55276499999999</v>
      </c>
      <c r="AE168" s="14">
        <v>0.96818030636457697</v>
      </c>
      <c r="AF168">
        <v>32.47</v>
      </c>
      <c r="AG168" s="14">
        <v>0.9665704164558091</v>
      </c>
      <c r="AH168">
        <v>26</v>
      </c>
      <c r="AJ168">
        <v>166</v>
      </c>
      <c r="AK168">
        <v>117.601285</v>
      </c>
      <c r="AL168" s="14">
        <v>0.95555965672511967</v>
      </c>
      <c r="AM168">
        <v>32.561</v>
      </c>
      <c r="AN168" s="14">
        <v>0.95246592172234246</v>
      </c>
      <c r="AO168">
        <v>26</v>
      </c>
      <c r="AQ168">
        <v>166</v>
      </c>
      <c r="AR168">
        <v>116.329589</v>
      </c>
      <c r="AS168" s="14">
        <v>0.95477498173092801</v>
      </c>
      <c r="AT168">
        <v>32.256999999999998</v>
      </c>
      <c r="AU168" s="14">
        <v>0.95257360541003455</v>
      </c>
      <c r="AV168">
        <v>26</v>
      </c>
      <c r="AX168">
        <v>166</v>
      </c>
      <c r="AY168">
        <v>118.34907800000001</v>
      </c>
      <c r="AZ168" s="14">
        <v>0.95734191150725134</v>
      </c>
      <c r="BA168">
        <v>32.817</v>
      </c>
      <c r="BB168" s="14">
        <v>0.95609486073884165</v>
      </c>
      <c r="BC168">
        <v>26</v>
      </c>
    </row>
    <row r="169" spans="15:55" x14ac:dyDescent="0.35">
      <c r="O169">
        <v>167</v>
      </c>
      <c r="P169">
        <v>118.137005</v>
      </c>
      <c r="Q169" s="14">
        <v>0.96296986228146653</v>
      </c>
      <c r="R169">
        <v>32.685000000000002</v>
      </c>
      <c r="S169" s="14">
        <v>0.96319325749985274</v>
      </c>
      <c r="T169">
        <v>26</v>
      </c>
      <c r="V169">
        <v>167</v>
      </c>
      <c r="W169">
        <v>118.297791</v>
      </c>
      <c r="X169" s="14">
        <v>0.96513419829736879</v>
      </c>
      <c r="Y169">
        <v>32.679000000000002</v>
      </c>
      <c r="Z169" s="14">
        <v>0.9646083003719228</v>
      </c>
      <c r="AA169">
        <v>26</v>
      </c>
      <c r="AC169">
        <v>167</v>
      </c>
      <c r="AD169">
        <v>117.528378</v>
      </c>
      <c r="AE169" s="14">
        <v>0.96797945176850431</v>
      </c>
      <c r="AF169">
        <v>32.463999999999999</v>
      </c>
      <c r="AG169" s="14">
        <v>0.96639180781710465</v>
      </c>
      <c r="AH169">
        <v>26</v>
      </c>
      <c r="AJ169">
        <v>167</v>
      </c>
      <c r="AK169">
        <v>117.53222</v>
      </c>
      <c r="AL169" s="14">
        <v>0.95499847469643928</v>
      </c>
      <c r="AM169">
        <v>32.542999999999999</v>
      </c>
      <c r="AN169" s="14">
        <v>0.95193939039372844</v>
      </c>
      <c r="AO169">
        <v>26</v>
      </c>
      <c r="AQ169">
        <v>167</v>
      </c>
      <c r="AR169">
        <v>116.261123</v>
      </c>
      <c r="AS169" s="14">
        <v>0.95421304710654631</v>
      </c>
      <c r="AT169">
        <v>32.24</v>
      </c>
      <c r="AU169" s="14">
        <v>0.95207158255322921</v>
      </c>
      <c r="AV169">
        <v>26</v>
      </c>
      <c r="AX169">
        <v>167</v>
      </c>
      <c r="AY169">
        <v>118.357664</v>
      </c>
      <c r="AZ169" s="14">
        <v>0.95741136483794986</v>
      </c>
      <c r="BA169">
        <v>32.819000000000003</v>
      </c>
      <c r="BB169" s="14">
        <v>0.95615312900594351</v>
      </c>
      <c r="BC169">
        <v>26</v>
      </c>
    </row>
    <row r="170" spans="15:55" x14ac:dyDescent="0.35">
      <c r="O170">
        <v>168</v>
      </c>
      <c r="P170">
        <v>118.091824</v>
      </c>
      <c r="Q170" s="14">
        <v>0.96260157851341488</v>
      </c>
      <c r="R170">
        <v>32.673999999999999</v>
      </c>
      <c r="S170" s="14">
        <v>0.96286909883892269</v>
      </c>
      <c r="T170">
        <v>26</v>
      </c>
      <c r="V170">
        <v>168</v>
      </c>
      <c r="W170">
        <v>118.30425700000001</v>
      </c>
      <c r="X170" s="14">
        <v>0.96518695124967191</v>
      </c>
      <c r="Y170">
        <v>32.68</v>
      </c>
      <c r="Z170" s="14">
        <v>0.96463781805301374</v>
      </c>
      <c r="AA170">
        <v>26</v>
      </c>
      <c r="AC170">
        <v>168</v>
      </c>
      <c r="AD170">
        <v>117.54533600000001</v>
      </c>
      <c r="AE170" s="14">
        <v>0.96811912012624424</v>
      </c>
      <c r="AF170">
        <v>32.466999999999999</v>
      </c>
      <c r="AG170" s="14">
        <v>0.96648111213645682</v>
      </c>
      <c r="AH170">
        <v>26</v>
      </c>
      <c r="AJ170">
        <v>168</v>
      </c>
      <c r="AK170">
        <v>117.466016</v>
      </c>
      <c r="AL170" s="14">
        <v>0.95446053949008647</v>
      </c>
      <c r="AM170">
        <v>32.527999999999999</v>
      </c>
      <c r="AN170" s="14">
        <v>0.95150061428654997</v>
      </c>
      <c r="AO170">
        <v>26</v>
      </c>
      <c r="AQ170">
        <v>168</v>
      </c>
      <c r="AR170">
        <v>116.215878</v>
      </c>
      <c r="AS170" s="14">
        <v>0.95384169881571368</v>
      </c>
      <c r="AT170">
        <v>32.228000000000002</v>
      </c>
      <c r="AU170" s="14">
        <v>0.95171721347783722</v>
      </c>
      <c r="AV170">
        <v>26</v>
      </c>
      <c r="AX170">
        <v>168</v>
      </c>
      <c r="AY170">
        <v>118.35399099999999</v>
      </c>
      <c r="AZ170" s="14">
        <v>0.95738165343757053</v>
      </c>
      <c r="BA170">
        <v>32.816000000000003</v>
      </c>
      <c r="BB170" s="14">
        <v>0.95606572660529088</v>
      </c>
      <c r="BC170">
        <v>26</v>
      </c>
    </row>
    <row r="171" spans="15:55" x14ac:dyDescent="0.35">
      <c r="O171">
        <v>169</v>
      </c>
      <c r="P171">
        <v>118.115066</v>
      </c>
      <c r="Q171" s="14">
        <v>0.96279103096769991</v>
      </c>
      <c r="R171">
        <v>32.677</v>
      </c>
      <c r="S171" s="14">
        <v>0.96295750574644901</v>
      </c>
      <c r="T171">
        <v>26</v>
      </c>
      <c r="V171">
        <v>169</v>
      </c>
      <c r="W171">
        <v>118.299055</v>
      </c>
      <c r="X171" s="14">
        <v>0.96514451065921703</v>
      </c>
      <c r="Y171">
        <v>32.676000000000002</v>
      </c>
      <c r="Z171" s="14">
        <v>0.96451974732864987</v>
      </c>
      <c r="AA171">
        <v>26</v>
      </c>
      <c r="AC171">
        <v>169</v>
      </c>
      <c r="AD171">
        <v>117.543942</v>
      </c>
      <c r="AE171" s="14">
        <v>0.96810763895566454</v>
      </c>
      <c r="AF171">
        <v>32.463999999999999</v>
      </c>
      <c r="AG171" s="14">
        <v>0.96639180781710465</v>
      </c>
      <c r="AH171">
        <v>26</v>
      </c>
      <c r="AJ171">
        <v>169</v>
      </c>
      <c r="AK171">
        <v>117.439787</v>
      </c>
      <c r="AL171" s="14">
        <v>0.95424741788825829</v>
      </c>
      <c r="AM171">
        <v>32.521000000000001</v>
      </c>
      <c r="AN171" s="14">
        <v>0.95129585210320011</v>
      </c>
      <c r="AO171">
        <v>26</v>
      </c>
      <c r="AQ171">
        <v>169</v>
      </c>
      <c r="AR171">
        <v>116.228345</v>
      </c>
      <c r="AS171" s="14">
        <v>0.95394402170535475</v>
      </c>
      <c r="AT171">
        <v>32.228999999999999</v>
      </c>
      <c r="AU171" s="14">
        <v>0.95174674423411987</v>
      </c>
      <c r="AV171">
        <v>26</v>
      </c>
      <c r="AX171">
        <v>169</v>
      </c>
      <c r="AY171">
        <v>118.309099</v>
      </c>
      <c r="AZ171" s="14">
        <v>0.95701851589718878</v>
      </c>
      <c r="BA171">
        <v>32.804000000000002</v>
      </c>
      <c r="BB171" s="14">
        <v>0.95571611700268044</v>
      </c>
      <c r="BC171">
        <v>26</v>
      </c>
    </row>
    <row r="172" spans="15:55" x14ac:dyDescent="0.35">
      <c r="O172">
        <v>170</v>
      </c>
      <c r="P172">
        <v>118.129649</v>
      </c>
      <c r="Q172" s="14">
        <v>0.96290990133775589</v>
      </c>
      <c r="R172">
        <v>32.679000000000002</v>
      </c>
      <c r="S172" s="14">
        <v>0.96301644368479999</v>
      </c>
      <c r="T172">
        <v>26</v>
      </c>
      <c r="V172">
        <v>170</v>
      </c>
      <c r="W172">
        <v>118.236791</v>
      </c>
      <c r="X172" s="14">
        <v>0.96463652893601826</v>
      </c>
      <c r="Y172">
        <v>32.659999999999997</v>
      </c>
      <c r="Z172" s="14">
        <v>0.96404746443119416</v>
      </c>
      <c r="AA172">
        <v>26</v>
      </c>
      <c r="AC172">
        <v>170</v>
      </c>
      <c r="AD172">
        <v>117.497749</v>
      </c>
      <c r="AE172" s="14">
        <v>0.96772718722497231</v>
      </c>
      <c r="AF172">
        <v>32.451000000000001</v>
      </c>
      <c r="AG172" s="14">
        <v>0.96600482243324493</v>
      </c>
      <c r="AH172">
        <v>26</v>
      </c>
      <c r="AJ172">
        <v>170</v>
      </c>
      <c r="AK172">
        <v>117.454598</v>
      </c>
      <c r="AL172" s="14">
        <v>0.95436776346165719</v>
      </c>
      <c r="AM172">
        <v>32.521999999999998</v>
      </c>
      <c r="AN172" s="14">
        <v>0.95132510384367863</v>
      </c>
      <c r="AO172">
        <v>26</v>
      </c>
      <c r="AQ172">
        <v>170</v>
      </c>
      <c r="AR172">
        <v>116.232046</v>
      </c>
      <c r="AS172" s="14">
        <v>0.95397439765903735</v>
      </c>
      <c r="AT172">
        <v>32.228000000000002</v>
      </c>
      <c r="AU172" s="14">
        <v>0.95171721347783722</v>
      </c>
      <c r="AV172">
        <v>26</v>
      </c>
      <c r="AX172">
        <v>170</v>
      </c>
      <c r="AY172">
        <v>118.232033</v>
      </c>
      <c r="AZ172" s="14">
        <v>0.95639511846140801</v>
      </c>
      <c r="BA172">
        <v>32.784999999999997</v>
      </c>
      <c r="BB172" s="14">
        <v>0.95516256846521375</v>
      </c>
      <c r="BC172">
        <v>26</v>
      </c>
    </row>
    <row r="173" spans="15:55" x14ac:dyDescent="0.35">
      <c r="O173">
        <v>171</v>
      </c>
      <c r="P173">
        <v>118.101732</v>
      </c>
      <c r="Q173" s="14">
        <v>0.96268234156810273</v>
      </c>
      <c r="R173">
        <v>32.670999999999999</v>
      </c>
      <c r="S173" s="14">
        <v>0.96278069193139626</v>
      </c>
      <c r="T173">
        <v>26</v>
      </c>
      <c r="V173">
        <v>171</v>
      </c>
      <c r="W173">
        <v>118.17465300000001</v>
      </c>
      <c r="X173" s="14">
        <v>0.96412957518559872</v>
      </c>
      <c r="Y173">
        <v>32.645000000000003</v>
      </c>
      <c r="Z173" s="14">
        <v>0.96360469921482972</v>
      </c>
      <c r="AA173">
        <v>26</v>
      </c>
      <c r="AC173">
        <v>171</v>
      </c>
      <c r="AD173">
        <v>117.434704</v>
      </c>
      <c r="AE173" s="14">
        <v>0.96720794016672784</v>
      </c>
      <c r="AF173">
        <v>32.436</v>
      </c>
      <c r="AG173" s="14">
        <v>0.96555830083648364</v>
      </c>
      <c r="AH173">
        <v>26</v>
      </c>
      <c r="AJ173">
        <v>171</v>
      </c>
      <c r="AK173">
        <v>117.445988</v>
      </c>
      <c r="AL173" s="14">
        <v>0.95429780360837491</v>
      </c>
      <c r="AM173">
        <v>32.517000000000003</v>
      </c>
      <c r="AN173" s="14">
        <v>0.95117884514128603</v>
      </c>
      <c r="AO173">
        <v>26</v>
      </c>
      <c r="AQ173">
        <v>171</v>
      </c>
      <c r="AR173">
        <v>116.205028</v>
      </c>
      <c r="AS173" s="14">
        <v>0.95375264745190469</v>
      </c>
      <c r="AT173">
        <v>32.219000000000001</v>
      </c>
      <c r="AU173" s="14">
        <v>0.95145143667129317</v>
      </c>
      <c r="AV173">
        <v>26</v>
      </c>
      <c r="AX173">
        <v>171</v>
      </c>
      <c r="AY173">
        <v>118.21221799999999</v>
      </c>
      <c r="AZ173" s="14">
        <v>0.95623483221079164</v>
      </c>
      <c r="BA173">
        <v>32.777999999999999</v>
      </c>
      <c r="BB173" s="14">
        <v>0.95495862953035782</v>
      </c>
      <c r="BC173">
        <v>26</v>
      </c>
    </row>
    <row r="174" spans="15:55" x14ac:dyDescent="0.35">
      <c r="O174">
        <v>172</v>
      </c>
      <c r="P174">
        <v>118.035389</v>
      </c>
      <c r="Q174" s="14">
        <v>0.96214156004436813</v>
      </c>
      <c r="R174">
        <v>32.654000000000003</v>
      </c>
      <c r="S174" s="14">
        <v>0.96227971945541357</v>
      </c>
      <c r="T174">
        <v>26</v>
      </c>
      <c r="V174">
        <v>172</v>
      </c>
      <c r="W174">
        <v>118.181574</v>
      </c>
      <c r="X174" s="14">
        <v>0.96418604026182664</v>
      </c>
      <c r="Y174">
        <v>32.645000000000003</v>
      </c>
      <c r="Z174" s="14">
        <v>0.96360469921482972</v>
      </c>
      <c r="AA174">
        <v>26</v>
      </c>
      <c r="AC174">
        <v>172</v>
      </c>
      <c r="AD174">
        <v>117.412184</v>
      </c>
      <c r="AE174" s="14">
        <v>0.96702246243254331</v>
      </c>
      <c r="AF174">
        <v>32.432000000000002</v>
      </c>
      <c r="AG174" s="14">
        <v>0.96543922841068075</v>
      </c>
      <c r="AH174">
        <v>26</v>
      </c>
      <c r="AJ174">
        <v>172</v>
      </c>
      <c r="AK174">
        <v>117.412761</v>
      </c>
      <c r="AL174" s="14">
        <v>0.95402782032788602</v>
      </c>
      <c r="AM174">
        <v>32.506999999999998</v>
      </c>
      <c r="AN174" s="14">
        <v>0.95088632773650028</v>
      </c>
      <c r="AO174">
        <v>26</v>
      </c>
      <c r="AQ174">
        <v>172</v>
      </c>
      <c r="AR174">
        <v>116.13262899999999</v>
      </c>
      <c r="AS174" s="14">
        <v>0.95315843273407963</v>
      </c>
      <c r="AT174">
        <v>32.200000000000003</v>
      </c>
      <c r="AU174" s="14">
        <v>0.95089035230192254</v>
      </c>
      <c r="AV174">
        <v>26</v>
      </c>
      <c r="AX174">
        <v>172</v>
      </c>
      <c r="AY174">
        <v>118.218543</v>
      </c>
      <c r="AZ174" s="14">
        <v>0.95628599600262354</v>
      </c>
      <c r="BA174">
        <v>32.779000000000003</v>
      </c>
      <c r="BB174" s="14">
        <v>0.95498776366390881</v>
      </c>
      <c r="BC174">
        <v>26</v>
      </c>
    </row>
    <row r="175" spans="15:55" x14ac:dyDescent="0.35">
      <c r="O175">
        <v>173</v>
      </c>
      <c r="P175">
        <v>117.99218</v>
      </c>
      <c r="Q175" s="14">
        <v>0.96178935063479909</v>
      </c>
      <c r="R175">
        <v>32.643000000000001</v>
      </c>
      <c r="S175" s="14">
        <v>0.96195556079448352</v>
      </c>
      <c r="T175">
        <v>26</v>
      </c>
      <c r="V175">
        <v>173</v>
      </c>
      <c r="W175">
        <v>118.200541</v>
      </c>
      <c r="X175" s="14">
        <v>0.96434078279915014</v>
      </c>
      <c r="Y175">
        <v>32.65</v>
      </c>
      <c r="Z175" s="14">
        <v>0.96375228762028453</v>
      </c>
      <c r="AA175">
        <v>26</v>
      </c>
      <c r="AC175">
        <v>173</v>
      </c>
      <c r="AD175">
        <v>117.43677</v>
      </c>
      <c r="AE175" s="14">
        <v>0.96722495601925118</v>
      </c>
      <c r="AF175">
        <v>32.433999999999997</v>
      </c>
      <c r="AG175" s="14">
        <v>0.96549876462358208</v>
      </c>
      <c r="AH175">
        <v>26</v>
      </c>
      <c r="AJ175">
        <v>173</v>
      </c>
      <c r="AK175">
        <v>117.33642399999999</v>
      </c>
      <c r="AL175" s="14">
        <v>0.95340755025587587</v>
      </c>
      <c r="AM175">
        <v>32.488</v>
      </c>
      <c r="AN175" s="14">
        <v>0.95033054466740774</v>
      </c>
      <c r="AO175">
        <v>26</v>
      </c>
      <c r="AQ175">
        <v>173</v>
      </c>
      <c r="AR175">
        <v>116.076543</v>
      </c>
      <c r="AS175" s="14">
        <v>0.9526981069469288</v>
      </c>
      <c r="AT175">
        <v>32.185000000000002</v>
      </c>
      <c r="AU175" s="14">
        <v>0.95044739095768249</v>
      </c>
      <c r="AV175">
        <v>26</v>
      </c>
      <c r="AX175">
        <v>173</v>
      </c>
      <c r="AY175">
        <v>118.22985799999999</v>
      </c>
      <c r="AZ175" s="14">
        <v>0.95637752458832737</v>
      </c>
      <c r="BA175">
        <v>32.78</v>
      </c>
      <c r="BB175" s="14">
        <v>0.95501689779745957</v>
      </c>
      <c r="BC175">
        <v>26</v>
      </c>
    </row>
    <row r="176" spans="15:55" x14ac:dyDescent="0.35">
      <c r="O176">
        <v>174</v>
      </c>
      <c r="P176">
        <v>117.98771600000001</v>
      </c>
      <c r="Q176" s="14">
        <v>0.96175296324318349</v>
      </c>
      <c r="R176">
        <v>32.640999999999998</v>
      </c>
      <c r="S176" s="14">
        <v>0.96189662285613253</v>
      </c>
      <c r="T176">
        <v>26</v>
      </c>
      <c r="V176">
        <v>174</v>
      </c>
      <c r="W176">
        <v>118.197373</v>
      </c>
      <c r="X176" s="14">
        <v>0.96431493662641643</v>
      </c>
      <c r="Y176">
        <v>32.646000000000001</v>
      </c>
      <c r="Z176" s="14">
        <v>0.96363421689592066</v>
      </c>
      <c r="AA176">
        <v>26</v>
      </c>
      <c r="AC176">
        <v>174</v>
      </c>
      <c r="AD176">
        <v>117.444563</v>
      </c>
      <c r="AE176" s="14">
        <v>0.96728914021030366</v>
      </c>
      <c r="AF176">
        <v>32.435000000000002</v>
      </c>
      <c r="AG176" s="14">
        <v>0.96552853273003303</v>
      </c>
      <c r="AH176">
        <v>26</v>
      </c>
      <c r="AJ176">
        <v>174</v>
      </c>
      <c r="AK176">
        <v>117.290599</v>
      </c>
      <c r="AL176" s="14">
        <v>0.95303520295312816</v>
      </c>
      <c r="AM176">
        <v>32.475999999999999</v>
      </c>
      <c r="AN176" s="14">
        <v>0.94997952378166495</v>
      </c>
      <c r="AO176">
        <v>26</v>
      </c>
      <c r="AQ176">
        <v>174</v>
      </c>
      <c r="AR176">
        <v>116.071487</v>
      </c>
      <c r="AS176" s="14">
        <v>0.95265660983214384</v>
      </c>
      <c r="AT176">
        <v>32.183999999999997</v>
      </c>
      <c r="AU176" s="14">
        <v>0.95041786020139973</v>
      </c>
      <c r="AV176">
        <v>26</v>
      </c>
      <c r="AX176">
        <v>174</v>
      </c>
      <c r="AY176">
        <v>118.198086</v>
      </c>
      <c r="AZ176" s="14">
        <v>0.95612051652602215</v>
      </c>
      <c r="BA176">
        <v>32.770000000000003</v>
      </c>
      <c r="BB176" s="14">
        <v>0.95472555646195101</v>
      </c>
      <c r="BC176">
        <v>26</v>
      </c>
    </row>
    <row r="177" spans="15:55" x14ac:dyDescent="0.35">
      <c r="O177">
        <v>175</v>
      </c>
      <c r="P177">
        <v>117.97956499999999</v>
      </c>
      <c r="Q177" s="14">
        <v>0.96168652201803595</v>
      </c>
      <c r="R177">
        <v>32.637</v>
      </c>
      <c r="S177" s="14">
        <v>0.96177874697943078</v>
      </c>
      <c r="T177">
        <v>26</v>
      </c>
      <c r="V177">
        <v>175</v>
      </c>
      <c r="W177">
        <v>118.142916</v>
      </c>
      <c r="X177" s="14">
        <v>0.96387064842295644</v>
      </c>
      <c r="Y177">
        <v>32.631999999999998</v>
      </c>
      <c r="Z177" s="14">
        <v>0.96322096936064694</v>
      </c>
      <c r="AA177">
        <v>26</v>
      </c>
      <c r="AC177">
        <v>175</v>
      </c>
      <c r="AD177">
        <v>117.403795</v>
      </c>
      <c r="AE177" s="14">
        <v>0.96695336950571942</v>
      </c>
      <c r="AF177">
        <v>32.423000000000002</v>
      </c>
      <c r="AG177" s="14">
        <v>0.96517131545262402</v>
      </c>
      <c r="AH177">
        <v>26</v>
      </c>
      <c r="AJ177">
        <v>175</v>
      </c>
      <c r="AK177">
        <v>117.291735</v>
      </c>
      <c r="AL177" s="14">
        <v>0.95304443342854384</v>
      </c>
      <c r="AM177">
        <v>32.475000000000001</v>
      </c>
      <c r="AN177" s="14">
        <v>0.94995027204118654</v>
      </c>
      <c r="AO177">
        <v>26</v>
      </c>
      <c r="AQ177">
        <v>175</v>
      </c>
      <c r="AR177">
        <v>116.077417</v>
      </c>
      <c r="AS177" s="14">
        <v>0.9527052803010273</v>
      </c>
      <c r="AT177">
        <v>32.183</v>
      </c>
      <c r="AU177" s="14">
        <v>0.95038832944511709</v>
      </c>
      <c r="AV177">
        <v>26</v>
      </c>
      <c r="AX177">
        <v>175</v>
      </c>
      <c r="AY177">
        <v>118.129942</v>
      </c>
      <c r="AZ177" s="14">
        <v>0.95556929037098814</v>
      </c>
      <c r="BA177">
        <v>32.752000000000002</v>
      </c>
      <c r="BB177" s="14">
        <v>0.9542011420580353</v>
      </c>
      <c r="BC177">
        <v>26</v>
      </c>
    </row>
    <row r="178" spans="15:55" x14ac:dyDescent="0.35">
      <c r="O178">
        <v>176</v>
      </c>
      <c r="P178">
        <v>117.93973099999999</v>
      </c>
      <c r="Q178" s="14">
        <v>0.96136182323720831</v>
      </c>
      <c r="R178">
        <v>32.625999999999998</v>
      </c>
      <c r="S178" s="14">
        <v>0.96145458831850061</v>
      </c>
      <c r="T178">
        <v>26</v>
      </c>
      <c r="V178">
        <v>176</v>
      </c>
      <c r="W178">
        <v>118.087371</v>
      </c>
      <c r="X178" s="14">
        <v>0.96341748375613334</v>
      </c>
      <c r="Y178">
        <v>32.616999999999997</v>
      </c>
      <c r="Z178" s="14">
        <v>0.96277820414428239</v>
      </c>
      <c r="AA178">
        <v>26</v>
      </c>
      <c r="AC178">
        <v>176</v>
      </c>
      <c r="AD178">
        <v>117.33619299999999</v>
      </c>
      <c r="AE178" s="14">
        <v>0.96639659038554415</v>
      </c>
      <c r="AF178">
        <v>32.405999999999999</v>
      </c>
      <c r="AG178" s="14">
        <v>0.96466525764296118</v>
      </c>
      <c r="AH178">
        <v>26</v>
      </c>
      <c r="AJ178">
        <v>176</v>
      </c>
      <c r="AK178">
        <v>117.291787</v>
      </c>
      <c r="AL178" s="14">
        <v>0.95304485595030575</v>
      </c>
      <c r="AM178">
        <v>32.473999999999997</v>
      </c>
      <c r="AN178" s="14">
        <v>0.9499210203007078</v>
      </c>
      <c r="AO178">
        <v>26</v>
      </c>
      <c r="AQ178">
        <v>176</v>
      </c>
      <c r="AR178">
        <v>116.064047</v>
      </c>
      <c r="AS178" s="14">
        <v>0.95259554603981766</v>
      </c>
      <c r="AT178">
        <v>32.177999999999997</v>
      </c>
      <c r="AU178" s="14">
        <v>0.95024067566370363</v>
      </c>
      <c r="AV178">
        <v>26</v>
      </c>
      <c r="AX178">
        <v>176</v>
      </c>
      <c r="AY178">
        <v>118.087431</v>
      </c>
      <c r="AZ178" s="14">
        <v>0.95522541306591879</v>
      </c>
      <c r="BA178">
        <v>32.741</v>
      </c>
      <c r="BB178" s="14">
        <v>0.95388066658897563</v>
      </c>
      <c r="BC178">
        <v>26</v>
      </c>
    </row>
    <row r="179" spans="15:55" x14ac:dyDescent="0.35">
      <c r="O179">
        <v>177</v>
      </c>
      <c r="P179">
        <v>117.869196</v>
      </c>
      <c r="Q179" s="14">
        <v>0.96078687147475239</v>
      </c>
      <c r="R179">
        <v>32.607999999999997</v>
      </c>
      <c r="S179" s="14">
        <v>0.96092414687334238</v>
      </c>
      <c r="T179">
        <v>26</v>
      </c>
      <c r="V179">
        <v>177</v>
      </c>
      <c r="W179">
        <v>118.058601</v>
      </c>
      <c r="X179" s="14">
        <v>0.9631827633048865</v>
      </c>
      <c r="Y179">
        <v>32.61</v>
      </c>
      <c r="Z179" s="14">
        <v>0.96257158037664559</v>
      </c>
      <c r="AA179">
        <v>26</v>
      </c>
      <c r="AC179">
        <v>177</v>
      </c>
      <c r="AD179">
        <v>117.30610900000001</v>
      </c>
      <c r="AE179" s="14">
        <v>0.96614881453495782</v>
      </c>
      <c r="AF179">
        <v>32.399000000000001</v>
      </c>
      <c r="AG179" s="14">
        <v>0.96445688089780601</v>
      </c>
      <c r="AH179">
        <v>26</v>
      </c>
      <c r="AJ179">
        <v>177</v>
      </c>
      <c r="AK179">
        <v>117.282309</v>
      </c>
      <c r="AL179" s="14">
        <v>0.95296784323376571</v>
      </c>
      <c r="AM179">
        <v>32.469000000000001</v>
      </c>
      <c r="AN179" s="14">
        <v>0.94977476159831509</v>
      </c>
      <c r="AO179">
        <v>26</v>
      </c>
      <c r="AQ179">
        <v>177</v>
      </c>
      <c r="AR179">
        <v>116.013239</v>
      </c>
      <c r="AS179" s="14">
        <v>0.95217853943222286</v>
      </c>
      <c r="AT179">
        <v>32.162999999999997</v>
      </c>
      <c r="AU179" s="14">
        <v>0.94979771431946358</v>
      </c>
      <c r="AV179">
        <v>26</v>
      </c>
      <c r="AX179">
        <v>177</v>
      </c>
      <c r="AY179">
        <v>118.07114799999999</v>
      </c>
      <c r="AZ179" s="14">
        <v>0.95509369764735774</v>
      </c>
      <c r="BA179">
        <v>32.737000000000002</v>
      </c>
      <c r="BB179" s="14">
        <v>0.95376413005477223</v>
      </c>
      <c r="BC179">
        <v>26</v>
      </c>
    </row>
    <row r="180" spans="15:55" x14ac:dyDescent="0.35">
      <c r="O180">
        <v>178</v>
      </c>
      <c r="P180">
        <v>117.820125</v>
      </c>
      <c r="Q180" s="14">
        <v>0.96038687915979559</v>
      </c>
      <c r="R180">
        <v>32.594999999999999</v>
      </c>
      <c r="S180" s="14">
        <v>0.96054105027406145</v>
      </c>
      <c r="T180">
        <v>26</v>
      </c>
      <c r="V180">
        <v>178</v>
      </c>
      <c r="W180">
        <v>118.06005399999999</v>
      </c>
      <c r="X180" s="14">
        <v>0.96319461762590353</v>
      </c>
      <c r="Y180">
        <v>32.609000000000002</v>
      </c>
      <c r="Z180" s="14">
        <v>0.96254206269555465</v>
      </c>
      <c r="AA180">
        <v>26</v>
      </c>
      <c r="AC180">
        <v>178</v>
      </c>
      <c r="AD180">
        <v>117.304698</v>
      </c>
      <c r="AE180" s="14">
        <v>0.96613719335010273</v>
      </c>
      <c r="AF180">
        <v>32.396999999999998</v>
      </c>
      <c r="AG180" s="14">
        <v>0.96439734468490446</v>
      </c>
      <c r="AH180">
        <v>26</v>
      </c>
      <c r="AJ180">
        <v>178</v>
      </c>
      <c r="AK180">
        <v>117.220783</v>
      </c>
      <c r="AL180" s="14">
        <v>0.95246791873515446</v>
      </c>
      <c r="AM180">
        <v>32.453000000000003</v>
      </c>
      <c r="AN180" s="14">
        <v>0.94930673375065822</v>
      </c>
      <c r="AO180">
        <v>26</v>
      </c>
      <c r="AQ180">
        <v>178</v>
      </c>
      <c r="AR180">
        <v>115.955224</v>
      </c>
      <c r="AS180" s="14">
        <v>0.95170238137956165</v>
      </c>
      <c r="AT180">
        <v>32.149000000000001</v>
      </c>
      <c r="AU180" s="14">
        <v>0.94938428373150641</v>
      </c>
      <c r="AV180">
        <v>26</v>
      </c>
      <c r="AX180">
        <v>178</v>
      </c>
      <c r="AY180">
        <v>118.073525</v>
      </c>
      <c r="AZ180" s="14">
        <v>0.95511292552612215</v>
      </c>
      <c r="BA180">
        <v>32.734999999999999</v>
      </c>
      <c r="BB180" s="14">
        <v>0.95370586178767047</v>
      </c>
      <c r="BC180">
        <v>26</v>
      </c>
    </row>
    <row r="181" spans="15:55" x14ac:dyDescent="0.35">
      <c r="O181">
        <v>179</v>
      </c>
      <c r="P181">
        <v>117.822394</v>
      </c>
      <c r="Q181" s="14">
        <v>0.96040537445360741</v>
      </c>
      <c r="R181">
        <v>32.594000000000001</v>
      </c>
      <c r="S181" s="14">
        <v>0.96051158130488601</v>
      </c>
      <c r="T181">
        <v>26</v>
      </c>
      <c r="V181">
        <v>179</v>
      </c>
      <c r="W181">
        <v>118.05254600000001</v>
      </c>
      <c r="X181" s="14">
        <v>0.96313336350188694</v>
      </c>
      <c r="Y181">
        <v>32.606000000000002</v>
      </c>
      <c r="Z181" s="14">
        <v>0.96245350965228171</v>
      </c>
      <c r="AA181">
        <v>26</v>
      </c>
      <c r="AC181">
        <v>179</v>
      </c>
      <c r="AD181">
        <v>117.30638399999999</v>
      </c>
      <c r="AE181" s="14">
        <v>0.96615107947176493</v>
      </c>
      <c r="AF181">
        <v>32.396000000000001</v>
      </c>
      <c r="AG181" s="14">
        <v>0.96436757657845373</v>
      </c>
      <c r="AH181">
        <v>26</v>
      </c>
      <c r="AJ181">
        <v>179</v>
      </c>
      <c r="AK181">
        <v>117.157989</v>
      </c>
      <c r="AL181" s="14">
        <v>0.95195769120588558</v>
      </c>
      <c r="AM181">
        <v>32.436</v>
      </c>
      <c r="AN181" s="14">
        <v>0.94880945416252271</v>
      </c>
      <c r="AO181">
        <v>26</v>
      </c>
      <c r="AQ181">
        <v>179</v>
      </c>
      <c r="AR181">
        <v>115.935288</v>
      </c>
      <c r="AS181" s="14">
        <v>0.95153875668012444</v>
      </c>
      <c r="AT181">
        <v>32.140999999999998</v>
      </c>
      <c r="AU181" s="14">
        <v>0.949148037681245</v>
      </c>
      <c r="AV181">
        <v>26</v>
      </c>
      <c r="AX181">
        <v>179</v>
      </c>
      <c r="AY181">
        <v>118.037633</v>
      </c>
      <c r="AZ181" s="14">
        <v>0.95482259021917693</v>
      </c>
      <c r="BA181">
        <v>32.725000000000001</v>
      </c>
      <c r="BB181" s="14">
        <v>0.9534145204521618</v>
      </c>
      <c r="BC181">
        <v>26</v>
      </c>
    </row>
    <row r="182" spans="15:55" x14ac:dyDescent="0.35">
      <c r="O182">
        <v>180</v>
      </c>
      <c r="P182">
        <v>117.80646</v>
      </c>
      <c r="Q182" s="14">
        <v>0.96027549168075732</v>
      </c>
      <c r="R182">
        <v>32.588999999999999</v>
      </c>
      <c r="S182" s="14">
        <v>0.9603642364590087</v>
      </c>
      <c r="T182">
        <v>26</v>
      </c>
      <c r="V182">
        <v>180</v>
      </c>
      <c r="W182">
        <v>117.992689</v>
      </c>
      <c r="X182" s="14">
        <v>0.96264501932217617</v>
      </c>
      <c r="Y182">
        <v>32.590000000000003</v>
      </c>
      <c r="Z182" s="14">
        <v>0.96198122675482622</v>
      </c>
      <c r="AA182">
        <v>26</v>
      </c>
      <c r="AC182">
        <v>180</v>
      </c>
      <c r="AD182">
        <v>117.26493499999999</v>
      </c>
      <c r="AE182" s="14">
        <v>0.96580969996003252</v>
      </c>
      <c r="AF182">
        <v>32.384</v>
      </c>
      <c r="AG182" s="14">
        <v>0.96401035930104473</v>
      </c>
      <c r="AH182">
        <v>26</v>
      </c>
      <c r="AJ182">
        <v>180</v>
      </c>
      <c r="AK182">
        <v>117.150074</v>
      </c>
      <c r="AL182" s="14">
        <v>0.95189337851846068</v>
      </c>
      <c r="AM182">
        <v>32.433</v>
      </c>
      <c r="AN182" s="14">
        <v>0.94872169894108704</v>
      </c>
      <c r="AO182">
        <v>26</v>
      </c>
      <c r="AQ182">
        <v>180</v>
      </c>
      <c r="AR182">
        <v>115.925831</v>
      </c>
      <c r="AS182" s="14">
        <v>0.95146113836237867</v>
      </c>
      <c r="AT182">
        <v>32.139000000000003</v>
      </c>
      <c r="AU182" s="14">
        <v>0.94908897616867982</v>
      </c>
      <c r="AV182">
        <v>26</v>
      </c>
      <c r="AX182">
        <v>180</v>
      </c>
      <c r="AY182">
        <v>117.955375</v>
      </c>
      <c r="AZ182" s="14">
        <v>0.95415719398384025</v>
      </c>
      <c r="BA182">
        <v>32.704000000000001</v>
      </c>
      <c r="BB182" s="14">
        <v>0.95280270364759356</v>
      </c>
      <c r="BC182">
        <v>26</v>
      </c>
    </row>
    <row r="183" spans="15:55" x14ac:dyDescent="0.35">
      <c r="O183">
        <v>181</v>
      </c>
      <c r="P183">
        <v>117.77086</v>
      </c>
      <c r="Q183" s="14">
        <v>0.9599853054931422</v>
      </c>
      <c r="R183">
        <v>32.579000000000001</v>
      </c>
      <c r="S183" s="14">
        <v>0.9600695467672542</v>
      </c>
      <c r="T183">
        <v>26</v>
      </c>
      <c r="V183">
        <v>181</v>
      </c>
      <c r="W183">
        <v>117.926652</v>
      </c>
      <c r="X183" s="14">
        <v>0.96210625552520079</v>
      </c>
      <c r="Y183">
        <v>32.573</v>
      </c>
      <c r="Z183" s="14">
        <v>0.96147942617627957</v>
      </c>
      <c r="AA183">
        <v>26</v>
      </c>
      <c r="AC183">
        <v>181</v>
      </c>
      <c r="AD183">
        <v>117.19541100000001</v>
      </c>
      <c r="AE183" s="14">
        <v>0.96523709099060773</v>
      </c>
      <c r="AF183">
        <v>32.368000000000002</v>
      </c>
      <c r="AG183" s="14">
        <v>0.96353406959783283</v>
      </c>
      <c r="AH183">
        <v>26</v>
      </c>
      <c r="AJ183">
        <v>181</v>
      </c>
      <c r="AK183">
        <v>117.149389</v>
      </c>
      <c r="AL183" s="14">
        <v>0.95188781260678834</v>
      </c>
      <c r="AM183">
        <v>32.430999999999997</v>
      </c>
      <c r="AN183" s="14">
        <v>0.94866319546012978</v>
      </c>
      <c r="AO183">
        <v>26</v>
      </c>
      <c r="AQ183">
        <v>181</v>
      </c>
      <c r="AR183">
        <v>115.905638</v>
      </c>
      <c r="AS183" s="14">
        <v>0.95129540433570647</v>
      </c>
      <c r="AT183">
        <v>32.130000000000003</v>
      </c>
      <c r="AU183" s="14">
        <v>0.94882319936213577</v>
      </c>
      <c r="AV183">
        <v>26</v>
      </c>
      <c r="AX183">
        <v>181</v>
      </c>
      <c r="AY183">
        <v>117.906268</v>
      </c>
      <c r="AZ183" s="14">
        <v>0.95375996073079883</v>
      </c>
      <c r="BA183">
        <v>32.692</v>
      </c>
      <c r="BB183" s="14">
        <v>0.95245309404498313</v>
      </c>
      <c r="BC183">
        <v>26</v>
      </c>
    </row>
    <row r="184" spans="15:55" x14ac:dyDescent="0.35">
      <c r="O184">
        <v>182</v>
      </c>
      <c r="P184">
        <v>117.688852</v>
      </c>
      <c r="Q184" s="14">
        <v>0.95931683389555955</v>
      </c>
      <c r="R184">
        <v>32.558</v>
      </c>
      <c r="S184" s="14">
        <v>0.95945069841456954</v>
      </c>
      <c r="T184">
        <v>26</v>
      </c>
      <c r="V184">
        <v>182</v>
      </c>
      <c r="W184">
        <v>117.90425999999999</v>
      </c>
      <c r="X184" s="14">
        <v>0.96192357007701446</v>
      </c>
      <c r="Y184">
        <v>32.567999999999998</v>
      </c>
      <c r="Z184" s="14">
        <v>0.96133183777082465</v>
      </c>
      <c r="AA184">
        <v>26</v>
      </c>
      <c r="AC184">
        <v>182</v>
      </c>
      <c r="AD184">
        <v>117.14919</v>
      </c>
      <c r="AE184" s="14">
        <v>0.96485640864816791</v>
      </c>
      <c r="AF184">
        <v>32.356000000000002</v>
      </c>
      <c r="AG184" s="14">
        <v>0.96317685232042383</v>
      </c>
      <c r="AH184">
        <v>26</v>
      </c>
      <c r="AJ184">
        <v>182</v>
      </c>
      <c r="AK184">
        <v>117.124126</v>
      </c>
      <c r="AL184" s="14">
        <v>0.95168254015923093</v>
      </c>
      <c r="AM184">
        <v>32.423000000000002</v>
      </c>
      <c r="AN184" s="14">
        <v>0.94842918153630151</v>
      </c>
      <c r="AO184">
        <v>26</v>
      </c>
      <c r="AQ184">
        <v>182</v>
      </c>
      <c r="AR184">
        <v>115.83047000000001</v>
      </c>
      <c r="AS184" s="14">
        <v>0.95067846305323755</v>
      </c>
      <c r="AT184">
        <v>32.112000000000002</v>
      </c>
      <c r="AU184" s="14">
        <v>0.94829164574904767</v>
      </c>
      <c r="AV184">
        <v>26</v>
      </c>
      <c r="AX184">
        <v>182</v>
      </c>
      <c r="AY184">
        <v>117.911614</v>
      </c>
      <c r="AZ184" s="14">
        <v>0.95380320525746021</v>
      </c>
      <c r="BA184">
        <v>32.691000000000003</v>
      </c>
      <c r="BB184" s="14">
        <v>0.95242395991143236</v>
      </c>
      <c r="BC184">
        <v>26</v>
      </c>
    </row>
    <row r="185" spans="15:55" x14ac:dyDescent="0.35">
      <c r="O185">
        <v>183</v>
      </c>
      <c r="P185">
        <v>117.65103499999999</v>
      </c>
      <c r="Q185" s="14">
        <v>0.95900857628159764</v>
      </c>
      <c r="R185">
        <v>32.548000000000002</v>
      </c>
      <c r="S185" s="14">
        <v>0.95915600872281503</v>
      </c>
      <c r="T185">
        <v>26</v>
      </c>
      <c r="V185">
        <v>183</v>
      </c>
      <c r="W185">
        <v>117.89962800000001</v>
      </c>
      <c r="X185" s="14">
        <v>0.96188577983960843</v>
      </c>
      <c r="Y185">
        <v>32.564999999999998</v>
      </c>
      <c r="Z185" s="14">
        <v>0.96124328472755172</v>
      </c>
      <c r="AA185">
        <v>26</v>
      </c>
      <c r="AC185">
        <v>183</v>
      </c>
      <c r="AD185">
        <v>117.151059</v>
      </c>
      <c r="AE185" s="14">
        <v>0.96487180198232381</v>
      </c>
      <c r="AF185">
        <v>32.354999999999997</v>
      </c>
      <c r="AG185" s="14">
        <v>0.96314708421397299</v>
      </c>
      <c r="AH185">
        <v>26</v>
      </c>
      <c r="AJ185">
        <v>183</v>
      </c>
      <c r="AK185">
        <v>117.031808</v>
      </c>
      <c r="AL185" s="14">
        <v>0.95093241777417747</v>
      </c>
      <c r="AM185">
        <v>32.399000000000001</v>
      </c>
      <c r="AN185" s="14">
        <v>0.94772713976481604</v>
      </c>
      <c r="AO185">
        <v>26</v>
      </c>
      <c r="AQ185">
        <v>183</v>
      </c>
      <c r="AR185">
        <v>115.76967399999999</v>
      </c>
      <c r="AS185" s="14">
        <v>0.95017947994594465</v>
      </c>
      <c r="AT185">
        <v>32.094999999999999</v>
      </c>
      <c r="AU185" s="14">
        <v>0.94778962289224222</v>
      </c>
      <c r="AV185">
        <v>26</v>
      </c>
      <c r="AX185">
        <v>183</v>
      </c>
      <c r="AY185">
        <v>117.889813</v>
      </c>
      <c r="AZ185" s="14">
        <v>0.9536268539806656</v>
      </c>
      <c r="BA185">
        <v>32.685000000000002</v>
      </c>
      <c r="BB185" s="14">
        <v>0.9522491551101272</v>
      </c>
      <c r="BC185">
        <v>26</v>
      </c>
    </row>
    <row r="186" spans="15:55" x14ac:dyDescent="0.35">
      <c r="O186">
        <v>184</v>
      </c>
      <c r="P186">
        <v>117.656958</v>
      </c>
      <c r="Q186" s="14">
        <v>0.95905685641612715</v>
      </c>
      <c r="R186">
        <v>32.549999999999997</v>
      </c>
      <c r="S186" s="14">
        <v>0.9592149466611658</v>
      </c>
      <c r="T186">
        <v>26</v>
      </c>
      <c r="V186">
        <v>184</v>
      </c>
      <c r="W186">
        <v>117.883747</v>
      </c>
      <c r="X186" s="14">
        <v>0.96175621447686077</v>
      </c>
      <c r="Y186">
        <v>32.56</v>
      </c>
      <c r="Z186" s="14">
        <v>0.96109569632209702</v>
      </c>
      <c r="AA186">
        <v>26</v>
      </c>
      <c r="AC186">
        <v>184</v>
      </c>
      <c r="AD186">
        <v>117.14603700000001</v>
      </c>
      <c r="AE186" s="14">
        <v>0.96483044011815533</v>
      </c>
      <c r="AF186">
        <v>32.351999999999997</v>
      </c>
      <c r="AG186" s="14">
        <v>0.96305777989462071</v>
      </c>
      <c r="AH186">
        <v>26</v>
      </c>
      <c r="AJ186">
        <v>184</v>
      </c>
      <c r="AK186">
        <v>116.971273</v>
      </c>
      <c r="AL186" s="14">
        <v>0.95044054556529933</v>
      </c>
      <c r="AM186">
        <v>32.384</v>
      </c>
      <c r="AN186" s="14">
        <v>0.94728836365763769</v>
      </c>
      <c r="AO186">
        <v>26</v>
      </c>
      <c r="AQ186">
        <v>184</v>
      </c>
      <c r="AR186">
        <v>115.743454</v>
      </c>
      <c r="AS186" s="14">
        <v>0.94996427932298899</v>
      </c>
      <c r="AT186">
        <v>32.090000000000003</v>
      </c>
      <c r="AU186" s="14">
        <v>0.9476419691108291</v>
      </c>
      <c r="AV186">
        <v>26</v>
      </c>
      <c r="AX186">
        <v>184</v>
      </c>
      <c r="AY186">
        <v>117.85455399999999</v>
      </c>
      <c r="AZ186" s="14">
        <v>0.95334163909747194</v>
      </c>
      <c r="BA186">
        <v>32.673999999999999</v>
      </c>
      <c r="BB186" s="14">
        <v>0.95192867964106753</v>
      </c>
      <c r="BC186">
        <v>26</v>
      </c>
    </row>
    <row r="187" spans="15:55" x14ac:dyDescent="0.35">
      <c r="O187">
        <v>185</v>
      </c>
      <c r="P187">
        <v>117.64836</v>
      </c>
      <c r="Q187" s="14">
        <v>0.95898677156103951</v>
      </c>
      <c r="R187">
        <v>32.545000000000002</v>
      </c>
      <c r="S187" s="14">
        <v>0.95906760181528861</v>
      </c>
      <c r="T187">
        <v>26</v>
      </c>
      <c r="V187">
        <v>185</v>
      </c>
      <c r="W187">
        <v>117.83305799999999</v>
      </c>
      <c r="X187" s="14">
        <v>0.96134266755460673</v>
      </c>
      <c r="Y187">
        <v>32.545999999999999</v>
      </c>
      <c r="Z187" s="14">
        <v>0.9606824487868233</v>
      </c>
      <c r="AA187">
        <v>26</v>
      </c>
      <c r="AC187">
        <v>185</v>
      </c>
      <c r="AD187">
        <v>117.11049199999999</v>
      </c>
      <c r="AE187" s="14">
        <v>0.96453768674064233</v>
      </c>
      <c r="AF187">
        <v>32.341000000000001</v>
      </c>
      <c r="AG187" s="14">
        <v>0.96273033072366265</v>
      </c>
      <c r="AH187">
        <v>26</v>
      </c>
      <c r="AJ187">
        <v>185</v>
      </c>
      <c r="AK187">
        <v>116.96004499999999</v>
      </c>
      <c r="AL187" s="14">
        <v>0.95034931336638495</v>
      </c>
      <c r="AM187">
        <v>32.381999999999998</v>
      </c>
      <c r="AN187" s="14">
        <v>0.94722986017668043</v>
      </c>
      <c r="AO187">
        <v>26</v>
      </c>
      <c r="AQ187">
        <v>185</v>
      </c>
      <c r="AR187">
        <v>115.753384</v>
      </c>
      <c r="AS187" s="14">
        <v>0.95004577978774674</v>
      </c>
      <c r="AT187">
        <v>32.087000000000003</v>
      </c>
      <c r="AU187" s="14">
        <v>0.94755337684198104</v>
      </c>
      <c r="AV187">
        <v>26</v>
      </c>
      <c r="AX187">
        <v>185</v>
      </c>
      <c r="AY187">
        <v>117.771879</v>
      </c>
      <c r="AZ187" s="14">
        <v>0.95267286969198617</v>
      </c>
      <c r="BA187">
        <v>32.654000000000003</v>
      </c>
      <c r="BB187" s="14">
        <v>0.95134599697005029</v>
      </c>
      <c r="BC187">
        <v>26</v>
      </c>
    </row>
    <row r="188" spans="15:55" x14ac:dyDescent="0.35">
      <c r="O188">
        <v>186</v>
      </c>
      <c r="P188">
        <v>117.61941899999999</v>
      </c>
      <c r="Q188" s="14">
        <v>0.95875086486284378</v>
      </c>
      <c r="R188">
        <v>32.536000000000001</v>
      </c>
      <c r="S188" s="14">
        <v>0.95880238109270943</v>
      </c>
      <c r="T188">
        <v>26</v>
      </c>
      <c r="V188">
        <v>186</v>
      </c>
      <c r="W188">
        <v>117.756861</v>
      </c>
      <c r="X188" s="14">
        <v>0.96072101325416703</v>
      </c>
      <c r="Y188">
        <v>32.527000000000001</v>
      </c>
      <c r="Z188" s="14">
        <v>0.96012161284609487</v>
      </c>
      <c r="AA188">
        <v>26</v>
      </c>
      <c r="AC188">
        <v>186</v>
      </c>
      <c r="AD188">
        <v>117.03109600000001</v>
      </c>
      <c r="AE188" s="14">
        <v>0.96388377065790187</v>
      </c>
      <c r="AF188">
        <v>32.323</v>
      </c>
      <c r="AG188" s="14">
        <v>0.96219450480754909</v>
      </c>
      <c r="AH188">
        <v>26</v>
      </c>
      <c r="AJ188">
        <v>186</v>
      </c>
      <c r="AK188">
        <v>116.953215</v>
      </c>
      <c r="AL188" s="14">
        <v>0.95029381675803215</v>
      </c>
      <c r="AM188">
        <v>32.375999999999998</v>
      </c>
      <c r="AN188" s="14">
        <v>0.94705434973380909</v>
      </c>
      <c r="AO188">
        <v>26</v>
      </c>
      <c r="AQ188">
        <v>186</v>
      </c>
      <c r="AR188">
        <v>115.72815900000001</v>
      </c>
      <c r="AS188" s="14">
        <v>0.9498387456262648</v>
      </c>
      <c r="AT188">
        <v>32.081000000000003</v>
      </c>
      <c r="AU188" s="14">
        <v>0.94737619230428505</v>
      </c>
      <c r="AV188">
        <v>26</v>
      </c>
      <c r="AX188">
        <v>186</v>
      </c>
      <c r="AY188">
        <v>117.721605</v>
      </c>
      <c r="AZ188" s="14">
        <v>0.95226619641600918</v>
      </c>
      <c r="BA188">
        <v>32.642000000000003</v>
      </c>
      <c r="BB188" s="14">
        <v>0.95099638736743985</v>
      </c>
      <c r="BC188">
        <v>26</v>
      </c>
    </row>
    <row r="189" spans="15:55" x14ac:dyDescent="0.35">
      <c r="O189">
        <v>187</v>
      </c>
      <c r="P189">
        <v>117.55839899999999</v>
      </c>
      <c r="Q189" s="14">
        <v>0.95825347269519556</v>
      </c>
      <c r="R189">
        <v>32.520000000000003</v>
      </c>
      <c r="S189" s="14">
        <v>0.95833087758590219</v>
      </c>
      <c r="T189">
        <v>26</v>
      </c>
      <c r="V189">
        <v>187</v>
      </c>
      <c r="W189">
        <v>117.732541</v>
      </c>
      <c r="X189" s="14">
        <v>0.96052259819075647</v>
      </c>
      <c r="Y189">
        <v>32.521000000000001</v>
      </c>
      <c r="Z189" s="14">
        <v>0.95994450675954901</v>
      </c>
      <c r="AA189">
        <v>26</v>
      </c>
      <c r="AC189">
        <v>187</v>
      </c>
      <c r="AD189">
        <v>116.979343</v>
      </c>
      <c r="AE189" s="14">
        <v>0.9634575260230327</v>
      </c>
      <c r="AF189">
        <v>32.308999999999997</v>
      </c>
      <c r="AG189" s="14">
        <v>0.96177775131723853</v>
      </c>
      <c r="AH189">
        <v>26</v>
      </c>
      <c r="AJ189">
        <v>187</v>
      </c>
      <c r="AK189">
        <v>116.936172</v>
      </c>
      <c r="AL189" s="14">
        <v>0.95015533525054208</v>
      </c>
      <c r="AM189">
        <v>32.371000000000002</v>
      </c>
      <c r="AN189" s="14">
        <v>0.94690809103141649</v>
      </c>
      <c r="AO189">
        <v>26</v>
      </c>
      <c r="AQ189">
        <v>187</v>
      </c>
      <c r="AR189">
        <v>115.67932999999999</v>
      </c>
      <c r="AS189" s="14">
        <v>0.94943798165912874</v>
      </c>
      <c r="AT189">
        <v>32.064999999999998</v>
      </c>
      <c r="AU189" s="14">
        <v>0.94690370020376213</v>
      </c>
      <c r="AV189">
        <v>26</v>
      </c>
      <c r="AX189">
        <v>187</v>
      </c>
      <c r="AY189">
        <v>117.721558</v>
      </c>
      <c r="AZ189" s="14">
        <v>0.95226581622656792</v>
      </c>
      <c r="BA189">
        <v>32.64</v>
      </c>
      <c r="BB189" s="14">
        <v>0.95093811910033799</v>
      </c>
      <c r="BC189">
        <v>26</v>
      </c>
    </row>
    <row r="190" spans="15:55" x14ac:dyDescent="0.35">
      <c r="O190">
        <v>188</v>
      </c>
      <c r="P190">
        <v>117.51106900000001</v>
      </c>
      <c r="Q190" s="14">
        <v>0.95786767178902077</v>
      </c>
      <c r="R190">
        <v>32.509</v>
      </c>
      <c r="S190" s="14">
        <v>0.95800671892497213</v>
      </c>
      <c r="T190">
        <v>26</v>
      </c>
      <c r="V190">
        <v>188</v>
      </c>
      <c r="W190">
        <v>117.738719</v>
      </c>
      <c r="X190" s="14">
        <v>0.96057300149099301</v>
      </c>
      <c r="Y190">
        <v>32.521000000000001</v>
      </c>
      <c r="Z190" s="14">
        <v>0.95994450675954901</v>
      </c>
      <c r="AA190">
        <v>26</v>
      </c>
      <c r="AC190">
        <v>188</v>
      </c>
      <c r="AD190">
        <v>116.990511</v>
      </c>
      <c r="AE190" s="14">
        <v>0.96354950716581123</v>
      </c>
      <c r="AF190">
        <v>32.311</v>
      </c>
      <c r="AG190" s="14">
        <v>0.96183728753014008</v>
      </c>
      <c r="AH190">
        <v>26</v>
      </c>
      <c r="AJ190">
        <v>188</v>
      </c>
      <c r="AK190">
        <v>116.867717</v>
      </c>
      <c r="AL190" s="14">
        <v>0.94959910972714656</v>
      </c>
      <c r="AM190">
        <v>32.351999999999997</v>
      </c>
      <c r="AN190" s="14">
        <v>0.94635230796232361</v>
      </c>
      <c r="AO190">
        <v>26</v>
      </c>
      <c r="AQ190">
        <v>188</v>
      </c>
      <c r="AR190">
        <v>115.605367</v>
      </c>
      <c r="AS190" s="14">
        <v>0.94883093041291688</v>
      </c>
      <c r="AT190">
        <v>32.048000000000002</v>
      </c>
      <c r="AU190" s="14">
        <v>0.9464016773469569</v>
      </c>
      <c r="AV190">
        <v>26</v>
      </c>
      <c r="AX190">
        <v>188</v>
      </c>
      <c r="AY190">
        <v>117.71195</v>
      </c>
      <c r="AZ190" s="14">
        <v>0.95218809579780583</v>
      </c>
      <c r="BA190">
        <v>32.637</v>
      </c>
      <c r="BB190" s="14">
        <v>0.95085071669968546</v>
      </c>
      <c r="BC190">
        <v>26</v>
      </c>
    </row>
    <row r="191" spans="15:55" x14ac:dyDescent="0.35">
      <c r="O191">
        <v>189</v>
      </c>
      <c r="P191">
        <v>117.506306</v>
      </c>
      <c r="Q191" s="14">
        <v>0.95782884715948113</v>
      </c>
      <c r="R191">
        <v>32.506</v>
      </c>
      <c r="S191" s="14">
        <v>0.95791831201744571</v>
      </c>
      <c r="T191">
        <v>26</v>
      </c>
      <c r="V191">
        <v>189</v>
      </c>
      <c r="W191">
        <v>117.729739</v>
      </c>
      <c r="X191" s="14">
        <v>0.96049973803419086</v>
      </c>
      <c r="Y191">
        <v>32.517000000000003</v>
      </c>
      <c r="Z191" s="14">
        <v>0.95982643603518514</v>
      </c>
      <c r="AA191">
        <v>26</v>
      </c>
      <c r="AC191">
        <v>189</v>
      </c>
      <c r="AD191">
        <v>116.985918</v>
      </c>
      <c r="AE191" s="14">
        <v>0.96351167860306208</v>
      </c>
      <c r="AF191">
        <v>32.308999999999997</v>
      </c>
      <c r="AG191" s="14">
        <v>0.96177775131723853</v>
      </c>
      <c r="AH191">
        <v>26</v>
      </c>
      <c r="AJ191">
        <v>189</v>
      </c>
      <c r="AK191">
        <v>116.791246</v>
      </c>
      <c r="AL191" s="14">
        <v>0.94897775084905756</v>
      </c>
      <c r="AM191">
        <v>32.332999999999998</v>
      </c>
      <c r="AN191" s="14">
        <v>0.94579652489323107</v>
      </c>
      <c r="AO191">
        <v>26</v>
      </c>
      <c r="AQ191">
        <v>189</v>
      </c>
      <c r="AR191">
        <v>115.58138099999999</v>
      </c>
      <c r="AS191" s="14">
        <v>0.94863406534265693</v>
      </c>
      <c r="AT191">
        <v>32.04</v>
      </c>
      <c r="AU191" s="14">
        <v>0.9461654312966955</v>
      </c>
      <c r="AV191">
        <v>26</v>
      </c>
      <c r="AX191">
        <v>189</v>
      </c>
      <c r="AY191">
        <v>117.68395099999999</v>
      </c>
      <c r="AZ191" s="14">
        <v>0.95196160804958441</v>
      </c>
      <c r="BA191">
        <v>32.628</v>
      </c>
      <c r="BB191" s="14">
        <v>0.95058850949772755</v>
      </c>
      <c r="BC191">
        <v>26</v>
      </c>
    </row>
    <row r="192" spans="15:55" x14ac:dyDescent="0.35">
      <c r="O192">
        <v>190</v>
      </c>
      <c r="P192">
        <v>117.504924</v>
      </c>
      <c r="Q192" s="14">
        <v>0.95781758206646761</v>
      </c>
      <c r="R192">
        <v>32.503999999999998</v>
      </c>
      <c r="S192" s="14">
        <v>0.95785937407909472</v>
      </c>
      <c r="T192">
        <v>26</v>
      </c>
      <c r="V192">
        <v>190</v>
      </c>
      <c r="W192">
        <v>117.69638399999999</v>
      </c>
      <c r="X192" s="14">
        <v>0.96022761079570162</v>
      </c>
      <c r="Y192">
        <v>32.506999999999998</v>
      </c>
      <c r="Z192" s="14">
        <v>0.95953125922427529</v>
      </c>
      <c r="AA192">
        <v>26</v>
      </c>
      <c r="AC192">
        <v>190</v>
      </c>
      <c r="AD192">
        <v>116.970136</v>
      </c>
      <c r="AE192" s="14">
        <v>0.96338169593872369</v>
      </c>
      <c r="AF192">
        <v>32.302999999999997</v>
      </c>
      <c r="AG192" s="14">
        <v>0.96159914267853408</v>
      </c>
      <c r="AH192">
        <v>26</v>
      </c>
      <c r="AJ192">
        <v>190</v>
      </c>
      <c r="AK192">
        <v>116.769747</v>
      </c>
      <c r="AL192" s="14">
        <v>0.94880306247673285</v>
      </c>
      <c r="AM192">
        <v>32.328000000000003</v>
      </c>
      <c r="AN192" s="14">
        <v>0.94565026619083847</v>
      </c>
      <c r="AO192">
        <v>26</v>
      </c>
      <c r="AQ192">
        <v>190</v>
      </c>
      <c r="AR192">
        <v>115.568448</v>
      </c>
      <c r="AS192" s="14">
        <v>0.94852791775849654</v>
      </c>
      <c r="AT192">
        <v>32.033999999999999</v>
      </c>
      <c r="AU192" s="14">
        <v>0.94598824675899951</v>
      </c>
      <c r="AV192">
        <v>26</v>
      </c>
      <c r="AX192">
        <v>190</v>
      </c>
      <c r="AY192">
        <v>117.62732800000001</v>
      </c>
      <c r="AZ192" s="14">
        <v>0.95150357684248643</v>
      </c>
      <c r="BA192">
        <v>32.612000000000002</v>
      </c>
      <c r="BB192" s="14">
        <v>0.95012236336091371</v>
      </c>
      <c r="BC192">
        <v>26</v>
      </c>
    </row>
    <row r="193" spans="15:55" x14ac:dyDescent="0.35">
      <c r="O193">
        <v>191</v>
      </c>
      <c r="P193">
        <v>117.492611</v>
      </c>
      <c r="Q193" s="14">
        <v>0.95771721514152075</v>
      </c>
      <c r="R193">
        <v>32.499000000000002</v>
      </c>
      <c r="S193" s="14">
        <v>0.95771202923321752</v>
      </c>
      <c r="T193">
        <v>26</v>
      </c>
      <c r="V193">
        <v>191</v>
      </c>
      <c r="W193">
        <v>117.633054</v>
      </c>
      <c r="X193" s="14">
        <v>0.95971093209645042</v>
      </c>
      <c r="Y193">
        <v>32.491</v>
      </c>
      <c r="Z193" s="14">
        <v>0.9590589763268198</v>
      </c>
      <c r="AA193">
        <v>26</v>
      </c>
      <c r="AC193">
        <v>191</v>
      </c>
      <c r="AD193">
        <v>116.906125</v>
      </c>
      <c r="AE193" s="14">
        <v>0.9628544927751852</v>
      </c>
      <c r="AF193">
        <v>32.286999999999999</v>
      </c>
      <c r="AG193" s="14">
        <v>0.96112285297532207</v>
      </c>
      <c r="AH193">
        <v>26</v>
      </c>
      <c r="AJ193">
        <v>191</v>
      </c>
      <c r="AK193">
        <v>116.750612</v>
      </c>
      <c r="AL193" s="14">
        <v>0.9486475825937416</v>
      </c>
      <c r="AM193">
        <v>32.320999999999998</v>
      </c>
      <c r="AN193" s="14">
        <v>0.94544550400748839</v>
      </c>
      <c r="AO193">
        <v>26</v>
      </c>
      <c r="AQ193">
        <v>191</v>
      </c>
      <c r="AR193">
        <v>115.55225</v>
      </c>
      <c r="AS193" s="14">
        <v>0.94839497269020379</v>
      </c>
      <c r="AT193">
        <v>32.027999999999999</v>
      </c>
      <c r="AU193" s="14">
        <v>0.94581106222130351</v>
      </c>
      <c r="AV193">
        <v>26</v>
      </c>
      <c r="AX193">
        <v>191</v>
      </c>
      <c r="AY193">
        <v>117.561905</v>
      </c>
      <c r="AZ193" s="14">
        <v>0.95097436122936152</v>
      </c>
      <c r="BA193">
        <v>32.597000000000001</v>
      </c>
      <c r="BB193" s="14">
        <v>0.94968535135765075</v>
      </c>
      <c r="BC193">
        <v>26</v>
      </c>
    </row>
    <row r="194" spans="15:55" x14ac:dyDescent="0.35">
      <c r="O194">
        <v>192</v>
      </c>
      <c r="P194">
        <v>117.441267</v>
      </c>
      <c r="Q194" s="14">
        <v>0.95729869492756259</v>
      </c>
      <c r="R194">
        <v>32.484999999999999</v>
      </c>
      <c r="S194" s="14">
        <v>0.95729946366476104</v>
      </c>
      <c r="T194">
        <v>26</v>
      </c>
      <c r="V194">
        <v>192</v>
      </c>
      <c r="W194">
        <v>117.599368</v>
      </c>
      <c r="X194" s="14">
        <v>0.95943610438978721</v>
      </c>
      <c r="Y194">
        <v>32.482999999999997</v>
      </c>
      <c r="Z194" s="14">
        <v>0.95882283487809183</v>
      </c>
      <c r="AA194">
        <v>26</v>
      </c>
      <c r="AC194">
        <v>192</v>
      </c>
      <c r="AD194">
        <v>116.85432</v>
      </c>
      <c r="AE194" s="14">
        <v>0.96242781986135606</v>
      </c>
      <c r="AF194">
        <v>32.274000000000001</v>
      </c>
      <c r="AG194" s="14">
        <v>0.96073586759146246</v>
      </c>
      <c r="AH194">
        <v>26</v>
      </c>
      <c r="AJ194">
        <v>192</v>
      </c>
      <c r="AK194">
        <v>116.73153600000001</v>
      </c>
      <c r="AL194" s="14">
        <v>0.94849258211044163</v>
      </c>
      <c r="AM194">
        <v>32.314999999999998</v>
      </c>
      <c r="AN194" s="14">
        <v>0.94526999356461705</v>
      </c>
      <c r="AO194">
        <v>26</v>
      </c>
      <c r="AQ194">
        <v>192</v>
      </c>
      <c r="AR194">
        <v>115.523152</v>
      </c>
      <c r="AS194" s="14">
        <v>0.94815615088521643</v>
      </c>
      <c r="AT194">
        <v>32.018000000000001</v>
      </c>
      <c r="AU194" s="14">
        <v>0.94551575465847681</v>
      </c>
      <c r="AV194">
        <v>26</v>
      </c>
      <c r="AX194">
        <v>192</v>
      </c>
      <c r="AY194">
        <v>117.56334200000001</v>
      </c>
      <c r="AZ194" s="14">
        <v>0.95098598531930023</v>
      </c>
      <c r="BA194">
        <v>32.595999999999997</v>
      </c>
      <c r="BB194" s="14">
        <v>0.94965621722409965</v>
      </c>
      <c r="BC194">
        <v>26</v>
      </c>
    </row>
    <row r="195" spans="15:55" x14ac:dyDescent="0.35">
      <c r="O195">
        <v>193</v>
      </c>
      <c r="P195">
        <v>117.39232</v>
      </c>
      <c r="Q195" s="14">
        <v>0.95689971337348401</v>
      </c>
      <c r="R195">
        <v>32.473999999999997</v>
      </c>
      <c r="S195" s="14">
        <v>0.95697530500383099</v>
      </c>
      <c r="T195">
        <v>26</v>
      </c>
      <c r="V195">
        <v>193</v>
      </c>
      <c r="W195">
        <v>117.599019</v>
      </c>
      <c r="X195" s="14">
        <v>0.95943325706835925</v>
      </c>
      <c r="Y195">
        <v>32.481999999999999</v>
      </c>
      <c r="Z195" s="14">
        <v>0.958793317197001</v>
      </c>
      <c r="AA195">
        <v>26</v>
      </c>
      <c r="AC195">
        <v>193</v>
      </c>
      <c r="AD195">
        <v>116.850916</v>
      </c>
      <c r="AE195" s="14">
        <v>0.96239978406174842</v>
      </c>
      <c r="AF195">
        <v>32.271999999999998</v>
      </c>
      <c r="AG195" s="14">
        <v>0.9606763313785609</v>
      </c>
      <c r="AH195">
        <v>26</v>
      </c>
      <c r="AJ195">
        <v>193</v>
      </c>
      <c r="AK195">
        <v>116.68779499999999</v>
      </c>
      <c r="AL195" s="14">
        <v>0.94813716817984706</v>
      </c>
      <c r="AM195">
        <v>32.302999999999997</v>
      </c>
      <c r="AN195" s="14">
        <v>0.94491897267887437</v>
      </c>
      <c r="AO195">
        <v>26</v>
      </c>
      <c r="AQ195">
        <v>193</v>
      </c>
      <c r="AR195">
        <v>115.47141499999999</v>
      </c>
      <c r="AS195" s="14">
        <v>0.94773151951107981</v>
      </c>
      <c r="AT195">
        <v>32.003999999999998</v>
      </c>
      <c r="AU195" s="14">
        <v>0.94510232407051942</v>
      </c>
      <c r="AV195">
        <v>26</v>
      </c>
      <c r="AX195">
        <v>193</v>
      </c>
      <c r="AY195">
        <v>117.56116400000001</v>
      </c>
      <c r="AZ195" s="14">
        <v>0.95096836717880862</v>
      </c>
      <c r="BA195">
        <v>32.591999999999999</v>
      </c>
      <c r="BB195" s="14">
        <v>0.94953968068989625</v>
      </c>
      <c r="BC195">
        <v>26</v>
      </c>
    </row>
    <row r="196" spans="15:55" x14ac:dyDescent="0.35">
      <c r="O196">
        <v>194</v>
      </c>
      <c r="P196">
        <v>117.431849</v>
      </c>
      <c r="Q196" s="14">
        <v>0.95722192600860301</v>
      </c>
      <c r="R196">
        <v>32.481999999999999</v>
      </c>
      <c r="S196" s="14">
        <v>0.95721105675723472</v>
      </c>
      <c r="T196">
        <v>26</v>
      </c>
      <c r="V196">
        <v>194</v>
      </c>
      <c r="W196">
        <v>117.589901</v>
      </c>
      <c r="X196" s="14">
        <v>0.9593588677366085</v>
      </c>
      <c r="Y196">
        <v>32.478000000000002</v>
      </c>
      <c r="Z196" s="14">
        <v>0.95867524647263713</v>
      </c>
      <c r="AA196">
        <v>26</v>
      </c>
      <c r="AC196">
        <v>194</v>
      </c>
      <c r="AD196">
        <v>116.84550900000001</v>
      </c>
      <c r="AE196" s="14">
        <v>0.96235525128604971</v>
      </c>
      <c r="AF196">
        <v>32.270000000000003</v>
      </c>
      <c r="AG196" s="14">
        <v>0.96061679516565945</v>
      </c>
      <c r="AH196">
        <v>26</v>
      </c>
      <c r="AJ196">
        <v>194</v>
      </c>
      <c r="AK196">
        <v>116.63261300000001</v>
      </c>
      <c r="AL196" s="14">
        <v>0.94768879133619788</v>
      </c>
      <c r="AM196">
        <v>32.287999999999997</v>
      </c>
      <c r="AN196" s="14">
        <v>0.94448019657169591</v>
      </c>
      <c r="AO196">
        <v>26</v>
      </c>
      <c r="AQ196">
        <v>194</v>
      </c>
      <c r="AR196">
        <v>115.432985</v>
      </c>
      <c r="AS196" s="14">
        <v>0.94741610532571796</v>
      </c>
      <c r="AT196">
        <v>31.992999999999999</v>
      </c>
      <c r="AU196" s="14">
        <v>0.94477748575141007</v>
      </c>
      <c r="AV196">
        <v>26</v>
      </c>
      <c r="AX196">
        <v>194</v>
      </c>
      <c r="AY196">
        <v>117.546548</v>
      </c>
      <c r="AZ196" s="14">
        <v>0.95085013635170745</v>
      </c>
      <c r="BA196">
        <v>32.588999999999999</v>
      </c>
      <c r="BB196" s="14">
        <v>0.94945227828924372</v>
      </c>
      <c r="BC196">
        <v>26</v>
      </c>
    </row>
    <row r="197" spans="15:55" x14ac:dyDescent="0.35">
      <c r="O197">
        <v>195</v>
      </c>
      <c r="P197">
        <v>117.439359</v>
      </c>
      <c r="Q197" s="14">
        <v>0.95728314225211397</v>
      </c>
      <c r="R197">
        <v>32.481999999999999</v>
      </c>
      <c r="S197" s="14">
        <v>0.95721105675723472</v>
      </c>
      <c r="T197">
        <v>26</v>
      </c>
      <c r="V197">
        <v>195</v>
      </c>
      <c r="W197">
        <v>117.57651199999999</v>
      </c>
      <c r="X197" s="14">
        <v>0.95924963339104907</v>
      </c>
      <c r="Y197">
        <v>32.472999999999999</v>
      </c>
      <c r="Z197" s="14">
        <v>0.95852765806718221</v>
      </c>
      <c r="AA197">
        <v>26</v>
      </c>
      <c r="AC197">
        <v>195</v>
      </c>
      <c r="AD197">
        <v>116.84201</v>
      </c>
      <c r="AE197" s="14">
        <v>0.96232643305372678</v>
      </c>
      <c r="AF197">
        <v>32.267000000000003</v>
      </c>
      <c r="AG197" s="14">
        <v>0.96052749084630729</v>
      </c>
      <c r="AH197">
        <v>26</v>
      </c>
      <c r="AJ197">
        <v>195</v>
      </c>
      <c r="AK197">
        <v>116.59389</v>
      </c>
      <c r="AL197" s="14">
        <v>0.94737415075563469</v>
      </c>
      <c r="AM197">
        <v>32.279000000000003</v>
      </c>
      <c r="AN197" s="14">
        <v>0.94421693090738912</v>
      </c>
      <c r="AO197">
        <v>26</v>
      </c>
      <c r="AQ197">
        <v>195</v>
      </c>
      <c r="AR197">
        <v>115.46021500000001</v>
      </c>
      <c r="AS197" s="14">
        <v>0.94763959552263199</v>
      </c>
      <c r="AT197">
        <v>31.992999999999999</v>
      </c>
      <c r="AU197" s="14">
        <v>0.94477748575141007</v>
      </c>
      <c r="AV197">
        <v>26</v>
      </c>
      <c r="AX197">
        <v>195</v>
      </c>
      <c r="AY197">
        <v>117.500007</v>
      </c>
      <c r="AZ197" s="14">
        <v>0.95047365982433263</v>
      </c>
      <c r="BA197">
        <v>32.575000000000003</v>
      </c>
      <c r="BB197" s="14">
        <v>0.94904440041953164</v>
      </c>
      <c r="BC197">
        <v>26</v>
      </c>
    </row>
    <row r="198" spans="15:55" x14ac:dyDescent="0.35">
      <c r="O198">
        <v>196</v>
      </c>
      <c r="P198">
        <v>117.414434</v>
      </c>
      <c r="Q198" s="14">
        <v>0.95707997116429633</v>
      </c>
      <c r="R198">
        <v>32.473999999999997</v>
      </c>
      <c r="S198" s="14">
        <v>0.95697530500383099</v>
      </c>
      <c r="T198">
        <v>26</v>
      </c>
      <c r="V198">
        <v>196</v>
      </c>
      <c r="W198">
        <v>117.523704</v>
      </c>
      <c r="X198" s="14">
        <v>0.95881879857737373</v>
      </c>
      <c r="Y198">
        <v>32.459000000000003</v>
      </c>
      <c r="Z198" s="14">
        <v>0.95811441053190871</v>
      </c>
      <c r="AA198">
        <v>26</v>
      </c>
      <c r="AC198">
        <v>196</v>
      </c>
      <c r="AD198">
        <v>116.80543900000001</v>
      </c>
      <c r="AE198" s="14">
        <v>0.96202522940288915</v>
      </c>
      <c r="AF198">
        <v>32.256999999999998</v>
      </c>
      <c r="AG198" s="14">
        <v>0.96022980978179961</v>
      </c>
      <c r="AH198">
        <v>26</v>
      </c>
      <c r="AJ198">
        <v>196</v>
      </c>
      <c r="AK198">
        <v>116.58989</v>
      </c>
      <c r="AL198" s="14">
        <v>0.94734164908163598</v>
      </c>
      <c r="AM198">
        <v>32.274999999999999</v>
      </c>
      <c r="AN198" s="14">
        <v>0.94409992394547471</v>
      </c>
      <c r="AO198">
        <v>26</v>
      </c>
      <c r="AQ198">
        <v>196</v>
      </c>
      <c r="AR198">
        <v>115.426087</v>
      </c>
      <c r="AS198" s="14">
        <v>0.94735948999783282</v>
      </c>
      <c r="AT198">
        <v>31.986999999999998</v>
      </c>
      <c r="AU198" s="14">
        <v>0.94460030121371408</v>
      </c>
      <c r="AV198">
        <v>26</v>
      </c>
      <c r="AX198">
        <v>196</v>
      </c>
      <c r="AY198">
        <v>117.43380500000001</v>
      </c>
      <c r="AZ198" s="14">
        <v>0.9499381427734469</v>
      </c>
      <c r="BA198">
        <v>32.558</v>
      </c>
      <c r="BB198" s="14">
        <v>0.94854912014916681</v>
      </c>
      <c r="BC198">
        <v>26</v>
      </c>
    </row>
    <row r="199" spans="15:55" x14ac:dyDescent="0.35">
      <c r="O199">
        <v>197</v>
      </c>
      <c r="P199">
        <v>117.357333</v>
      </c>
      <c r="Q199" s="14">
        <v>0.95661452393117807</v>
      </c>
      <c r="R199">
        <v>32.46</v>
      </c>
      <c r="S199" s="14">
        <v>0.95656273943537462</v>
      </c>
      <c r="T199">
        <v>26</v>
      </c>
      <c r="V199">
        <v>197</v>
      </c>
      <c r="W199">
        <v>117.485157</v>
      </c>
      <c r="X199" s="14">
        <v>0.95850431233357092</v>
      </c>
      <c r="Y199">
        <v>32.451000000000001</v>
      </c>
      <c r="Z199" s="14">
        <v>0.95787826908318086</v>
      </c>
      <c r="AA199">
        <v>26</v>
      </c>
      <c r="AC199">
        <v>197</v>
      </c>
      <c r="AD199">
        <v>116.748632</v>
      </c>
      <c r="AE199" s="14">
        <v>0.96155735934756847</v>
      </c>
      <c r="AF199">
        <v>32.241999999999997</v>
      </c>
      <c r="AG199" s="14">
        <v>0.95978328818503833</v>
      </c>
      <c r="AH199">
        <v>26</v>
      </c>
      <c r="AJ199">
        <v>197</v>
      </c>
      <c r="AK199">
        <v>116.58356000000001</v>
      </c>
      <c r="AL199" s="14">
        <v>0.94729021518253309</v>
      </c>
      <c r="AM199">
        <v>32.271999999999998</v>
      </c>
      <c r="AN199" s="14">
        <v>0.94401216872403904</v>
      </c>
      <c r="AO199">
        <v>26</v>
      </c>
      <c r="AQ199">
        <v>197</v>
      </c>
      <c r="AR199">
        <v>115.407533</v>
      </c>
      <c r="AS199" s="14">
        <v>0.94720720806197012</v>
      </c>
      <c r="AT199">
        <v>31.981000000000002</v>
      </c>
      <c r="AU199" s="14">
        <v>0.94442311667601808</v>
      </c>
      <c r="AV199">
        <v>26</v>
      </c>
      <c r="AX199">
        <v>197</v>
      </c>
      <c r="AY199">
        <v>117.461394</v>
      </c>
      <c r="AZ199" s="14">
        <v>0.95016131397547832</v>
      </c>
      <c r="BA199">
        <v>32.564</v>
      </c>
      <c r="BB199" s="14">
        <v>0.94872392495047198</v>
      </c>
      <c r="BC199">
        <v>26</v>
      </c>
    </row>
    <row r="200" spans="15:55" x14ac:dyDescent="0.35">
      <c r="O200">
        <v>198</v>
      </c>
      <c r="P200">
        <v>117.31227699999999</v>
      </c>
      <c r="Q200" s="14">
        <v>0.95624725907530195</v>
      </c>
      <c r="R200">
        <v>32.448</v>
      </c>
      <c r="S200" s="14">
        <v>0.95620911180526913</v>
      </c>
      <c r="T200">
        <v>26</v>
      </c>
      <c r="V200">
        <v>198</v>
      </c>
      <c r="W200">
        <v>117.52368300000001</v>
      </c>
      <c r="X200" s="14">
        <v>0.95881862724857736</v>
      </c>
      <c r="Y200">
        <v>32.457000000000001</v>
      </c>
      <c r="Z200" s="14">
        <v>0.95805537516972672</v>
      </c>
      <c r="AA200">
        <v>26</v>
      </c>
      <c r="AC200">
        <v>198</v>
      </c>
      <c r="AD200">
        <v>116.77332699999999</v>
      </c>
      <c r="AE200" s="14">
        <v>0.96176075067286537</v>
      </c>
      <c r="AF200">
        <v>32.249000000000002</v>
      </c>
      <c r="AG200" s="14">
        <v>0.95999166493019372</v>
      </c>
      <c r="AH200">
        <v>26</v>
      </c>
      <c r="AJ200">
        <v>198</v>
      </c>
      <c r="AK200">
        <v>116.561584</v>
      </c>
      <c r="AL200" s="14">
        <v>0.94711165098558403</v>
      </c>
      <c r="AM200">
        <v>32.264000000000003</v>
      </c>
      <c r="AN200" s="14">
        <v>0.94377815480021066</v>
      </c>
      <c r="AO200">
        <v>26</v>
      </c>
      <c r="AQ200">
        <v>198</v>
      </c>
      <c r="AR200">
        <v>115.349531</v>
      </c>
      <c r="AS200" s="14">
        <v>0.94673115670679553</v>
      </c>
      <c r="AT200">
        <v>31.963999999999999</v>
      </c>
      <c r="AU200" s="14">
        <v>0.94392109381921263</v>
      </c>
      <c r="AV200">
        <v>26</v>
      </c>
      <c r="AX200">
        <v>198</v>
      </c>
      <c r="AY200">
        <v>117.478151</v>
      </c>
      <c r="AZ200" s="14">
        <v>0.95029686364500021</v>
      </c>
      <c r="BA200">
        <v>32.567</v>
      </c>
      <c r="BB200" s="14">
        <v>0.94881132735112461</v>
      </c>
      <c r="BC200">
        <v>26</v>
      </c>
    </row>
    <row r="201" spans="15:55" x14ac:dyDescent="0.35">
      <c r="O201">
        <v>199</v>
      </c>
      <c r="P201">
        <v>117.38317600000001</v>
      </c>
      <c r="Q201" s="14">
        <v>0.95682517791001342</v>
      </c>
      <c r="R201">
        <v>32.463999999999999</v>
      </c>
      <c r="S201" s="14">
        <v>0.95668061531207638</v>
      </c>
      <c r="T201">
        <v>26</v>
      </c>
      <c r="V201">
        <v>199</v>
      </c>
      <c r="W201">
        <v>117.53270999999999</v>
      </c>
      <c r="X201" s="14">
        <v>0.95889227415554301</v>
      </c>
      <c r="Y201">
        <v>32.457999999999998</v>
      </c>
      <c r="Z201" s="14">
        <v>0.95808489285081755</v>
      </c>
      <c r="AA201">
        <v>26</v>
      </c>
      <c r="AC201">
        <v>199</v>
      </c>
      <c r="AD201">
        <v>116.797693</v>
      </c>
      <c r="AE201" s="14">
        <v>0.96196143231012743</v>
      </c>
      <c r="AF201">
        <v>32.250999999999998</v>
      </c>
      <c r="AG201" s="14">
        <v>0.96005120114309517</v>
      </c>
      <c r="AH201">
        <v>26</v>
      </c>
      <c r="AJ201">
        <v>199</v>
      </c>
      <c r="AK201">
        <v>116.49368200000001</v>
      </c>
      <c r="AL201" s="14">
        <v>0.94655991881861878</v>
      </c>
      <c r="AM201">
        <v>32.247999999999998</v>
      </c>
      <c r="AN201" s="14">
        <v>0.94331012695255356</v>
      </c>
      <c r="AO201">
        <v>26</v>
      </c>
      <c r="AQ201">
        <v>199</v>
      </c>
      <c r="AR201">
        <v>115.265236</v>
      </c>
      <c r="AS201" s="14">
        <v>0.94603930558124039</v>
      </c>
      <c r="AT201">
        <v>31.946000000000002</v>
      </c>
      <c r="AU201" s="14">
        <v>0.94338954020612475</v>
      </c>
      <c r="AV201">
        <v>26</v>
      </c>
      <c r="AX201">
        <v>199</v>
      </c>
      <c r="AY201">
        <v>117.46353000000001</v>
      </c>
      <c r="AZ201" s="14">
        <v>0.95017859237221403</v>
      </c>
      <c r="BA201">
        <v>32.561999999999998</v>
      </c>
      <c r="BB201" s="14">
        <v>0.94866565668337022</v>
      </c>
      <c r="BC201">
        <v>26</v>
      </c>
    </row>
    <row r="202" spans="15:55" x14ac:dyDescent="0.35">
      <c r="O202">
        <v>200</v>
      </c>
      <c r="P202">
        <v>117.439505</v>
      </c>
      <c r="Q202" s="14">
        <v>0.95728433234153509</v>
      </c>
      <c r="R202">
        <v>32.475999999999999</v>
      </c>
      <c r="S202" s="14">
        <v>0.95703424294218198</v>
      </c>
      <c r="T202">
        <v>26</v>
      </c>
      <c r="V202">
        <v>200</v>
      </c>
      <c r="W202">
        <v>117.513307</v>
      </c>
      <c r="X202" s="14">
        <v>0.95873397450606301</v>
      </c>
      <c r="Y202">
        <v>32.451999999999998</v>
      </c>
      <c r="Z202" s="14">
        <v>0.9579077867642718</v>
      </c>
      <c r="AA202">
        <v>26</v>
      </c>
      <c r="AC202">
        <v>200</v>
      </c>
      <c r="AD202">
        <v>116.78748299999999</v>
      </c>
      <c r="AE202" s="14">
        <v>0.96187734138357217</v>
      </c>
      <c r="AF202">
        <v>32.249000000000002</v>
      </c>
      <c r="AG202" s="14">
        <v>0.95999166493019372</v>
      </c>
      <c r="AH202">
        <v>26</v>
      </c>
      <c r="AJ202">
        <v>200</v>
      </c>
      <c r="AK202">
        <v>116.42779299999999</v>
      </c>
      <c r="AL202" s="14">
        <v>0.94602454311909334</v>
      </c>
      <c r="AM202">
        <v>32.231000000000002</v>
      </c>
      <c r="AN202" s="14">
        <v>0.94281284736441828</v>
      </c>
      <c r="AO202">
        <v>26</v>
      </c>
      <c r="AQ202">
        <v>200</v>
      </c>
      <c r="AR202">
        <v>115.29321899999999</v>
      </c>
      <c r="AS202" s="14">
        <v>0.94626897602487769</v>
      </c>
      <c r="AT202">
        <v>31.952000000000002</v>
      </c>
      <c r="AU202" s="14">
        <v>0.94356672474382075</v>
      </c>
      <c r="AV202">
        <v>26</v>
      </c>
      <c r="AX202">
        <v>200</v>
      </c>
      <c r="AY202">
        <v>117.40622399999999</v>
      </c>
      <c r="AZ202" s="14">
        <v>0.94971503628451182</v>
      </c>
      <c r="BA202">
        <v>32.546999999999997</v>
      </c>
      <c r="BB202" s="14">
        <v>0.94822864468010715</v>
      </c>
      <c r="BC202">
        <v>26</v>
      </c>
    </row>
    <row r="203" spans="15:55" x14ac:dyDescent="0.35">
      <c r="O203">
        <v>201</v>
      </c>
      <c r="P203">
        <v>117.453683</v>
      </c>
      <c r="Q203" s="14">
        <v>0.95739990143614206</v>
      </c>
      <c r="R203">
        <v>32.475999999999999</v>
      </c>
      <c r="S203" s="14">
        <v>0.95703424294218198</v>
      </c>
      <c r="T203">
        <v>26</v>
      </c>
      <c r="V203">
        <v>201</v>
      </c>
      <c r="W203">
        <v>117.452653</v>
      </c>
      <c r="X203" s="14">
        <v>0.95823912799059818</v>
      </c>
      <c r="Y203">
        <v>32.436</v>
      </c>
      <c r="Z203" s="14">
        <v>0.9574355038668162</v>
      </c>
      <c r="AA203">
        <v>26</v>
      </c>
      <c r="AC203">
        <v>201</v>
      </c>
      <c r="AD203">
        <v>116.74560700000001</v>
      </c>
      <c r="AE203" s="14">
        <v>0.96153244504268798</v>
      </c>
      <c r="AF203">
        <v>32.235999999999997</v>
      </c>
      <c r="AG203" s="14">
        <v>0.95960467954633388</v>
      </c>
      <c r="AH203">
        <v>26</v>
      </c>
      <c r="AJ203">
        <v>201</v>
      </c>
      <c r="AK203">
        <v>116.46423799999999</v>
      </c>
      <c r="AL203" s="14">
        <v>0.94632067399631414</v>
      </c>
      <c r="AM203">
        <v>32.238</v>
      </c>
      <c r="AN203" s="14">
        <v>0.94301760954776803</v>
      </c>
      <c r="AO203">
        <v>26</v>
      </c>
      <c r="AQ203">
        <v>201</v>
      </c>
      <c r="AR203">
        <v>115.31528299999999</v>
      </c>
      <c r="AS203" s="14">
        <v>0.94645006628212003</v>
      </c>
      <c r="AT203">
        <v>31.954999999999998</v>
      </c>
      <c r="AU203" s="14">
        <v>0.94365531701266869</v>
      </c>
      <c r="AV203">
        <v>26</v>
      </c>
      <c r="AX203">
        <v>201</v>
      </c>
      <c r="AY203">
        <v>117.352926</v>
      </c>
      <c r="AZ203" s="14">
        <v>0.94928390145810015</v>
      </c>
      <c r="BA203">
        <v>32.533000000000001</v>
      </c>
      <c r="BB203" s="14">
        <v>0.94782076681039518</v>
      </c>
      <c r="BC203">
        <v>26</v>
      </c>
    </row>
    <row r="204" spans="15:55" x14ac:dyDescent="0.35">
      <c r="O204">
        <v>202</v>
      </c>
      <c r="P204">
        <v>117.415325</v>
      </c>
      <c r="Q204" s="14">
        <v>0.95708723397028417</v>
      </c>
      <c r="R204">
        <v>32.466000000000001</v>
      </c>
      <c r="S204" s="14">
        <v>0.95673955325042737</v>
      </c>
      <c r="T204">
        <v>26</v>
      </c>
      <c r="V204">
        <v>202</v>
      </c>
      <c r="W204">
        <v>117.408918</v>
      </c>
      <c r="X204" s="14">
        <v>0.95788231537553825</v>
      </c>
      <c r="Y204">
        <v>32.426000000000002</v>
      </c>
      <c r="Z204" s="14">
        <v>0.95714032705590657</v>
      </c>
      <c r="AA204">
        <v>26</v>
      </c>
      <c r="AC204">
        <v>202</v>
      </c>
      <c r="AD204">
        <v>116.686154</v>
      </c>
      <c r="AE204" s="14">
        <v>0.96104278217721395</v>
      </c>
      <c r="AF204">
        <v>32.222000000000001</v>
      </c>
      <c r="AG204" s="14">
        <v>0.95918792605602354</v>
      </c>
      <c r="AH204">
        <v>26</v>
      </c>
      <c r="AJ204">
        <v>202</v>
      </c>
      <c r="AK204">
        <v>116.495115</v>
      </c>
      <c r="AL204" s="14">
        <v>0.94657156254332886</v>
      </c>
      <c r="AM204">
        <v>32.241999999999997</v>
      </c>
      <c r="AN204" s="14">
        <v>0.94313461650968222</v>
      </c>
      <c r="AO204">
        <v>26</v>
      </c>
      <c r="AQ204">
        <v>202</v>
      </c>
      <c r="AR204">
        <v>115.290835</v>
      </c>
      <c r="AS204" s="14">
        <v>0.9462494093473367</v>
      </c>
      <c r="AT204">
        <v>31.946000000000002</v>
      </c>
      <c r="AU204" s="14">
        <v>0.94338954020612475</v>
      </c>
      <c r="AV204">
        <v>26</v>
      </c>
      <c r="AX204">
        <v>202</v>
      </c>
      <c r="AY204">
        <v>117.387835</v>
      </c>
      <c r="AZ204" s="14">
        <v>0.94956628514332664</v>
      </c>
      <c r="BA204">
        <v>32.540999999999997</v>
      </c>
      <c r="BB204" s="14">
        <v>0.94805383987880198</v>
      </c>
      <c r="BC204">
        <v>26</v>
      </c>
    </row>
    <row r="205" spans="15:55" x14ac:dyDescent="0.35">
      <c r="O205">
        <v>203</v>
      </c>
      <c r="P205">
        <v>117.38186399999999</v>
      </c>
      <c r="Q205" s="14">
        <v>0.95681448340781805</v>
      </c>
      <c r="R205">
        <v>32.457000000000001</v>
      </c>
      <c r="S205" s="14">
        <v>0.9564743325278483</v>
      </c>
      <c r="T205">
        <v>26</v>
      </c>
      <c r="V205">
        <v>203</v>
      </c>
      <c r="W205">
        <v>117.480463</v>
      </c>
      <c r="X205" s="14">
        <v>0.95846601626828931</v>
      </c>
      <c r="Y205">
        <v>32.44</v>
      </c>
      <c r="Z205" s="14">
        <v>0.95755357459118007</v>
      </c>
      <c r="AA205">
        <v>26</v>
      </c>
      <c r="AC205">
        <v>203</v>
      </c>
      <c r="AD205">
        <v>116.698185</v>
      </c>
      <c r="AE205" s="14">
        <v>0.96114187110350047</v>
      </c>
      <c r="AF205">
        <v>32.223999999999997</v>
      </c>
      <c r="AG205" s="14">
        <v>0.95924746226892488</v>
      </c>
      <c r="AH205">
        <v>26</v>
      </c>
      <c r="AJ205">
        <v>203</v>
      </c>
      <c r="AK205">
        <v>116.47456</v>
      </c>
      <c r="AL205" s="14">
        <v>0.94640454456606793</v>
      </c>
      <c r="AM205">
        <v>32.234999999999999</v>
      </c>
      <c r="AN205" s="14">
        <v>0.94292985432633236</v>
      </c>
      <c r="AO205">
        <v>26</v>
      </c>
      <c r="AQ205">
        <v>203</v>
      </c>
      <c r="AR205">
        <v>115.23669</v>
      </c>
      <c r="AS205" s="14">
        <v>0.94580501431568376</v>
      </c>
      <c r="AT205">
        <v>31.933</v>
      </c>
      <c r="AU205" s="14">
        <v>0.94300564037445</v>
      </c>
      <c r="AV205">
        <v>26</v>
      </c>
      <c r="AX205">
        <v>203</v>
      </c>
      <c r="AY205">
        <v>117.44867600000001</v>
      </c>
      <c r="AZ205" s="14">
        <v>0.95005843633049536</v>
      </c>
      <c r="BA205">
        <v>32.552</v>
      </c>
      <c r="BB205" s="14">
        <v>0.94837431534786165</v>
      </c>
      <c r="BC205">
        <v>26</v>
      </c>
    </row>
    <row r="206" spans="15:55" x14ac:dyDescent="0.35">
      <c r="O206">
        <v>204</v>
      </c>
      <c r="P206">
        <v>117.340377</v>
      </c>
      <c r="Q206" s="14">
        <v>0.95647631053238025</v>
      </c>
      <c r="R206">
        <v>32.445999999999998</v>
      </c>
      <c r="S206" s="14">
        <v>0.95615017386691814</v>
      </c>
      <c r="T206">
        <v>26</v>
      </c>
      <c r="V206">
        <v>204</v>
      </c>
      <c r="W206">
        <v>117.535225</v>
      </c>
      <c r="X206" s="14">
        <v>0.95891279281855613</v>
      </c>
      <c r="Y206">
        <v>32.451000000000001</v>
      </c>
      <c r="Z206" s="14">
        <v>0.95787826908318086</v>
      </c>
      <c r="AA206">
        <v>26</v>
      </c>
      <c r="AC206">
        <v>204</v>
      </c>
      <c r="AD206">
        <v>116.779797</v>
      </c>
      <c r="AE206" s="14">
        <v>0.96181403845884117</v>
      </c>
      <c r="AF206">
        <v>32.24</v>
      </c>
      <c r="AG206" s="14">
        <v>0.959723751972137</v>
      </c>
      <c r="AH206">
        <v>26</v>
      </c>
      <c r="AJ206">
        <v>204</v>
      </c>
      <c r="AK206">
        <v>116.41937</v>
      </c>
      <c r="AL206" s="14">
        <v>0.9459561027190706</v>
      </c>
      <c r="AM206">
        <v>32.220999999999997</v>
      </c>
      <c r="AN206" s="14">
        <v>0.94252032995963253</v>
      </c>
      <c r="AO206">
        <v>26</v>
      </c>
      <c r="AQ206">
        <v>204</v>
      </c>
      <c r="AR206">
        <v>115.179947</v>
      </c>
      <c r="AS206" s="14">
        <v>0.94533929620171053</v>
      </c>
      <c r="AT206">
        <v>31.919</v>
      </c>
      <c r="AU206" s="14">
        <v>0.94259220978649261</v>
      </c>
      <c r="AV206">
        <v>26</v>
      </c>
      <c r="AX206">
        <v>204</v>
      </c>
      <c r="AY206">
        <v>117.479781</v>
      </c>
      <c r="AZ206" s="14">
        <v>0.95031004893838944</v>
      </c>
      <c r="BA206">
        <v>32.555999999999997</v>
      </c>
      <c r="BB206" s="14">
        <v>0.94849085188206506</v>
      </c>
      <c r="BC206">
        <v>26</v>
      </c>
    </row>
    <row r="207" spans="15:55" x14ac:dyDescent="0.35">
      <c r="O207">
        <v>205</v>
      </c>
      <c r="P207">
        <v>117.321181</v>
      </c>
      <c r="Q207" s="14">
        <v>0.95631983822739541</v>
      </c>
      <c r="R207">
        <v>32.44</v>
      </c>
      <c r="S207" s="14">
        <v>0.9559733600518654</v>
      </c>
      <c r="T207">
        <v>26</v>
      </c>
      <c r="V207">
        <v>205</v>
      </c>
      <c r="W207">
        <v>117.55727400000001</v>
      </c>
      <c r="X207" s="14">
        <v>0.95909267989639901</v>
      </c>
      <c r="Y207">
        <v>32.454000000000001</v>
      </c>
      <c r="Z207" s="14">
        <v>0.95796682212645379</v>
      </c>
      <c r="AA207">
        <v>26</v>
      </c>
      <c r="AC207">
        <v>205</v>
      </c>
      <c r="AD207">
        <v>116.818021</v>
      </c>
      <c r="AE207" s="14">
        <v>0.96212885643892421</v>
      </c>
      <c r="AF207">
        <v>32.246000000000002</v>
      </c>
      <c r="AG207" s="14">
        <v>0.95990236061084155</v>
      </c>
      <c r="AH207">
        <v>26</v>
      </c>
      <c r="AJ207">
        <v>205</v>
      </c>
      <c r="AK207">
        <v>116.358845</v>
      </c>
      <c r="AL207" s="14">
        <v>0.94546431176437751</v>
      </c>
      <c r="AM207">
        <v>32.206000000000003</v>
      </c>
      <c r="AN207" s="14">
        <v>0.94208155385245429</v>
      </c>
      <c r="AO207">
        <v>26</v>
      </c>
      <c r="AQ207">
        <v>205</v>
      </c>
      <c r="AR207">
        <v>115.209577</v>
      </c>
      <c r="AS207" s="14">
        <v>0.94558248439614911</v>
      </c>
      <c r="AT207">
        <v>31.925000000000001</v>
      </c>
      <c r="AU207" s="14">
        <v>0.94276939432418871</v>
      </c>
      <c r="AV207">
        <v>26</v>
      </c>
      <c r="AX207">
        <v>205</v>
      </c>
      <c r="AY207">
        <v>117.450909</v>
      </c>
      <c r="AZ207" s="14">
        <v>0.95007649937352467</v>
      </c>
      <c r="BA207">
        <v>32.548000000000002</v>
      </c>
      <c r="BB207" s="14">
        <v>0.94825777881365814</v>
      </c>
      <c r="BC207">
        <v>26</v>
      </c>
    </row>
    <row r="208" spans="15:55" x14ac:dyDescent="0.35">
      <c r="O208">
        <v>206</v>
      </c>
      <c r="P208">
        <v>117.28670099999999</v>
      </c>
      <c r="Q208" s="14">
        <v>0.95603878149287369</v>
      </c>
      <c r="R208">
        <v>32.429000000000002</v>
      </c>
      <c r="S208" s="14">
        <v>0.95564920139093545</v>
      </c>
      <c r="T208">
        <v>26</v>
      </c>
      <c r="V208">
        <v>206</v>
      </c>
      <c r="W208">
        <v>117.519462</v>
      </c>
      <c r="X208" s="14">
        <v>0.95878419016047467</v>
      </c>
      <c r="Y208">
        <v>32.444000000000003</v>
      </c>
      <c r="Z208" s="14">
        <v>0.95767164531554405</v>
      </c>
      <c r="AA208">
        <v>26</v>
      </c>
      <c r="AC208">
        <v>206</v>
      </c>
      <c r="AD208">
        <v>116.80184800000001</v>
      </c>
      <c r="AE208" s="14">
        <v>0.9619956534462526</v>
      </c>
      <c r="AF208">
        <v>32.24</v>
      </c>
      <c r="AG208" s="14">
        <v>0.959723751972137</v>
      </c>
      <c r="AH208">
        <v>26</v>
      </c>
      <c r="AJ208">
        <v>206</v>
      </c>
      <c r="AK208">
        <v>116.40091</v>
      </c>
      <c r="AL208" s="14">
        <v>0.94580610749356642</v>
      </c>
      <c r="AM208">
        <v>32.215000000000003</v>
      </c>
      <c r="AN208" s="14">
        <v>0.9423448195167613</v>
      </c>
      <c r="AO208">
        <v>26</v>
      </c>
      <c r="AQ208">
        <v>206</v>
      </c>
      <c r="AR208">
        <v>115.25330599999999</v>
      </c>
      <c r="AS208" s="14">
        <v>0.94594139011854539</v>
      </c>
      <c r="AT208">
        <v>31.931999999999999</v>
      </c>
      <c r="AU208" s="14">
        <v>0.94297610961816725</v>
      </c>
      <c r="AV208">
        <v>26</v>
      </c>
      <c r="AX208">
        <v>206</v>
      </c>
      <c r="AY208">
        <v>117.404062</v>
      </c>
      <c r="AZ208" s="14">
        <v>0.94969754757021296</v>
      </c>
      <c r="BA208">
        <v>32.536000000000001</v>
      </c>
      <c r="BB208" s="14">
        <v>0.9479081692110477</v>
      </c>
      <c r="BC208">
        <v>26</v>
      </c>
    </row>
    <row r="209" spans="15:55" x14ac:dyDescent="0.35">
      <c r="O209">
        <v>207</v>
      </c>
      <c r="P209">
        <v>117.210815</v>
      </c>
      <c r="Q209" s="14">
        <v>0.95542021213800399</v>
      </c>
      <c r="R209">
        <v>32.411000000000001</v>
      </c>
      <c r="S209" s="14">
        <v>0.95511875994577722</v>
      </c>
      <c r="T209">
        <v>26</v>
      </c>
      <c r="V209">
        <v>207</v>
      </c>
      <c r="W209">
        <v>117.488629</v>
      </c>
      <c r="X209" s="14">
        <v>0.95853263869459737</v>
      </c>
      <c r="Y209">
        <v>32.435000000000002</v>
      </c>
      <c r="Z209" s="14">
        <v>0.95740598618572537</v>
      </c>
      <c r="AA209">
        <v>26</v>
      </c>
      <c r="AC209">
        <v>207</v>
      </c>
      <c r="AD209">
        <v>116.76528399999999</v>
      </c>
      <c r="AE209" s="14">
        <v>0.96169450744835172</v>
      </c>
      <c r="AF209">
        <v>32.231000000000002</v>
      </c>
      <c r="AG209" s="14">
        <v>0.95945583901408027</v>
      </c>
      <c r="AH209">
        <v>26</v>
      </c>
      <c r="AJ209">
        <v>207</v>
      </c>
      <c r="AK209">
        <v>116.454593</v>
      </c>
      <c r="AL209" s="14">
        <v>0.94624230433488477</v>
      </c>
      <c r="AM209">
        <v>32.222999999999999</v>
      </c>
      <c r="AN209" s="14">
        <v>0.94257883344058968</v>
      </c>
      <c r="AO209">
        <v>26</v>
      </c>
      <c r="AQ209">
        <v>207</v>
      </c>
      <c r="AR209">
        <v>115.267188</v>
      </c>
      <c r="AS209" s="14">
        <v>0.94605532661922709</v>
      </c>
      <c r="AT209">
        <v>31.931999999999999</v>
      </c>
      <c r="AU209" s="14">
        <v>0.94297610961816725</v>
      </c>
      <c r="AV209">
        <v>26</v>
      </c>
      <c r="AX209">
        <v>207</v>
      </c>
      <c r="AY209">
        <v>117.377038</v>
      </c>
      <c r="AZ209" s="14">
        <v>0.94947894673061395</v>
      </c>
      <c r="BA209">
        <v>32.527000000000001</v>
      </c>
      <c r="BB209" s="14">
        <v>0.9476459620090899</v>
      </c>
      <c r="BC209">
        <v>26</v>
      </c>
    </row>
    <row r="210" spans="15:55" x14ac:dyDescent="0.35">
      <c r="O210">
        <v>208</v>
      </c>
      <c r="P210">
        <v>117.155762</v>
      </c>
      <c r="Q210" s="14">
        <v>0.95497145876197098</v>
      </c>
      <c r="R210">
        <v>32.396999999999998</v>
      </c>
      <c r="S210" s="14">
        <v>0.95470619437732074</v>
      </c>
      <c r="T210">
        <v>26</v>
      </c>
      <c r="V210">
        <v>208</v>
      </c>
      <c r="W210">
        <v>117.450585</v>
      </c>
      <c r="X210" s="14">
        <v>0.95822225618339707</v>
      </c>
      <c r="Y210">
        <v>32.426000000000002</v>
      </c>
      <c r="Z210" s="14">
        <v>0.95714032705590657</v>
      </c>
      <c r="AA210">
        <v>26</v>
      </c>
      <c r="AC210">
        <v>208</v>
      </c>
      <c r="AD210">
        <v>116.74307</v>
      </c>
      <c r="AE210" s="14">
        <v>0.96151154997112376</v>
      </c>
      <c r="AF210">
        <v>32.223999999999997</v>
      </c>
      <c r="AG210" s="14">
        <v>0.95924746226892488</v>
      </c>
      <c r="AH210">
        <v>26</v>
      </c>
      <c r="AJ210">
        <v>208</v>
      </c>
      <c r="AK210">
        <v>116.466258</v>
      </c>
      <c r="AL210" s="14">
        <v>0.94633708734168354</v>
      </c>
      <c r="AM210">
        <v>32.222999999999999</v>
      </c>
      <c r="AN210" s="14">
        <v>0.94257883344058968</v>
      </c>
      <c r="AO210">
        <v>26</v>
      </c>
      <c r="AQ210">
        <v>208</v>
      </c>
      <c r="AR210">
        <v>115.228054</v>
      </c>
      <c r="AS210" s="14">
        <v>0.9457341343545913</v>
      </c>
      <c r="AT210">
        <v>31.922000000000001</v>
      </c>
      <c r="AU210" s="14">
        <v>0.94268080205534066</v>
      </c>
      <c r="AV210">
        <v>26</v>
      </c>
      <c r="AX210">
        <v>208</v>
      </c>
      <c r="AY210">
        <v>117.342294</v>
      </c>
      <c r="AZ210" s="14">
        <v>0.94919789775300034</v>
      </c>
      <c r="BA210">
        <v>32.520000000000003</v>
      </c>
      <c r="BB210" s="14">
        <v>0.94744202307423386</v>
      </c>
      <c r="BC210">
        <v>26</v>
      </c>
    </row>
    <row r="211" spans="15:55" x14ac:dyDescent="0.35">
      <c r="O211">
        <v>209</v>
      </c>
      <c r="P211">
        <v>117.246318</v>
      </c>
      <c r="Q211" s="14">
        <v>0.95570960764977098</v>
      </c>
      <c r="R211">
        <v>32.433</v>
      </c>
      <c r="S211" s="14">
        <v>0.95576707726763721</v>
      </c>
      <c r="T211">
        <v>26</v>
      </c>
      <c r="V211">
        <v>209</v>
      </c>
      <c r="W211">
        <v>117.42962300000001</v>
      </c>
      <c r="X211" s="14">
        <v>0.95805123741040321</v>
      </c>
      <c r="Y211">
        <v>32.418999999999997</v>
      </c>
      <c r="Z211" s="14">
        <v>0.95693370328826954</v>
      </c>
      <c r="AA211">
        <v>26</v>
      </c>
      <c r="AC211">
        <v>209</v>
      </c>
      <c r="AD211">
        <v>116.69435300000001</v>
      </c>
      <c r="AE211" s="14">
        <v>0.96111031023860738</v>
      </c>
      <c r="AF211">
        <v>32.213000000000001</v>
      </c>
      <c r="AG211" s="14">
        <v>0.95892001309796682</v>
      </c>
      <c r="AH211">
        <v>26</v>
      </c>
      <c r="AJ211">
        <v>209</v>
      </c>
      <c r="AK211">
        <v>116.42725299999999</v>
      </c>
      <c r="AL211" s="14">
        <v>0.94602015539310347</v>
      </c>
      <c r="AM211">
        <v>32.212000000000003</v>
      </c>
      <c r="AN211" s="14">
        <v>0.94225706429532563</v>
      </c>
      <c r="AO211">
        <v>26</v>
      </c>
      <c r="AQ211">
        <v>209</v>
      </c>
      <c r="AR211">
        <v>115.18422200000001</v>
      </c>
      <c r="AS211" s="14">
        <v>0.94537438325980128</v>
      </c>
      <c r="AT211">
        <v>31.91</v>
      </c>
      <c r="AU211" s="14">
        <v>0.94232643297994867</v>
      </c>
      <c r="AV211">
        <v>26</v>
      </c>
      <c r="AX211">
        <v>209</v>
      </c>
      <c r="AY211">
        <v>117.311723</v>
      </c>
      <c r="AZ211" s="14">
        <v>0.94895060474429027</v>
      </c>
      <c r="BA211">
        <v>32.51</v>
      </c>
      <c r="BB211" s="14">
        <v>0.94715068173872508</v>
      </c>
      <c r="BC211">
        <v>26</v>
      </c>
    </row>
    <row r="212" spans="15:55" x14ac:dyDescent="0.35">
      <c r="O212">
        <v>210</v>
      </c>
      <c r="P212">
        <v>117.050263</v>
      </c>
      <c r="Q212" s="14">
        <v>0.95411150503704945</v>
      </c>
      <c r="R212">
        <v>32.384</v>
      </c>
      <c r="S212" s="14">
        <v>0.95432309777803981</v>
      </c>
      <c r="T212">
        <v>26</v>
      </c>
      <c r="V212">
        <v>210</v>
      </c>
      <c r="W212">
        <v>117.404658</v>
      </c>
      <c r="X212" s="14">
        <v>0.95784756010538485</v>
      </c>
      <c r="Y212">
        <v>32.411999999999999</v>
      </c>
      <c r="Z212" s="14">
        <v>0.95672707952063285</v>
      </c>
      <c r="AA212">
        <v>26</v>
      </c>
      <c r="AC212">
        <v>210</v>
      </c>
      <c r="AD212">
        <v>116.670635</v>
      </c>
      <c r="AE212" s="14">
        <v>0.9609149656160767</v>
      </c>
      <c r="AF212">
        <v>32.206000000000003</v>
      </c>
      <c r="AG212" s="14">
        <v>0.95871163635281154</v>
      </c>
      <c r="AH212">
        <v>26</v>
      </c>
      <c r="AJ212">
        <v>210</v>
      </c>
      <c r="AK212">
        <v>116.383993</v>
      </c>
      <c r="AL212" s="14">
        <v>0.94566864978880738</v>
      </c>
      <c r="AM212">
        <v>32.201000000000001</v>
      </c>
      <c r="AN212" s="14">
        <v>0.94193529515006147</v>
      </c>
      <c r="AO212">
        <v>26</v>
      </c>
      <c r="AQ212">
        <v>210</v>
      </c>
      <c r="AR212">
        <v>115.15800400000001</v>
      </c>
      <c r="AS212" s="14">
        <v>0.94515919905184342</v>
      </c>
      <c r="AT212">
        <v>31.901</v>
      </c>
      <c r="AU212" s="14">
        <v>0.94206065617340462</v>
      </c>
      <c r="AV212">
        <v>26</v>
      </c>
      <c r="AX212">
        <v>210</v>
      </c>
      <c r="AY212">
        <v>117.24897799999999</v>
      </c>
      <c r="AZ212" s="14">
        <v>0.94844305184018118</v>
      </c>
      <c r="BA212">
        <v>32.494</v>
      </c>
      <c r="BB212" s="14">
        <v>0.94668453560191124</v>
      </c>
      <c r="BC212">
        <v>26</v>
      </c>
    </row>
    <row r="213" spans="15:55" x14ac:dyDescent="0.35">
      <c r="O213">
        <v>211</v>
      </c>
      <c r="P213">
        <v>116.89489399999999</v>
      </c>
      <c r="Q213" s="14">
        <v>0.95284504611054444</v>
      </c>
      <c r="R213">
        <v>32.344000000000001</v>
      </c>
      <c r="S213" s="14">
        <v>0.95314433901102147</v>
      </c>
      <c r="T213">
        <v>26</v>
      </c>
      <c r="V213">
        <v>211</v>
      </c>
      <c r="W213">
        <v>117.333628</v>
      </c>
      <c r="X213" s="14">
        <v>0.9572680608474059</v>
      </c>
      <c r="Y213">
        <v>32.395000000000003</v>
      </c>
      <c r="Z213" s="14">
        <v>0.95622527894208642</v>
      </c>
      <c r="AA213">
        <v>26</v>
      </c>
      <c r="AC213">
        <v>211</v>
      </c>
      <c r="AD213">
        <v>116.62687</v>
      </c>
      <c r="AE213" s="14">
        <v>0.96055451121835966</v>
      </c>
      <c r="AF213">
        <v>32.194000000000003</v>
      </c>
      <c r="AG213" s="14">
        <v>0.95835441907540264</v>
      </c>
      <c r="AH213">
        <v>26</v>
      </c>
      <c r="AJ213">
        <v>211</v>
      </c>
      <c r="AK213">
        <v>116.35750400000001</v>
      </c>
      <c r="AL213" s="14">
        <v>0.94545341557816942</v>
      </c>
      <c r="AM213">
        <v>32.191000000000003</v>
      </c>
      <c r="AN213" s="14">
        <v>0.94164277774527594</v>
      </c>
      <c r="AO213">
        <v>26</v>
      </c>
      <c r="AQ213">
        <v>211</v>
      </c>
      <c r="AR213">
        <v>115.11914400000001</v>
      </c>
      <c r="AS213" s="14">
        <v>0.94484025564192509</v>
      </c>
      <c r="AT213">
        <v>31.890999999999998</v>
      </c>
      <c r="AU213" s="14">
        <v>0.94176534861057792</v>
      </c>
      <c r="AV213">
        <v>26</v>
      </c>
      <c r="AX213">
        <v>211</v>
      </c>
      <c r="AY213">
        <v>117.180903</v>
      </c>
      <c r="AZ213" s="14">
        <v>0.9478923838356037</v>
      </c>
      <c r="BA213">
        <v>32.476999999999997</v>
      </c>
      <c r="BB213" s="14">
        <v>0.94618925533154641</v>
      </c>
      <c r="BC213">
        <v>26</v>
      </c>
    </row>
    <row r="214" spans="15:55" x14ac:dyDescent="0.35">
      <c r="O214">
        <v>212</v>
      </c>
      <c r="P214">
        <v>116.953411</v>
      </c>
      <c r="Q214" s="14">
        <v>0.95332203558078821</v>
      </c>
      <c r="R214">
        <v>32.363</v>
      </c>
      <c r="S214" s="14">
        <v>0.95370424942535514</v>
      </c>
      <c r="T214">
        <v>26</v>
      </c>
      <c r="V214">
        <v>212</v>
      </c>
      <c r="W214">
        <v>117.27227999999999</v>
      </c>
      <c r="X214" s="14">
        <v>0.95676755232314137</v>
      </c>
      <c r="Y214">
        <v>32.378999999999998</v>
      </c>
      <c r="Z214" s="14">
        <v>0.95575299604463071</v>
      </c>
      <c r="AA214">
        <v>26</v>
      </c>
      <c r="AC214">
        <v>212</v>
      </c>
      <c r="AD214">
        <v>116.54799199999999</v>
      </c>
      <c r="AE214" s="14">
        <v>0.95990486145295062</v>
      </c>
      <c r="AF214">
        <v>32.174999999999997</v>
      </c>
      <c r="AG214" s="14">
        <v>0.95778882505283824</v>
      </c>
      <c r="AH214">
        <v>26</v>
      </c>
      <c r="AJ214">
        <v>212</v>
      </c>
      <c r="AK214">
        <v>116.31092599999999</v>
      </c>
      <c r="AL214" s="14">
        <v>0.94507494983529128</v>
      </c>
      <c r="AM214">
        <v>32.18</v>
      </c>
      <c r="AN214" s="14">
        <v>0.94132100860001167</v>
      </c>
      <c r="AO214">
        <v>26</v>
      </c>
      <c r="AQ214">
        <v>212</v>
      </c>
      <c r="AR214">
        <v>115.088179</v>
      </c>
      <c r="AS214" s="14">
        <v>0.94458611043636342</v>
      </c>
      <c r="AT214">
        <v>31.882000000000001</v>
      </c>
      <c r="AU214" s="14">
        <v>0.94149957180403399</v>
      </c>
      <c r="AV214">
        <v>26</v>
      </c>
      <c r="AX214">
        <v>212</v>
      </c>
      <c r="AY214">
        <v>117.152024</v>
      </c>
      <c r="AZ214" s="14">
        <v>0.94765877764677964</v>
      </c>
      <c r="BA214">
        <v>32.469000000000001</v>
      </c>
      <c r="BB214" s="14">
        <v>0.9459561822631396</v>
      </c>
      <c r="BC214">
        <v>26</v>
      </c>
    </row>
    <row r="215" spans="15:55" x14ac:dyDescent="0.35">
      <c r="O215">
        <v>213</v>
      </c>
      <c r="P215">
        <v>117.256299</v>
      </c>
      <c r="Q215" s="14">
        <v>0.95579096574916944</v>
      </c>
      <c r="R215">
        <v>32.424999999999997</v>
      </c>
      <c r="S215" s="14">
        <v>0.95553132551423348</v>
      </c>
      <c r="T215">
        <v>26</v>
      </c>
      <c r="V215">
        <v>213</v>
      </c>
      <c r="W215">
        <v>117.248116</v>
      </c>
      <c r="X215" s="14">
        <v>0.95657040998793363</v>
      </c>
      <c r="Y215">
        <v>32.372</v>
      </c>
      <c r="Z215" s="14">
        <v>0.95554637227699391</v>
      </c>
      <c r="AA215">
        <v>26</v>
      </c>
      <c r="AC215">
        <v>213</v>
      </c>
      <c r="AD215">
        <v>116.51380399999999</v>
      </c>
      <c r="AE215" s="14">
        <v>0.9596232845090652</v>
      </c>
      <c r="AF215">
        <v>32.167000000000002</v>
      </c>
      <c r="AG215" s="14">
        <v>0.95755068020123235</v>
      </c>
      <c r="AH215">
        <v>26</v>
      </c>
      <c r="AJ215">
        <v>213</v>
      </c>
      <c r="AK215">
        <v>116.282608</v>
      </c>
      <c r="AL215" s="14">
        <v>0.94484485423421738</v>
      </c>
      <c r="AM215">
        <v>32.171999999999997</v>
      </c>
      <c r="AN215" s="14">
        <v>0.94108699467618318</v>
      </c>
      <c r="AO215">
        <v>26</v>
      </c>
      <c r="AQ215">
        <v>213</v>
      </c>
      <c r="AR215">
        <v>115.02931100000001</v>
      </c>
      <c r="AS215" s="14">
        <v>0.94410295138708211</v>
      </c>
      <c r="AT215">
        <v>31.867000000000001</v>
      </c>
      <c r="AU215" s="14">
        <v>0.94105661045979394</v>
      </c>
      <c r="AV215">
        <v>26</v>
      </c>
      <c r="AX215">
        <v>213</v>
      </c>
      <c r="AY215">
        <v>117.293263</v>
      </c>
      <c r="AZ215" s="14">
        <v>0.94880127927437463</v>
      </c>
      <c r="BA215">
        <v>32.514000000000003</v>
      </c>
      <c r="BB215" s="14">
        <v>0.9472672182729287</v>
      </c>
      <c r="BC215">
        <v>26</v>
      </c>
    </row>
    <row r="216" spans="15:55" x14ac:dyDescent="0.35">
      <c r="O216">
        <v>214</v>
      </c>
      <c r="P216">
        <v>117.237865</v>
      </c>
      <c r="Q216" s="14">
        <v>0.95564070473280716</v>
      </c>
      <c r="R216">
        <v>32.414999999999999</v>
      </c>
      <c r="S216" s="14">
        <v>0.95523663582247897</v>
      </c>
      <c r="T216">
        <v>26</v>
      </c>
      <c r="V216">
        <v>214</v>
      </c>
      <c r="W216">
        <v>117.34887500000001</v>
      </c>
      <c r="X216" s="14">
        <v>0.95739245371220116</v>
      </c>
      <c r="Y216">
        <v>32.415999999999997</v>
      </c>
      <c r="Z216" s="14">
        <v>0.95684515024499661</v>
      </c>
      <c r="AA216">
        <v>26</v>
      </c>
      <c r="AC216">
        <v>214</v>
      </c>
      <c r="AD216">
        <v>116.59170899999999</v>
      </c>
      <c r="AE216" s="14">
        <v>0.96026492051624313</v>
      </c>
      <c r="AF216">
        <v>32.210999999999999</v>
      </c>
      <c r="AG216" s="14">
        <v>0.95886047688506515</v>
      </c>
      <c r="AH216">
        <v>26</v>
      </c>
      <c r="AJ216">
        <v>214</v>
      </c>
      <c r="AK216">
        <v>116.221878</v>
      </c>
      <c r="AL216" s="14">
        <v>0.94435139756873188</v>
      </c>
      <c r="AM216">
        <v>32.155999999999999</v>
      </c>
      <c r="AN216" s="14">
        <v>0.9406189668285263</v>
      </c>
      <c r="AO216">
        <v>26</v>
      </c>
      <c r="AQ216">
        <v>214</v>
      </c>
      <c r="AR216">
        <v>114.96091300000001</v>
      </c>
      <c r="AS216" s="14">
        <v>0.94354157487263024</v>
      </c>
      <c r="AT216">
        <v>31.849</v>
      </c>
      <c r="AU216" s="14">
        <v>0.94052505684670584</v>
      </c>
      <c r="AV216">
        <v>26</v>
      </c>
      <c r="AX216">
        <v>214</v>
      </c>
      <c r="AY216">
        <v>117.116135</v>
      </c>
      <c r="AZ216" s="14">
        <v>0.9473684666072455</v>
      </c>
      <c r="BA216">
        <v>32.469000000000001</v>
      </c>
      <c r="BB216" s="14">
        <v>0.9459561822631396</v>
      </c>
      <c r="BC216">
        <v>26</v>
      </c>
    </row>
    <row r="217" spans="15:55" x14ac:dyDescent="0.35">
      <c r="O217">
        <v>215</v>
      </c>
      <c r="P217">
        <v>117.130145</v>
      </c>
      <c r="Q217" s="14">
        <v>0.95476264697634916</v>
      </c>
      <c r="R217">
        <v>32.387999999999998</v>
      </c>
      <c r="S217" s="14">
        <v>0.95444097365474156</v>
      </c>
      <c r="T217">
        <v>26</v>
      </c>
      <c r="V217">
        <v>215</v>
      </c>
      <c r="W217">
        <v>117.163916</v>
      </c>
      <c r="X217" s="14">
        <v>0.95588346309898764</v>
      </c>
      <c r="Y217">
        <v>32.366999999999997</v>
      </c>
      <c r="Z217" s="14">
        <v>0.95539878387153898</v>
      </c>
      <c r="AA217">
        <v>26</v>
      </c>
      <c r="AC217">
        <v>215</v>
      </c>
      <c r="AD217">
        <v>116.43118800000001</v>
      </c>
      <c r="AE217" s="14">
        <v>0.95894284807534447</v>
      </c>
      <c r="AF217">
        <v>32.167999999999999</v>
      </c>
      <c r="AG217" s="14">
        <v>0.95758044830768307</v>
      </c>
      <c r="AH217">
        <v>26</v>
      </c>
      <c r="AJ217">
        <v>215</v>
      </c>
      <c r="AK217">
        <v>116.13679399999999</v>
      </c>
      <c r="AL217" s="14">
        <v>0.94366005446110501</v>
      </c>
      <c r="AM217">
        <v>32.136000000000003</v>
      </c>
      <c r="AN217" s="14">
        <v>0.94003393201895524</v>
      </c>
      <c r="AO217">
        <v>26</v>
      </c>
      <c r="AQ217">
        <v>215</v>
      </c>
      <c r="AR217">
        <v>114.933273</v>
      </c>
      <c r="AS217" s="14">
        <v>0.94331471960113911</v>
      </c>
      <c r="AT217">
        <v>31.841999999999999</v>
      </c>
      <c r="AU217" s="14">
        <v>0.94031834155272709</v>
      </c>
      <c r="AV217">
        <v>26</v>
      </c>
      <c r="AX217">
        <v>215</v>
      </c>
      <c r="AY217">
        <v>116.95774900000001</v>
      </c>
      <c r="AZ217" s="14">
        <v>0.94608726054667969</v>
      </c>
      <c r="BA217">
        <v>32.427999999999997</v>
      </c>
      <c r="BB217" s="14">
        <v>0.9447616827875539</v>
      </c>
      <c r="BC217">
        <v>26</v>
      </c>
    </row>
    <row r="218" spans="15:55" x14ac:dyDescent="0.35">
      <c r="O218">
        <v>216</v>
      </c>
      <c r="P218">
        <v>117.063237</v>
      </c>
      <c r="Q218" s="14">
        <v>0.95421725996958084</v>
      </c>
      <c r="R218">
        <v>32.369999999999997</v>
      </c>
      <c r="S218" s="14">
        <v>0.95391053220958333</v>
      </c>
      <c r="T218">
        <v>26</v>
      </c>
      <c r="V218">
        <v>216</v>
      </c>
      <c r="W218">
        <v>117.014736</v>
      </c>
      <c r="X218" s="14">
        <v>0.9546663759624916</v>
      </c>
      <c r="Y218">
        <v>32.33</v>
      </c>
      <c r="Z218" s="14">
        <v>0.95430662967117297</v>
      </c>
      <c r="AA218">
        <v>26</v>
      </c>
      <c r="AC218">
        <v>216</v>
      </c>
      <c r="AD218">
        <v>116.289152</v>
      </c>
      <c r="AE218" s="14">
        <v>0.9577730205685665</v>
      </c>
      <c r="AF218">
        <v>32.131</v>
      </c>
      <c r="AG218" s="14">
        <v>0.95647902836900534</v>
      </c>
      <c r="AH218">
        <v>26</v>
      </c>
      <c r="AJ218">
        <v>216</v>
      </c>
      <c r="AK218">
        <v>116.108634</v>
      </c>
      <c r="AL218" s="14">
        <v>0.94343124267615397</v>
      </c>
      <c r="AM218">
        <v>32.127000000000002</v>
      </c>
      <c r="AN218" s="14">
        <v>0.93977066635464812</v>
      </c>
      <c r="AO218">
        <v>26</v>
      </c>
      <c r="AQ218">
        <v>216</v>
      </c>
      <c r="AR218">
        <v>115.12084900000001</v>
      </c>
      <c r="AS218" s="14">
        <v>0.94485424942766649</v>
      </c>
      <c r="AT218">
        <v>31.901</v>
      </c>
      <c r="AU218" s="14">
        <v>0.94206065617340462</v>
      </c>
      <c r="AV218">
        <v>26</v>
      </c>
      <c r="AX218">
        <v>216</v>
      </c>
      <c r="AY218">
        <v>116.964327</v>
      </c>
      <c r="AZ218" s="14">
        <v>0.94614047089018471</v>
      </c>
      <c r="BA218">
        <v>32.433999999999997</v>
      </c>
      <c r="BB218" s="14">
        <v>0.94493648758885906</v>
      </c>
      <c r="BC218">
        <v>26</v>
      </c>
    </row>
    <row r="219" spans="15:55" x14ac:dyDescent="0.35">
      <c r="O219">
        <v>217</v>
      </c>
      <c r="P219">
        <v>117.021618</v>
      </c>
      <c r="Q219" s="14">
        <v>0.95387801112288551</v>
      </c>
      <c r="R219">
        <v>32.36</v>
      </c>
      <c r="S219" s="14">
        <v>0.95361584251782883</v>
      </c>
      <c r="T219">
        <v>26</v>
      </c>
      <c r="V219">
        <v>217</v>
      </c>
      <c r="W219">
        <v>117.033462</v>
      </c>
      <c r="X219" s="14">
        <v>0.95481915229791203</v>
      </c>
      <c r="Y219">
        <v>32.338999999999999</v>
      </c>
      <c r="Z219" s="14">
        <v>0.95457228880099176</v>
      </c>
      <c r="AA219">
        <v>26</v>
      </c>
      <c r="AC219">
        <v>217</v>
      </c>
      <c r="AD219">
        <v>116.35889899999999</v>
      </c>
      <c r="AE219" s="14">
        <v>0.95834746619583866</v>
      </c>
      <c r="AF219">
        <v>32.154000000000003</v>
      </c>
      <c r="AG219" s="14">
        <v>0.95716369481737262</v>
      </c>
      <c r="AH219">
        <v>26</v>
      </c>
      <c r="AJ219">
        <v>217</v>
      </c>
      <c r="AK219">
        <v>116.295866</v>
      </c>
      <c r="AL219" s="14">
        <v>0.94495258103268609</v>
      </c>
      <c r="AM219">
        <v>32.189</v>
      </c>
      <c r="AN219" s="14">
        <v>0.94158427426431868</v>
      </c>
      <c r="AO219">
        <v>26</v>
      </c>
      <c r="AQ219">
        <v>217</v>
      </c>
      <c r="AR219">
        <v>114.933284</v>
      </c>
      <c r="AS219" s="14">
        <v>0.94331480988362781</v>
      </c>
      <c r="AT219">
        <v>31.853000000000002</v>
      </c>
      <c r="AU219" s="14">
        <v>0.94064317987183654</v>
      </c>
      <c r="AV219">
        <v>26</v>
      </c>
      <c r="AX219">
        <v>217</v>
      </c>
      <c r="AY219">
        <v>117.291411</v>
      </c>
      <c r="AZ219" s="14">
        <v>0.94878629819256077</v>
      </c>
      <c r="BA219">
        <v>32.499000000000002</v>
      </c>
      <c r="BB219" s="14">
        <v>0.94683020626966563</v>
      </c>
      <c r="BC219">
        <v>26</v>
      </c>
    </row>
    <row r="220" spans="15:55" x14ac:dyDescent="0.35">
      <c r="O220">
        <v>218</v>
      </c>
      <c r="P220">
        <v>116.99403100000001</v>
      </c>
      <c r="Q220" s="14">
        <v>0.95365314128137602</v>
      </c>
      <c r="R220">
        <v>32.35</v>
      </c>
      <c r="S220" s="14">
        <v>0.95332115282607421</v>
      </c>
      <c r="T220">
        <v>26</v>
      </c>
      <c r="V220">
        <v>218</v>
      </c>
      <c r="W220">
        <v>117.36653699999999</v>
      </c>
      <c r="X220" s="14">
        <v>0.95753654938859722</v>
      </c>
      <c r="Y220">
        <v>32.406999999999996</v>
      </c>
      <c r="Z220" s="14">
        <v>0.95657949111517793</v>
      </c>
      <c r="AA220">
        <v>26</v>
      </c>
      <c r="AC220">
        <v>218</v>
      </c>
      <c r="AD220">
        <v>116.73342599999999</v>
      </c>
      <c r="AE220" s="14">
        <v>0.96143212069632455</v>
      </c>
      <c r="AF220">
        <v>32.228000000000002</v>
      </c>
      <c r="AG220" s="14">
        <v>0.95936653469472799</v>
      </c>
      <c r="AH220">
        <v>26</v>
      </c>
      <c r="AJ220">
        <v>218</v>
      </c>
      <c r="AK220">
        <v>116.107952</v>
      </c>
      <c r="AL220" s="14">
        <v>0.94342570114073721</v>
      </c>
      <c r="AM220">
        <v>32.139000000000003</v>
      </c>
      <c r="AN220" s="14">
        <v>0.94012168724039091</v>
      </c>
      <c r="AO220">
        <v>26</v>
      </c>
      <c r="AQ220">
        <v>218</v>
      </c>
      <c r="AR220">
        <v>114.78997099999999</v>
      </c>
      <c r="AS220" s="14">
        <v>0.94213856858394596</v>
      </c>
      <c r="AT220">
        <v>31.814</v>
      </c>
      <c r="AU220" s="14">
        <v>0.93949148037681252</v>
      </c>
      <c r="AV220">
        <v>26</v>
      </c>
      <c r="AX220">
        <v>218</v>
      </c>
      <c r="AY220">
        <v>117.310823</v>
      </c>
      <c r="AZ220" s="14">
        <v>0.94894332452094654</v>
      </c>
      <c r="BA220">
        <v>32.497</v>
      </c>
      <c r="BB220" s="14">
        <v>0.94677193800256387</v>
      </c>
      <c r="BC220">
        <v>26</v>
      </c>
    </row>
    <row r="221" spans="15:55" x14ac:dyDescent="0.35">
      <c r="O221">
        <v>219</v>
      </c>
      <c r="P221">
        <v>116.97861</v>
      </c>
      <c r="Q221" s="14">
        <v>0.95352744012409474</v>
      </c>
      <c r="R221">
        <v>32.344999999999999</v>
      </c>
      <c r="S221" s="14">
        <v>0.95317380798019691</v>
      </c>
      <c r="T221">
        <v>26</v>
      </c>
      <c r="V221">
        <v>219</v>
      </c>
      <c r="W221">
        <v>117.37368600000001</v>
      </c>
      <c r="X221" s="14">
        <v>0.95759487460604487</v>
      </c>
      <c r="Y221">
        <v>32.402999999999999</v>
      </c>
      <c r="Z221" s="14">
        <v>0.95646142039081405</v>
      </c>
      <c r="AA221">
        <v>26</v>
      </c>
      <c r="AC221">
        <v>219</v>
      </c>
      <c r="AD221">
        <v>116.716093</v>
      </c>
      <c r="AE221" s="14">
        <v>0.96128936378839291</v>
      </c>
      <c r="AF221">
        <v>32.216000000000001</v>
      </c>
      <c r="AG221" s="14">
        <v>0.95900931741731898</v>
      </c>
      <c r="AH221">
        <v>26</v>
      </c>
      <c r="AJ221">
        <v>219</v>
      </c>
      <c r="AK221">
        <v>115.969562</v>
      </c>
      <c r="AL221" s="14">
        <v>0.94230122447456655</v>
      </c>
      <c r="AM221">
        <v>32.106000000000002</v>
      </c>
      <c r="AN221" s="14">
        <v>0.93915637980459843</v>
      </c>
      <c r="AO221">
        <v>26</v>
      </c>
      <c r="AQ221">
        <v>219</v>
      </c>
      <c r="AR221">
        <v>114.776194</v>
      </c>
      <c r="AS221" s="14">
        <v>0.94202549387065615</v>
      </c>
      <c r="AT221">
        <v>31.812000000000001</v>
      </c>
      <c r="AU221" s="14">
        <v>0.93943241886424711</v>
      </c>
      <c r="AV221">
        <v>26</v>
      </c>
      <c r="AX221">
        <v>219</v>
      </c>
      <c r="AY221">
        <v>117.18426599999999</v>
      </c>
      <c r="AZ221" s="14">
        <v>0.9479195876034977</v>
      </c>
      <c r="BA221">
        <v>32.47</v>
      </c>
      <c r="BB221" s="14">
        <v>0.94598531639669037</v>
      </c>
      <c r="BC221">
        <v>26</v>
      </c>
    </row>
    <row r="222" spans="15:55" x14ac:dyDescent="0.35">
      <c r="O222">
        <v>220</v>
      </c>
      <c r="P222">
        <v>116.93561</v>
      </c>
      <c r="Q222" s="14">
        <v>0.95317693433568318</v>
      </c>
      <c r="R222">
        <v>32.332999999999998</v>
      </c>
      <c r="S222" s="14">
        <v>0.95282018035009142</v>
      </c>
      <c r="T222">
        <v>26</v>
      </c>
      <c r="V222">
        <v>220</v>
      </c>
      <c r="W222">
        <v>117.258816</v>
      </c>
      <c r="X222" s="14">
        <v>0.95665770608902301</v>
      </c>
      <c r="Y222">
        <v>32.375</v>
      </c>
      <c r="Z222" s="14">
        <v>0.95563492532026684</v>
      </c>
      <c r="AA222">
        <v>26</v>
      </c>
      <c r="AC222">
        <v>220</v>
      </c>
      <c r="AD222">
        <v>116.586063</v>
      </c>
      <c r="AE222" s="14">
        <v>0.96021841930455554</v>
      </c>
      <c r="AF222">
        <v>32.186</v>
      </c>
      <c r="AG222" s="14">
        <v>0.95811627422379653</v>
      </c>
      <c r="AH222">
        <v>26</v>
      </c>
      <c r="AJ222">
        <v>220</v>
      </c>
      <c r="AK222">
        <v>115.934408</v>
      </c>
      <c r="AL222" s="14">
        <v>0.94201558351262893</v>
      </c>
      <c r="AM222">
        <v>32.1</v>
      </c>
      <c r="AN222" s="14">
        <v>0.93898086936172709</v>
      </c>
      <c r="AO222">
        <v>26</v>
      </c>
      <c r="AQ222">
        <v>220</v>
      </c>
      <c r="AR222">
        <v>115.08891199999999</v>
      </c>
      <c r="AS222" s="14">
        <v>0.94459212653310731</v>
      </c>
      <c r="AT222">
        <v>31.878</v>
      </c>
      <c r="AU222" s="14">
        <v>0.94138144877890328</v>
      </c>
      <c r="AV222">
        <v>26</v>
      </c>
      <c r="AX222">
        <v>220</v>
      </c>
      <c r="AY222">
        <v>117.12133300000001</v>
      </c>
      <c r="AZ222" s="14">
        <v>0.94741051394162379</v>
      </c>
      <c r="BA222">
        <v>32.454999999999998</v>
      </c>
      <c r="BB222" s="14">
        <v>0.9455483043934273</v>
      </c>
      <c r="BC222">
        <v>26</v>
      </c>
    </row>
    <row r="223" spans="15:55" x14ac:dyDescent="0.35">
      <c r="O223">
        <v>221</v>
      </c>
      <c r="P223">
        <v>116.890156</v>
      </c>
      <c r="Q223" s="14">
        <v>0.95280642526343995</v>
      </c>
      <c r="R223">
        <v>32.32</v>
      </c>
      <c r="S223" s="14">
        <v>0.95243708375081049</v>
      </c>
      <c r="T223">
        <v>26</v>
      </c>
      <c r="V223">
        <v>221</v>
      </c>
      <c r="W223">
        <v>117.20195699999999</v>
      </c>
      <c r="X223" s="14">
        <v>0.95619382113464546</v>
      </c>
      <c r="Y223">
        <v>32.36</v>
      </c>
      <c r="Z223" s="14">
        <v>0.95519216010390218</v>
      </c>
      <c r="AA223">
        <v>26</v>
      </c>
      <c r="AC223">
        <v>221</v>
      </c>
      <c r="AD223">
        <v>116.52321499999999</v>
      </c>
      <c r="AE223" s="14">
        <v>0.9597007947646784</v>
      </c>
      <c r="AF223">
        <v>32.17</v>
      </c>
      <c r="AG223" s="14">
        <v>0.95763998452058463</v>
      </c>
      <c r="AH223">
        <v>26</v>
      </c>
      <c r="AJ223">
        <v>221</v>
      </c>
      <c r="AK223">
        <v>116.309669</v>
      </c>
      <c r="AL223" s="14">
        <v>0.94506473618423714</v>
      </c>
      <c r="AM223">
        <v>32.176000000000002</v>
      </c>
      <c r="AN223" s="14">
        <v>0.94120400163809748</v>
      </c>
      <c r="AO223">
        <v>26</v>
      </c>
      <c r="AQ223">
        <v>221</v>
      </c>
      <c r="AR223">
        <v>115.089648</v>
      </c>
      <c r="AS223" s="14">
        <v>0.94459816725234824</v>
      </c>
      <c r="AT223">
        <v>31.870999999999999</v>
      </c>
      <c r="AU223" s="14">
        <v>0.94117473348492453</v>
      </c>
      <c r="AV223">
        <v>26</v>
      </c>
      <c r="AX223">
        <v>221</v>
      </c>
      <c r="AY223">
        <v>117.06955499999999</v>
      </c>
      <c r="AZ223" s="14">
        <v>0.94699167460352573</v>
      </c>
      <c r="BA223">
        <v>32.441000000000003</v>
      </c>
      <c r="BB223" s="14">
        <v>0.94514042652371533</v>
      </c>
      <c r="BC223">
        <v>26</v>
      </c>
    </row>
    <row r="224" spans="15:55" x14ac:dyDescent="0.35">
      <c r="O224">
        <v>222</v>
      </c>
      <c r="P224">
        <v>116.857496</v>
      </c>
      <c r="Q224" s="14">
        <v>0.95254020389019523</v>
      </c>
      <c r="R224">
        <v>32.311</v>
      </c>
      <c r="S224" s="14">
        <v>0.95217186302823131</v>
      </c>
      <c r="T224">
        <v>26</v>
      </c>
      <c r="V224">
        <v>222</v>
      </c>
      <c r="W224">
        <v>117.153425</v>
      </c>
      <c r="X224" s="14">
        <v>0.95579787212734946</v>
      </c>
      <c r="Y224">
        <v>32.347000000000001</v>
      </c>
      <c r="Z224" s="14">
        <v>0.95480843024971962</v>
      </c>
      <c r="AA224">
        <v>26</v>
      </c>
      <c r="AC224">
        <v>222</v>
      </c>
      <c r="AD224">
        <v>116.48508200000001</v>
      </c>
      <c r="AE224" s="14">
        <v>0.95938672627277533</v>
      </c>
      <c r="AF224">
        <v>32.158999999999999</v>
      </c>
      <c r="AG224" s="14">
        <v>0.95731253534962624</v>
      </c>
      <c r="AH224">
        <v>26</v>
      </c>
      <c r="AJ224">
        <v>222</v>
      </c>
      <c r="AK224">
        <v>116.318088</v>
      </c>
      <c r="AL224" s="14">
        <v>0.94513314408258597</v>
      </c>
      <c r="AM224">
        <v>32.17</v>
      </c>
      <c r="AN224" s="14">
        <v>0.94102849119522614</v>
      </c>
      <c r="AO224">
        <v>26</v>
      </c>
      <c r="AQ224">
        <v>222</v>
      </c>
      <c r="AR224">
        <v>114.960695</v>
      </c>
      <c r="AS224" s="14">
        <v>0.94353978563785512</v>
      </c>
      <c r="AT224">
        <v>31.841000000000001</v>
      </c>
      <c r="AU224" s="14">
        <v>0.94028881079644455</v>
      </c>
      <c r="AV224">
        <v>26</v>
      </c>
      <c r="AX224">
        <v>222</v>
      </c>
      <c r="AY224">
        <v>117.04832399999999</v>
      </c>
      <c r="AZ224" s="14">
        <v>0.94681993413484866</v>
      </c>
      <c r="BA224">
        <v>32.433999999999997</v>
      </c>
      <c r="BB224" s="14">
        <v>0.94493648758885906</v>
      </c>
      <c r="BC224">
        <v>26</v>
      </c>
    </row>
    <row r="225" spans="15:55" x14ac:dyDescent="0.35">
      <c r="O225">
        <v>223</v>
      </c>
      <c r="P225">
        <v>116.848781</v>
      </c>
      <c r="Q225" s="14">
        <v>0.95246916533331138</v>
      </c>
      <c r="R225">
        <v>32.308999999999997</v>
      </c>
      <c r="S225" s="14">
        <v>0.95211292508988032</v>
      </c>
      <c r="T225">
        <v>26</v>
      </c>
      <c r="V225">
        <v>223</v>
      </c>
      <c r="W225">
        <v>117.12833000000001</v>
      </c>
      <c r="X225" s="14">
        <v>0.95559313421549563</v>
      </c>
      <c r="Y225">
        <v>32.338000000000001</v>
      </c>
      <c r="Z225" s="14">
        <v>0.95454277111990082</v>
      </c>
      <c r="AA225">
        <v>26</v>
      </c>
      <c r="AC225">
        <v>223</v>
      </c>
      <c r="AD225">
        <v>116.45454100000001</v>
      </c>
      <c r="AE225" s="14">
        <v>0.95913518650902174</v>
      </c>
      <c r="AF225">
        <v>32.15</v>
      </c>
      <c r="AG225" s="14">
        <v>0.95704462239156951</v>
      </c>
      <c r="AH225">
        <v>26</v>
      </c>
      <c r="AJ225">
        <v>223</v>
      </c>
      <c r="AK225">
        <v>116.173025</v>
      </c>
      <c r="AL225" s="14">
        <v>0.94395444649876692</v>
      </c>
      <c r="AM225">
        <v>32.136000000000003</v>
      </c>
      <c r="AN225" s="14">
        <v>0.94003393201895524</v>
      </c>
      <c r="AO225">
        <v>26</v>
      </c>
      <c r="AQ225">
        <v>223</v>
      </c>
      <c r="AR225">
        <v>114.89142</v>
      </c>
      <c r="AS225" s="14">
        <v>0.94297121114680782</v>
      </c>
      <c r="AT225">
        <v>31.824000000000002</v>
      </c>
      <c r="AU225" s="14">
        <v>0.93978678793963921</v>
      </c>
      <c r="AV225">
        <v>26</v>
      </c>
      <c r="AX225">
        <v>223</v>
      </c>
      <c r="AY225">
        <v>117.017088</v>
      </c>
      <c r="AZ225" s="14">
        <v>0.9465672618500014</v>
      </c>
      <c r="BA225">
        <v>32.424999999999997</v>
      </c>
      <c r="BB225" s="14">
        <v>0.94467428038690127</v>
      </c>
      <c r="BC225">
        <v>26</v>
      </c>
    </row>
    <row r="226" spans="15:55" x14ac:dyDescent="0.35">
      <c r="O226">
        <v>224</v>
      </c>
      <c r="P226">
        <v>116.83582199999999</v>
      </c>
      <c r="Q226" s="14">
        <v>0.95236353267024099</v>
      </c>
      <c r="R226">
        <v>32.302999999999997</v>
      </c>
      <c r="S226" s="14">
        <v>0.95193611127482758</v>
      </c>
      <c r="T226">
        <v>26</v>
      </c>
      <c r="V226">
        <v>224</v>
      </c>
      <c r="W226">
        <v>117.110685</v>
      </c>
      <c r="X226" s="14">
        <v>0.95544917723383938</v>
      </c>
      <c r="Y226">
        <v>32.332999999999998</v>
      </c>
      <c r="Z226" s="14">
        <v>0.9543951827144459</v>
      </c>
      <c r="AA226">
        <v>26</v>
      </c>
      <c r="AC226">
        <v>224</v>
      </c>
      <c r="AD226">
        <v>116.42985899999999</v>
      </c>
      <c r="AE226" s="14">
        <v>0.9589319022534647</v>
      </c>
      <c r="AF226">
        <v>32.142000000000003</v>
      </c>
      <c r="AG226" s="14">
        <v>0.95680647753996362</v>
      </c>
      <c r="AH226">
        <v>26</v>
      </c>
      <c r="AJ226">
        <v>224</v>
      </c>
      <c r="AK226">
        <v>116.105782</v>
      </c>
      <c r="AL226" s="14">
        <v>0.943408068982593</v>
      </c>
      <c r="AM226">
        <v>32.119999999999997</v>
      </c>
      <c r="AN226" s="14">
        <v>0.93956590417129815</v>
      </c>
      <c r="AO226">
        <v>26</v>
      </c>
      <c r="AQ226">
        <v>224</v>
      </c>
      <c r="AR226">
        <v>114.85297199999999</v>
      </c>
      <c r="AS226" s="14">
        <v>0.9426556492264645</v>
      </c>
      <c r="AT226">
        <v>31.812999999999999</v>
      </c>
      <c r="AU226" s="14">
        <v>0.93946194962052976</v>
      </c>
      <c r="AV226">
        <v>26</v>
      </c>
      <c r="AX226">
        <v>224</v>
      </c>
      <c r="AY226">
        <v>116.97921100000001</v>
      </c>
      <c r="AZ226" s="14">
        <v>0.94626086960601485</v>
      </c>
      <c r="BA226">
        <v>32.414000000000001</v>
      </c>
      <c r="BB226" s="14">
        <v>0.94435380491784182</v>
      </c>
      <c r="BC226">
        <v>26</v>
      </c>
    </row>
    <row r="227" spans="15:55" x14ac:dyDescent="0.35">
      <c r="O227">
        <v>225</v>
      </c>
      <c r="P227">
        <v>116.79679400000001</v>
      </c>
      <c r="Q227" s="14">
        <v>0.95204540383512193</v>
      </c>
      <c r="R227">
        <v>32.292000000000002</v>
      </c>
      <c r="S227" s="14">
        <v>0.95161195261389764</v>
      </c>
      <c r="T227">
        <v>26</v>
      </c>
      <c r="V227">
        <v>225</v>
      </c>
      <c r="W227">
        <v>117.07588200000001</v>
      </c>
      <c r="X227" s="14">
        <v>0.95516523646690366</v>
      </c>
      <c r="Y227">
        <v>32.323</v>
      </c>
      <c r="Z227" s="14">
        <v>0.95410000590353627</v>
      </c>
      <c r="AA227">
        <v>26</v>
      </c>
      <c r="AC227">
        <v>225</v>
      </c>
      <c r="AD227">
        <v>116.38891599999999</v>
      </c>
      <c r="AE227" s="14">
        <v>0.95859469022545762</v>
      </c>
      <c r="AF227">
        <v>32.130000000000003</v>
      </c>
      <c r="AG227" s="14">
        <v>0.95644926026255472</v>
      </c>
      <c r="AH227">
        <v>26</v>
      </c>
      <c r="AJ227">
        <v>225</v>
      </c>
      <c r="AK227">
        <v>116.06648</v>
      </c>
      <c r="AL227" s="14">
        <v>0.94308872378471853</v>
      </c>
      <c r="AM227">
        <v>32.106999999999999</v>
      </c>
      <c r="AN227" s="14">
        <v>0.93918563154507695</v>
      </c>
      <c r="AO227">
        <v>26</v>
      </c>
      <c r="AQ227">
        <v>225</v>
      </c>
      <c r="AR227">
        <v>114.821917</v>
      </c>
      <c r="AS227" s="14">
        <v>0.94240076534599571</v>
      </c>
      <c r="AT227">
        <v>31.803999999999998</v>
      </c>
      <c r="AU227" s="14">
        <v>0.93919617281398571</v>
      </c>
      <c r="AV227">
        <v>26</v>
      </c>
      <c r="AX227">
        <v>225</v>
      </c>
      <c r="AY227">
        <v>116.9247</v>
      </c>
      <c r="AZ227" s="14">
        <v>0.94581992265636328</v>
      </c>
      <c r="BA227">
        <v>32.4</v>
      </c>
      <c r="BB227" s="14">
        <v>0.94394592704812963</v>
      </c>
      <c r="BC227">
        <v>26</v>
      </c>
    </row>
    <row r="228" spans="15:55" x14ac:dyDescent="0.35">
      <c r="O228">
        <v>226</v>
      </c>
      <c r="P228">
        <v>116.684511</v>
      </c>
      <c r="Q228" s="14">
        <v>0.95113015170860526</v>
      </c>
      <c r="R228">
        <v>32.259</v>
      </c>
      <c r="S228" s="14">
        <v>0.95063947663110748</v>
      </c>
      <c r="T228">
        <v>54</v>
      </c>
      <c r="V228">
        <v>226</v>
      </c>
      <c r="W228">
        <v>116.931096</v>
      </c>
      <c r="X228" s="14">
        <v>0.95398399784145294</v>
      </c>
      <c r="Y228">
        <v>32.281999999999996</v>
      </c>
      <c r="Z228" s="14">
        <v>0.95288978097880617</v>
      </c>
      <c r="AA228">
        <v>54</v>
      </c>
      <c r="AC228">
        <v>226</v>
      </c>
      <c r="AD228">
        <v>116.24341699999999</v>
      </c>
      <c r="AE228" s="14">
        <v>0.95739634098717519</v>
      </c>
      <c r="AF228">
        <v>32.088999999999999</v>
      </c>
      <c r="AG228" s="14">
        <v>0.95522876789807387</v>
      </c>
      <c r="AH228">
        <v>54</v>
      </c>
      <c r="AJ228">
        <v>226</v>
      </c>
      <c r="AK228">
        <v>115.946258</v>
      </c>
      <c r="AL228" s="14">
        <v>0.94211186972185001</v>
      </c>
      <c r="AM228">
        <v>32.067999999999998</v>
      </c>
      <c r="AN228" s="14">
        <v>0.93804481366641312</v>
      </c>
      <c r="AO228">
        <v>54</v>
      </c>
      <c r="AQ228">
        <v>226</v>
      </c>
      <c r="AR228">
        <v>114.690724</v>
      </c>
      <c r="AS228" s="14">
        <v>0.94132399893381302</v>
      </c>
      <c r="AT228">
        <v>31.763000000000002</v>
      </c>
      <c r="AU228" s="14">
        <v>0.93798541180639639</v>
      </c>
      <c r="AV228">
        <v>54</v>
      </c>
      <c r="AX228">
        <v>226</v>
      </c>
      <c r="AY228">
        <v>116.83979100000001</v>
      </c>
      <c r="AZ228" s="14">
        <v>0.94513308211871105</v>
      </c>
      <c r="BA228">
        <v>32.372999999999998</v>
      </c>
      <c r="BB228" s="14">
        <v>0.94315930544225612</v>
      </c>
      <c r="BC228">
        <v>54</v>
      </c>
    </row>
    <row r="229" spans="15:55" x14ac:dyDescent="0.35">
      <c r="O229">
        <v>227</v>
      </c>
      <c r="P229">
        <v>116.685958</v>
      </c>
      <c r="Q229" s="14">
        <v>0.9511419466359502</v>
      </c>
      <c r="R229">
        <v>32.256999999999998</v>
      </c>
      <c r="S229" s="14">
        <v>0.95058053869275649</v>
      </c>
      <c r="T229">
        <v>54</v>
      </c>
      <c r="V229">
        <v>227</v>
      </c>
      <c r="W229">
        <v>116.927887</v>
      </c>
      <c r="X229" s="14">
        <v>0.95395781716964034</v>
      </c>
      <c r="Y229">
        <v>32.279000000000003</v>
      </c>
      <c r="Z229" s="14">
        <v>0.95280122793553346</v>
      </c>
      <c r="AA229">
        <v>54</v>
      </c>
      <c r="AC229">
        <v>227</v>
      </c>
      <c r="AD229">
        <v>116.233507</v>
      </c>
      <c r="AE229" s="14">
        <v>0.95731472090077352</v>
      </c>
      <c r="AF229">
        <v>32.085000000000001</v>
      </c>
      <c r="AG229" s="14">
        <v>0.95510969547227098</v>
      </c>
      <c r="AH229">
        <v>54</v>
      </c>
      <c r="AJ229">
        <v>227</v>
      </c>
      <c r="AK229">
        <v>115.911477</v>
      </c>
      <c r="AL229" s="14">
        <v>0.94182925954101271</v>
      </c>
      <c r="AM229">
        <v>32.058</v>
      </c>
      <c r="AN229" s="14">
        <v>0.93775229626162759</v>
      </c>
      <c r="AO229">
        <v>54</v>
      </c>
      <c r="AQ229">
        <v>227</v>
      </c>
      <c r="AR229">
        <v>114.631607</v>
      </c>
      <c r="AS229" s="14">
        <v>0.9408387962172885</v>
      </c>
      <c r="AT229">
        <v>31.748000000000001</v>
      </c>
      <c r="AU229" s="14">
        <v>0.93754245046215634</v>
      </c>
      <c r="AV229">
        <v>54</v>
      </c>
      <c r="AX229">
        <v>227</v>
      </c>
      <c r="AY229">
        <v>116.83554700000001</v>
      </c>
      <c r="AZ229" s="14">
        <v>0.94509875182107717</v>
      </c>
      <c r="BA229">
        <v>32.369</v>
      </c>
      <c r="BB229" s="14">
        <v>0.94304276890805272</v>
      </c>
      <c r="BC229">
        <v>54</v>
      </c>
    </row>
    <row r="230" spans="15:55" x14ac:dyDescent="0.35">
      <c r="O230">
        <v>228</v>
      </c>
      <c r="P230">
        <v>116.647571</v>
      </c>
      <c r="Q230" s="14">
        <v>0.95082904278246749</v>
      </c>
      <c r="R230">
        <v>32.247</v>
      </c>
      <c r="S230" s="14">
        <v>0.95028584900100199</v>
      </c>
      <c r="T230">
        <v>54</v>
      </c>
      <c r="V230">
        <v>228</v>
      </c>
      <c r="W230">
        <v>116.91892</v>
      </c>
      <c r="X230" s="14">
        <v>0.95388465977352177</v>
      </c>
      <c r="Y230">
        <v>32.274999999999999</v>
      </c>
      <c r="Z230" s="14">
        <v>0.95268315721116947</v>
      </c>
      <c r="AA230">
        <v>54</v>
      </c>
      <c r="AC230">
        <v>228</v>
      </c>
      <c r="AD230">
        <v>116.22422</v>
      </c>
      <c r="AE230" s="14">
        <v>0.95723823192575697</v>
      </c>
      <c r="AF230">
        <v>32.08</v>
      </c>
      <c r="AG230" s="14">
        <v>0.95496085494001715</v>
      </c>
      <c r="AH230">
        <v>54</v>
      </c>
      <c r="AJ230">
        <v>228</v>
      </c>
      <c r="AK230">
        <v>115.842788</v>
      </c>
      <c r="AL230" s="14">
        <v>0.9412711326696882</v>
      </c>
      <c r="AM230">
        <v>32.040999999999997</v>
      </c>
      <c r="AN230" s="14">
        <v>0.93725501667349198</v>
      </c>
      <c r="AO230">
        <v>54</v>
      </c>
      <c r="AQ230">
        <v>228</v>
      </c>
      <c r="AR230">
        <v>114.577611</v>
      </c>
      <c r="AS230" s="14">
        <v>0.94039562410298194</v>
      </c>
      <c r="AT230">
        <v>31.734000000000002</v>
      </c>
      <c r="AU230" s="14">
        <v>0.93712901987419905</v>
      </c>
      <c r="AV230">
        <v>54</v>
      </c>
      <c r="AX230">
        <v>228</v>
      </c>
      <c r="AY230">
        <v>116.794899</v>
      </c>
      <c r="AZ230" s="14">
        <v>0.94476994457832908</v>
      </c>
      <c r="BA230">
        <v>32.356999999999999</v>
      </c>
      <c r="BB230" s="14">
        <v>0.94269315930544229</v>
      </c>
      <c r="BC230">
        <v>54</v>
      </c>
    </row>
    <row r="231" spans="15:55" x14ac:dyDescent="0.35">
      <c r="O231">
        <v>229</v>
      </c>
      <c r="P231">
        <v>116.59748500000001</v>
      </c>
      <c r="Q231" s="14">
        <v>0.95042077690064475</v>
      </c>
      <c r="R231">
        <v>32.234000000000002</v>
      </c>
      <c r="S231" s="14">
        <v>0.94990275240172106</v>
      </c>
      <c r="T231">
        <v>54</v>
      </c>
      <c r="V231">
        <v>229</v>
      </c>
      <c r="W231">
        <v>116.874657</v>
      </c>
      <c r="X231" s="14">
        <v>0.95352353946300616</v>
      </c>
      <c r="Y231">
        <v>32.262999999999998</v>
      </c>
      <c r="Z231" s="14">
        <v>0.95232894503807775</v>
      </c>
      <c r="AA231">
        <v>54</v>
      </c>
      <c r="AC231">
        <v>229</v>
      </c>
      <c r="AD231">
        <v>116.178817</v>
      </c>
      <c r="AE231" s="14">
        <v>0.95686428674080215</v>
      </c>
      <c r="AF231">
        <v>32.067999999999998</v>
      </c>
      <c r="AG231" s="14">
        <v>0.95460363766260814</v>
      </c>
      <c r="AH231">
        <v>54</v>
      </c>
      <c r="AJ231">
        <v>229</v>
      </c>
      <c r="AK231">
        <v>115.796724</v>
      </c>
      <c r="AL231" s="14">
        <v>0.94089684339191892</v>
      </c>
      <c r="AM231">
        <v>32.03</v>
      </c>
      <c r="AN231" s="14">
        <v>0.93693324752822793</v>
      </c>
      <c r="AO231">
        <v>54</v>
      </c>
      <c r="AQ231">
        <v>229</v>
      </c>
      <c r="AR231">
        <v>114.564319</v>
      </c>
      <c r="AS231" s="14">
        <v>0.94028653002669171</v>
      </c>
      <c r="AT231">
        <v>31.728000000000002</v>
      </c>
      <c r="AU231" s="14">
        <v>0.93695183533650306</v>
      </c>
      <c r="AV231">
        <v>54</v>
      </c>
      <c r="AX231">
        <v>229</v>
      </c>
      <c r="AY231">
        <v>116.74129499999999</v>
      </c>
      <c r="AZ231" s="14">
        <v>0.94433633447598053</v>
      </c>
      <c r="BA231">
        <v>32.344000000000001</v>
      </c>
      <c r="BB231" s="14">
        <v>0.94231441556928108</v>
      </c>
      <c r="BC231">
        <v>54</v>
      </c>
    </row>
    <row r="232" spans="15:55" x14ac:dyDescent="0.35">
      <c r="O232">
        <v>230</v>
      </c>
      <c r="P232">
        <v>116.562155</v>
      </c>
      <c r="Q232" s="14">
        <v>0.95013279156332897</v>
      </c>
      <c r="R232">
        <v>32.222999999999999</v>
      </c>
      <c r="S232" s="14">
        <v>0.94957859374079101</v>
      </c>
      <c r="T232">
        <v>54</v>
      </c>
      <c r="V232">
        <v>230</v>
      </c>
      <c r="W232">
        <v>116.83372</v>
      </c>
      <c r="X232" s="14">
        <v>0.95318955437045527</v>
      </c>
      <c r="Y232">
        <v>32.252000000000002</v>
      </c>
      <c r="Z232" s="14">
        <v>0.95200425054607718</v>
      </c>
      <c r="AA232">
        <v>54</v>
      </c>
      <c r="AC232">
        <v>230</v>
      </c>
      <c r="AD232">
        <v>116.13907</v>
      </c>
      <c r="AE232" s="14">
        <v>0.95653692512887356</v>
      </c>
      <c r="AF232">
        <v>32.057000000000002</v>
      </c>
      <c r="AG232" s="14">
        <v>0.95427618849164997</v>
      </c>
      <c r="AH232">
        <v>54</v>
      </c>
      <c r="AJ232">
        <v>230</v>
      </c>
      <c r="AK232">
        <v>115.775429</v>
      </c>
      <c r="AL232" s="14">
        <v>0.94072381260496829</v>
      </c>
      <c r="AM232">
        <v>32.021000000000001</v>
      </c>
      <c r="AN232" s="14">
        <v>0.93666998186392092</v>
      </c>
      <c r="AO232">
        <v>54</v>
      </c>
      <c r="AQ232">
        <v>230</v>
      </c>
      <c r="AR232">
        <v>114.55000699999999</v>
      </c>
      <c r="AS232" s="14">
        <v>0.94016906430145364</v>
      </c>
      <c r="AT232">
        <v>31.722999999999999</v>
      </c>
      <c r="AU232" s="14">
        <v>0.9368041815550896</v>
      </c>
      <c r="AV232">
        <v>54</v>
      </c>
      <c r="AX232">
        <v>230</v>
      </c>
      <c r="AY232">
        <v>116.698813</v>
      </c>
      <c r="AZ232" s="14">
        <v>0.94399269175588563</v>
      </c>
      <c r="BA232">
        <v>32.334000000000003</v>
      </c>
      <c r="BB232" s="14">
        <v>0.94202307423377241</v>
      </c>
      <c r="BC232">
        <v>54</v>
      </c>
    </row>
    <row r="233" spans="15:55" x14ac:dyDescent="0.35">
      <c r="O233">
        <v>231</v>
      </c>
      <c r="P233">
        <v>116.556003</v>
      </c>
      <c r="Q233" s="14">
        <v>0.95008264478169391</v>
      </c>
      <c r="R233">
        <v>32.220999999999997</v>
      </c>
      <c r="S233" s="14">
        <v>0.94951965580244002</v>
      </c>
      <c r="T233">
        <v>54</v>
      </c>
      <c r="V233">
        <v>231</v>
      </c>
      <c r="W233">
        <v>116.796347</v>
      </c>
      <c r="X233" s="14">
        <v>0.95288464622222979</v>
      </c>
      <c r="Y233">
        <v>32.241999999999997</v>
      </c>
      <c r="Z233" s="14">
        <v>0.95170907373516733</v>
      </c>
      <c r="AA233">
        <v>54</v>
      </c>
      <c r="AC233">
        <v>231</v>
      </c>
      <c r="AD233">
        <v>116.100039</v>
      </c>
      <c r="AE233" s="14">
        <v>0.9562154605887776</v>
      </c>
      <c r="AF233">
        <v>32.046999999999997</v>
      </c>
      <c r="AG233" s="14">
        <v>0.95397850742714241</v>
      </c>
      <c r="AH233">
        <v>54</v>
      </c>
      <c r="AJ233">
        <v>231</v>
      </c>
      <c r="AK233">
        <v>115.772311</v>
      </c>
      <c r="AL233" s="14">
        <v>0.94069847755008629</v>
      </c>
      <c r="AM233">
        <v>32.018000000000001</v>
      </c>
      <c r="AN233" s="14">
        <v>0.93658222664248525</v>
      </c>
      <c r="AO233">
        <v>54</v>
      </c>
      <c r="AQ233">
        <v>231</v>
      </c>
      <c r="AR233">
        <v>114.507138</v>
      </c>
      <c r="AS233" s="14">
        <v>0.93981721702817023</v>
      </c>
      <c r="AT233">
        <v>31.710999999999999</v>
      </c>
      <c r="AU233" s="14">
        <v>0.93644981247969761</v>
      </c>
      <c r="AV233">
        <v>54</v>
      </c>
      <c r="AX233">
        <v>231</v>
      </c>
      <c r="AY233">
        <v>116.68550999999999</v>
      </c>
      <c r="AZ233" s="14">
        <v>0.94388508196572918</v>
      </c>
      <c r="BA233">
        <v>32.328000000000003</v>
      </c>
      <c r="BB233" s="14">
        <v>0.94184826943246724</v>
      </c>
      <c r="BC233">
        <v>54</v>
      </c>
    </row>
    <row r="234" spans="15:55" x14ac:dyDescent="0.35">
      <c r="O234">
        <v>232</v>
      </c>
      <c r="P234">
        <v>116.55077900000001</v>
      </c>
      <c r="Q234" s="14">
        <v>0.95004006240405059</v>
      </c>
      <c r="R234">
        <v>32.218000000000004</v>
      </c>
      <c r="S234" s="14">
        <v>0.94943124889491382</v>
      </c>
      <c r="T234">
        <v>54</v>
      </c>
      <c r="V234">
        <v>232</v>
      </c>
      <c r="W234">
        <v>116.78894699999999</v>
      </c>
      <c r="X234" s="14">
        <v>0.9528242732177381</v>
      </c>
      <c r="Y234">
        <v>32.238999999999997</v>
      </c>
      <c r="Z234" s="14">
        <v>0.9516205206918944</v>
      </c>
      <c r="AA234">
        <v>54</v>
      </c>
      <c r="AC234">
        <v>232</v>
      </c>
      <c r="AD234">
        <v>116.084003</v>
      </c>
      <c r="AE234" s="14">
        <v>0.95608338594644271</v>
      </c>
      <c r="AF234">
        <v>32.042000000000002</v>
      </c>
      <c r="AG234" s="14">
        <v>0.95382966689488879</v>
      </c>
      <c r="AH234">
        <v>54</v>
      </c>
      <c r="AJ234">
        <v>232</v>
      </c>
      <c r="AK234">
        <v>115.7204</v>
      </c>
      <c r="AL234" s="14">
        <v>0.94027667895034939</v>
      </c>
      <c r="AM234">
        <v>32.003</v>
      </c>
      <c r="AN234" s="14">
        <v>0.9361434505353069</v>
      </c>
      <c r="AO234">
        <v>54</v>
      </c>
      <c r="AQ234">
        <v>232</v>
      </c>
      <c r="AR234">
        <v>114.453338</v>
      </c>
      <c r="AS234" s="14">
        <v>0.9393756535836616</v>
      </c>
      <c r="AT234">
        <v>31.696999999999999</v>
      </c>
      <c r="AU234" s="14">
        <v>0.93603638189174021</v>
      </c>
      <c r="AV234">
        <v>54</v>
      </c>
      <c r="AX234">
        <v>232</v>
      </c>
      <c r="AY234">
        <v>116.651619</v>
      </c>
      <c r="AZ234" s="14">
        <v>0.94361093302201804</v>
      </c>
      <c r="BA234">
        <v>32.32</v>
      </c>
      <c r="BB234" s="14">
        <v>0.94161519636406021</v>
      </c>
      <c r="BC234">
        <v>54</v>
      </c>
    </row>
    <row r="235" spans="15:55" x14ac:dyDescent="0.35">
      <c r="O235">
        <v>233</v>
      </c>
      <c r="P235">
        <v>116.523166</v>
      </c>
      <c r="Q235" s="14">
        <v>0.94981498062880854</v>
      </c>
      <c r="R235">
        <v>32.21</v>
      </c>
      <c r="S235" s="14">
        <v>0.94919549714151008</v>
      </c>
      <c r="T235">
        <v>54</v>
      </c>
      <c r="V235">
        <v>233</v>
      </c>
      <c r="W235">
        <v>116.77002299999999</v>
      </c>
      <c r="X235" s="14">
        <v>0.95266988149652176</v>
      </c>
      <c r="Y235">
        <v>32.232999999999997</v>
      </c>
      <c r="Z235" s="14">
        <v>0.95144341460534854</v>
      </c>
      <c r="AA235">
        <v>54</v>
      </c>
      <c r="AC235">
        <v>233</v>
      </c>
      <c r="AD235">
        <v>116.060669</v>
      </c>
      <c r="AE235" s="14">
        <v>0.95589120399930849</v>
      </c>
      <c r="AF235">
        <v>32.033999999999999</v>
      </c>
      <c r="AG235" s="14">
        <v>0.95359152204328268</v>
      </c>
      <c r="AH235">
        <v>54</v>
      </c>
      <c r="AJ235">
        <v>233</v>
      </c>
      <c r="AK235">
        <v>115.66322</v>
      </c>
      <c r="AL235" s="14">
        <v>0.93981206752053759</v>
      </c>
      <c r="AM235">
        <v>31.99</v>
      </c>
      <c r="AN235" s="14">
        <v>0.93576317790908559</v>
      </c>
      <c r="AO235">
        <v>54</v>
      </c>
      <c r="AQ235">
        <v>233</v>
      </c>
      <c r="AR235">
        <v>114.421525</v>
      </c>
      <c r="AS235" s="14">
        <v>0.93911454841897468</v>
      </c>
      <c r="AT235">
        <v>31.687999999999999</v>
      </c>
      <c r="AU235" s="14">
        <v>0.93577060508519616</v>
      </c>
      <c r="AV235">
        <v>54</v>
      </c>
      <c r="AX235">
        <v>233</v>
      </c>
      <c r="AY235">
        <v>116.612692</v>
      </c>
      <c r="AZ235" s="14">
        <v>0.94329604718413052</v>
      </c>
      <c r="BA235">
        <v>32.308</v>
      </c>
      <c r="BB235" s="14">
        <v>0.94126558676144978</v>
      </c>
      <c r="BC235">
        <v>54</v>
      </c>
    </row>
    <row r="236" spans="15:55" x14ac:dyDescent="0.35">
      <c r="O236">
        <v>234</v>
      </c>
      <c r="P236">
        <v>116.472792</v>
      </c>
      <c r="Q236" s="14">
        <v>0.9494043671733331</v>
      </c>
      <c r="R236">
        <v>32.197000000000003</v>
      </c>
      <c r="S236" s="14">
        <v>0.94881240054222915</v>
      </c>
      <c r="T236">
        <v>54</v>
      </c>
      <c r="V236">
        <v>234</v>
      </c>
      <c r="W236">
        <v>116.73155199999999</v>
      </c>
      <c r="X236" s="14">
        <v>0.95235601529979208</v>
      </c>
      <c r="Y236">
        <v>32.222000000000001</v>
      </c>
      <c r="Z236" s="14">
        <v>0.95111872011334797</v>
      </c>
      <c r="AA236">
        <v>54</v>
      </c>
      <c r="AC236">
        <v>234</v>
      </c>
      <c r="AD236">
        <v>116.024091</v>
      </c>
      <c r="AE236" s="14">
        <v>0.95558994269553388</v>
      </c>
      <c r="AF236">
        <v>32.024000000000001</v>
      </c>
      <c r="AG236" s="14">
        <v>0.95329384097877523</v>
      </c>
      <c r="AH236">
        <v>54</v>
      </c>
      <c r="AJ236">
        <v>234</v>
      </c>
      <c r="AK236">
        <v>115.629329</v>
      </c>
      <c r="AL236" s="14">
        <v>0.93953668896216502</v>
      </c>
      <c r="AM236">
        <v>31.98</v>
      </c>
      <c r="AN236" s="14">
        <v>0.93547066050430006</v>
      </c>
      <c r="AO236">
        <v>54</v>
      </c>
      <c r="AQ236">
        <v>234</v>
      </c>
      <c r="AR236">
        <v>114.40329</v>
      </c>
      <c r="AS236" s="14">
        <v>0.93896488467528283</v>
      </c>
      <c r="AT236">
        <v>31.681999999999999</v>
      </c>
      <c r="AU236" s="14">
        <v>0.93559342054750017</v>
      </c>
      <c r="AV236">
        <v>54</v>
      </c>
      <c r="AX236">
        <v>234</v>
      </c>
      <c r="AY236">
        <v>116.56151199999999</v>
      </c>
      <c r="AZ236" s="14">
        <v>0.94288204514998752</v>
      </c>
      <c r="BA236">
        <v>32.295000000000002</v>
      </c>
      <c r="BB236" s="14">
        <v>0.94088684302528858</v>
      </c>
      <c r="BC236">
        <v>54</v>
      </c>
    </row>
    <row r="237" spans="15:55" x14ac:dyDescent="0.35">
      <c r="O237">
        <v>235</v>
      </c>
      <c r="P237">
        <v>116.426863</v>
      </c>
      <c r="Q237" s="14">
        <v>0.9490299862348226</v>
      </c>
      <c r="R237">
        <v>32.185000000000002</v>
      </c>
      <c r="S237" s="14">
        <v>0.94845877291212366</v>
      </c>
      <c r="T237">
        <v>54</v>
      </c>
      <c r="V237">
        <v>235</v>
      </c>
      <c r="W237">
        <v>116.688096</v>
      </c>
      <c r="X237" s="14">
        <v>0.95200147891017173</v>
      </c>
      <c r="Y237">
        <v>32.212000000000003</v>
      </c>
      <c r="Z237" s="14">
        <v>0.95082354330243823</v>
      </c>
      <c r="AA237">
        <v>54</v>
      </c>
      <c r="AC237">
        <v>235</v>
      </c>
      <c r="AD237">
        <v>115.978433</v>
      </c>
      <c r="AE237" s="14">
        <v>0.95521389729644868</v>
      </c>
      <c r="AF237">
        <v>32.012</v>
      </c>
      <c r="AG237" s="14">
        <v>0.95293662370136623</v>
      </c>
      <c r="AH237">
        <v>54</v>
      </c>
      <c r="AJ237">
        <v>235</v>
      </c>
      <c r="AK237">
        <v>115.610043</v>
      </c>
      <c r="AL237" s="14">
        <v>0.93937998214098029</v>
      </c>
      <c r="AM237">
        <v>31.974</v>
      </c>
      <c r="AN237" s="14">
        <v>0.93529515006142872</v>
      </c>
      <c r="AO237">
        <v>54</v>
      </c>
      <c r="AQ237">
        <v>235</v>
      </c>
      <c r="AR237">
        <v>114.386633</v>
      </c>
      <c r="AS237" s="14">
        <v>0.93882817236496352</v>
      </c>
      <c r="AT237">
        <v>31.673999999999999</v>
      </c>
      <c r="AU237" s="14">
        <v>0.93535717449723887</v>
      </c>
      <c r="AV237">
        <v>54</v>
      </c>
      <c r="AX237">
        <v>235</v>
      </c>
      <c r="AY237">
        <v>116.530923</v>
      </c>
      <c r="AZ237" s="14">
        <v>0.94263460653681064</v>
      </c>
      <c r="BA237">
        <v>32.286999999999999</v>
      </c>
      <c r="BB237" s="14">
        <v>0.94065376995688155</v>
      </c>
      <c r="BC237">
        <v>54</v>
      </c>
    </row>
    <row r="238" spans="15:55" x14ac:dyDescent="0.35">
      <c r="O238">
        <v>236</v>
      </c>
      <c r="P238">
        <v>116.402207</v>
      </c>
      <c r="Q238" s="14">
        <v>0.94882900784600688</v>
      </c>
      <c r="R238">
        <v>32.177</v>
      </c>
      <c r="S238" s="14">
        <v>0.94822302115871993</v>
      </c>
      <c r="T238">
        <v>54</v>
      </c>
      <c r="V238">
        <v>236</v>
      </c>
      <c r="W238">
        <v>116.662537</v>
      </c>
      <c r="X238" s="14">
        <v>0.95179295544776588</v>
      </c>
      <c r="Y238">
        <v>32.204000000000001</v>
      </c>
      <c r="Z238" s="14">
        <v>0.95058740185371038</v>
      </c>
      <c r="AA238">
        <v>54</v>
      </c>
      <c r="AC238">
        <v>236</v>
      </c>
      <c r="AD238">
        <v>115.94841700000001</v>
      </c>
      <c r="AE238" s="14">
        <v>0.95496668150296371</v>
      </c>
      <c r="AF238">
        <v>32.005000000000003</v>
      </c>
      <c r="AG238" s="14">
        <v>0.95272824695621106</v>
      </c>
      <c r="AH238">
        <v>54</v>
      </c>
      <c r="AJ238">
        <v>236</v>
      </c>
      <c r="AK238">
        <v>115.60983899999999</v>
      </c>
      <c r="AL238" s="14">
        <v>0.93937832455560621</v>
      </c>
      <c r="AM238">
        <v>31.969000000000001</v>
      </c>
      <c r="AN238" s="14">
        <v>0.93514889135903589</v>
      </c>
      <c r="AO238">
        <v>54</v>
      </c>
      <c r="AQ238">
        <v>236</v>
      </c>
      <c r="AR238">
        <v>114.34720799999999</v>
      </c>
      <c r="AS238" s="14">
        <v>0.93850459171812783</v>
      </c>
      <c r="AT238">
        <v>31.666</v>
      </c>
      <c r="AU238" s="14">
        <v>0.93512092844697758</v>
      </c>
      <c r="AV238">
        <v>54</v>
      </c>
      <c r="AX238">
        <v>236</v>
      </c>
      <c r="AY238">
        <v>116.52241600000001</v>
      </c>
      <c r="AZ238" s="14">
        <v>0.94256579224793902</v>
      </c>
      <c r="BA238">
        <v>32.283000000000001</v>
      </c>
      <c r="BB238" s="14">
        <v>0.94053723342267814</v>
      </c>
      <c r="BC238">
        <v>54</v>
      </c>
    </row>
    <row r="239" spans="15:55" x14ac:dyDescent="0.35">
      <c r="O239">
        <v>237</v>
      </c>
      <c r="P239">
        <v>116.393202</v>
      </c>
      <c r="Q239" s="14">
        <v>0.94875560541287562</v>
      </c>
      <c r="R239">
        <v>32.173999999999999</v>
      </c>
      <c r="S239" s="14">
        <v>0.9481346142511935</v>
      </c>
      <c r="T239">
        <v>54</v>
      </c>
      <c r="V239">
        <v>237</v>
      </c>
      <c r="W239">
        <v>116.662302</v>
      </c>
      <c r="X239" s="14">
        <v>0.95179103819694755</v>
      </c>
      <c r="Y239">
        <v>32.201999999999998</v>
      </c>
      <c r="Z239" s="14">
        <v>0.95052836649152839</v>
      </c>
      <c r="AA239">
        <v>54</v>
      </c>
      <c r="AC239">
        <v>237</v>
      </c>
      <c r="AD239">
        <v>115.95265999999999</v>
      </c>
      <c r="AE239" s="14">
        <v>0.95500162741886707</v>
      </c>
      <c r="AF239">
        <v>32.002000000000002</v>
      </c>
      <c r="AG239" s="14">
        <v>0.95263894263685889</v>
      </c>
      <c r="AH239">
        <v>54</v>
      </c>
      <c r="AJ239">
        <v>237</v>
      </c>
      <c r="AK239">
        <v>115.55997600000001</v>
      </c>
      <c r="AL239" s="14">
        <v>0.93897316681295673</v>
      </c>
      <c r="AM239">
        <v>31.957000000000001</v>
      </c>
      <c r="AN239" s="14">
        <v>0.93479787047329321</v>
      </c>
      <c r="AO239">
        <v>54</v>
      </c>
      <c r="AQ239">
        <v>237</v>
      </c>
      <c r="AR239">
        <v>114.299876</v>
      </c>
      <c r="AS239" s="14">
        <v>0.93811611437694786</v>
      </c>
      <c r="AT239">
        <v>31.651</v>
      </c>
      <c r="AU239" s="14">
        <v>0.93467796710273754</v>
      </c>
      <c r="AV239">
        <v>54</v>
      </c>
      <c r="AX239">
        <v>237</v>
      </c>
      <c r="AY239">
        <v>116.512805</v>
      </c>
      <c r="AZ239" s="14">
        <v>0.94248804755176563</v>
      </c>
      <c r="BA239">
        <v>32.279000000000003</v>
      </c>
      <c r="BB239" s="14">
        <v>0.94042069688847474</v>
      </c>
      <c r="BC239">
        <v>54</v>
      </c>
    </row>
    <row r="240" spans="15:55" x14ac:dyDescent="0.35">
      <c r="O240">
        <v>238</v>
      </c>
      <c r="P240">
        <v>116.364346</v>
      </c>
      <c r="Q240" s="14">
        <v>0.94852039157495915</v>
      </c>
      <c r="R240">
        <v>32.164999999999999</v>
      </c>
      <c r="S240" s="14">
        <v>0.94786939352861443</v>
      </c>
      <c r="T240">
        <v>54</v>
      </c>
      <c r="V240">
        <v>238</v>
      </c>
      <c r="W240">
        <v>116.657111</v>
      </c>
      <c r="X240" s="14">
        <v>0.95174868735014806</v>
      </c>
      <c r="Y240">
        <v>32.198999999999998</v>
      </c>
      <c r="Z240" s="14">
        <v>0.95043981344825545</v>
      </c>
      <c r="AA240">
        <v>54</v>
      </c>
      <c r="AC240">
        <v>238</v>
      </c>
      <c r="AD240">
        <v>115.94758299999999</v>
      </c>
      <c r="AE240" s="14">
        <v>0.95495981256733709</v>
      </c>
      <c r="AF240">
        <v>32</v>
      </c>
      <c r="AG240" s="14">
        <v>0.95257940642395722</v>
      </c>
      <c r="AH240">
        <v>54</v>
      </c>
      <c r="AJ240">
        <v>238</v>
      </c>
      <c r="AK240">
        <v>115.51123</v>
      </c>
      <c r="AL240" s="14">
        <v>0.93857708516277127</v>
      </c>
      <c r="AM240">
        <v>31.943000000000001</v>
      </c>
      <c r="AN240" s="14">
        <v>0.93438834610659338</v>
      </c>
      <c r="AO240">
        <v>54</v>
      </c>
      <c r="AQ240">
        <v>238</v>
      </c>
      <c r="AR240">
        <v>114.261951</v>
      </c>
      <c r="AS240" s="14">
        <v>0.93780484497856509</v>
      </c>
      <c r="AT240">
        <v>31.641999999999999</v>
      </c>
      <c r="AU240" s="14">
        <v>0.93441219029619349</v>
      </c>
      <c r="AV240">
        <v>54</v>
      </c>
      <c r="AX240">
        <v>238</v>
      </c>
      <c r="AY240">
        <v>116.470051</v>
      </c>
      <c r="AZ240" s="14">
        <v>0.94214220458639353</v>
      </c>
      <c r="BA240">
        <v>32.268000000000001</v>
      </c>
      <c r="BB240" s="14">
        <v>0.94010022141941507</v>
      </c>
      <c r="BC240">
        <v>54</v>
      </c>
    </row>
    <row r="241" spans="15:55" x14ac:dyDescent="0.35">
      <c r="O241">
        <v>239</v>
      </c>
      <c r="P241">
        <v>116.33005799999999</v>
      </c>
      <c r="Q241" s="14">
        <v>0.9482408998895393</v>
      </c>
      <c r="R241">
        <v>32.155999999999999</v>
      </c>
      <c r="S241" s="14">
        <v>0.94760417280603526</v>
      </c>
      <c r="T241">
        <v>54</v>
      </c>
      <c r="V241">
        <v>239</v>
      </c>
      <c r="W241">
        <v>116.612188</v>
      </c>
      <c r="X241" s="14">
        <v>0.95138218242031292</v>
      </c>
      <c r="Y241">
        <v>32.186999999999998</v>
      </c>
      <c r="Z241" s="14">
        <v>0.95008560127516373</v>
      </c>
      <c r="AA241">
        <v>54</v>
      </c>
      <c r="AC241">
        <v>239</v>
      </c>
      <c r="AD241">
        <v>115.90591000000001</v>
      </c>
      <c r="AE241" s="14">
        <v>0.95461658816162343</v>
      </c>
      <c r="AF241">
        <v>31.989000000000001</v>
      </c>
      <c r="AG241" s="14">
        <v>0.95225195725299905</v>
      </c>
      <c r="AH241">
        <v>54</v>
      </c>
      <c r="AJ241">
        <v>239</v>
      </c>
      <c r="AK241">
        <v>115.467624</v>
      </c>
      <c r="AL241" s="14">
        <v>0.93822276816367434</v>
      </c>
      <c r="AM241">
        <v>31.934000000000001</v>
      </c>
      <c r="AN241" s="14">
        <v>0.93412508044228637</v>
      </c>
      <c r="AO241">
        <v>54</v>
      </c>
      <c r="AQ241">
        <v>239</v>
      </c>
      <c r="AR241">
        <v>114.233943</v>
      </c>
      <c r="AS241" s="14">
        <v>0.93757496934745355</v>
      </c>
      <c r="AT241">
        <v>31.632999999999999</v>
      </c>
      <c r="AU241" s="14">
        <v>0.93414641348964944</v>
      </c>
      <c r="AV241">
        <v>54</v>
      </c>
      <c r="AX241">
        <v>239</v>
      </c>
      <c r="AY241">
        <v>116.431026</v>
      </c>
      <c r="AZ241" s="14">
        <v>0.94182652601307526</v>
      </c>
      <c r="BA241">
        <v>32.256999999999998</v>
      </c>
      <c r="BB241" s="14">
        <v>0.93977974595035541</v>
      </c>
      <c r="BC241">
        <v>54</v>
      </c>
    </row>
    <row r="242" spans="15:55" x14ac:dyDescent="0.35">
      <c r="O242">
        <v>240</v>
      </c>
      <c r="P242">
        <v>116.297265</v>
      </c>
      <c r="Q242" s="14">
        <v>0.94797359439373974</v>
      </c>
      <c r="R242">
        <v>32.146000000000001</v>
      </c>
      <c r="S242" s="14">
        <v>0.94730948311428076</v>
      </c>
      <c r="T242">
        <v>54</v>
      </c>
      <c r="V242">
        <v>240</v>
      </c>
      <c r="W242">
        <v>116.573083</v>
      </c>
      <c r="X242" s="14">
        <v>0.95106314372563072</v>
      </c>
      <c r="Y242">
        <v>32.177</v>
      </c>
      <c r="Z242" s="14">
        <v>0.9497904244642541</v>
      </c>
      <c r="AA242">
        <v>54</v>
      </c>
      <c r="AC242">
        <v>240</v>
      </c>
      <c r="AD242">
        <v>115.862202</v>
      </c>
      <c r="AE242" s="14">
        <v>0.95425660322353545</v>
      </c>
      <c r="AF242">
        <v>31.978000000000002</v>
      </c>
      <c r="AG242" s="14">
        <v>0.95192450808204088</v>
      </c>
      <c r="AH242">
        <v>54</v>
      </c>
      <c r="AJ242">
        <v>240</v>
      </c>
      <c r="AK242">
        <v>115.43920900000001</v>
      </c>
      <c r="AL242" s="14">
        <v>0.93799188439700598</v>
      </c>
      <c r="AM242">
        <v>31.925000000000001</v>
      </c>
      <c r="AN242" s="14">
        <v>0.93386181477797936</v>
      </c>
      <c r="AO242">
        <v>54</v>
      </c>
      <c r="AQ242">
        <v>240</v>
      </c>
      <c r="AR242">
        <v>114.22545599999999</v>
      </c>
      <c r="AS242" s="14">
        <v>0.93750531230370726</v>
      </c>
      <c r="AT242">
        <v>31.63</v>
      </c>
      <c r="AU242" s="14">
        <v>0.9340578212208015</v>
      </c>
      <c r="AV242">
        <v>54</v>
      </c>
      <c r="AX242">
        <v>240</v>
      </c>
      <c r="AY242">
        <v>116.402163</v>
      </c>
      <c r="AZ242" s="14">
        <v>0.94159304925044407</v>
      </c>
      <c r="BA242">
        <v>32.249000000000002</v>
      </c>
      <c r="BB242" s="14">
        <v>0.9395466728819486</v>
      </c>
      <c r="BC242">
        <v>54</v>
      </c>
    </row>
    <row r="243" spans="15:55" x14ac:dyDescent="0.35">
      <c r="O243">
        <v>241</v>
      </c>
      <c r="P243">
        <v>116.270914</v>
      </c>
      <c r="Q243" s="14">
        <v>0.94775879955582276</v>
      </c>
      <c r="R243">
        <v>32.139000000000003</v>
      </c>
      <c r="S243" s="14">
        <v>0.94710320033005257</v>
      </c>
      <c r="T243">
        <v>54</v>
      </c>
      <c r="V243">
        <v>241</v>
      </c>
      <c r="W243">
        <v>116.545688</v>
      </c>
      <c r="X243" s="14">
        <v>0.9508396412312996</v>
      </c>
      <c r="Y243">
        <v>32.168999999999997</v>
      </c>
      <c r="Z243" s="14">
        <v>0.94955428301552625</v>
      </c>
      <c r="AA243">
        <v>54</v>
      </c>
      <c r="AC243">
        <v>241</v>
      </c>
      <c r="AD243">
        <v>115.829623</v>
      </c>
      <c r="AE243" s="14">
        <v>0.95398827821900622</v>
      </c>
      <c r="AF243">
        <v>31.969000000000001</v>
      </c>
      <c r="AG243" s="14">
        <v>0.95165659512398415</v>
      </c>
      <c r="AH243">
        <v>54</v>
      </c>
      <c r="AJ243">
        <v>241</v>
      </c>
      <c r="AK243">
        <v>115.425724</v>
      </c>
      <c r="AL243" s="14">
        <v>0.93788231312853776</v>
      </c>
      <c r="AM243">
        <v>31.92</v>
      </c>
      <c r="AN243" s="14">
        <v>0.93371555607558654</v>
      </c>
      <c r="AO243">
        <v>54</v>
      </c>
      <c r="AQ243">
        <v>241</v>
      </c>
      <c r="AR243">
        <v>114.193245</v>
      </c>
      <c r="AS243" s="14">
        <v>0.93724094055443097</v>
      </c>
      <c r="AT243">
        <v>31.619</v>
      </c>
      <c r="AU243" s="14">
        <v>0.93373298290169215</v>
      </c>
      <c r="AV243">
        <v>54</v>
      </c>
      <c r="AX243">
        <v>241</v>
      </c>
      <c r="AY243">
        <v>116.383551</v>
      </c>
      <c r="AZ243" s="14">
        <v>0.94144249423169701</v>
      </c>
      <c r="BA243">
        <v>32.243000000000002</v>
      </c>
      <c r="BB243" s="14">
        <v>0.93937186808064344</v>
      </c>
      <c r="BC243">
        <v>54</v>
      </c>
    </row>
    <row r="244" spans="15:55" x14ac:dyDescent="0.35">
      <c r="O244">
        <v>242</v>
      </c>
      <c r="P244">
        <v>116.25884600000001</v>
      </c>
      <c r="Q244" s="14">
        <v>0.9476604296987402</v>
      </c>
      <c r="R244">
        <v>32.134999999999998</v>
      </c>
      <c r="S244" s="14">
        <v>0.9469853244533506</v>
      </c>
      <c r="T244">
        <v>54</v>
      </c>
      <c r="V244">
        <v>242</v>
      </c>
      <c r="W244">
        <v>116.524078</v>
      </c>
      <c r="X244" s="14">
        <v>0.95066333574115569</v>
      </c>
      <c r="Y244">
        <v>32.162999999999997</v>
      </c>
      <c r="Z244" s="14">
        <v>0.94937717692898038</v>
      </c>
      <c r="AA244">
        <v>54</v>
      </c>
      <c r="AC244">
        <v>242</v>
      </c>
      <c r="AD244">
        <v>115.817438</v>
      </c>
      <c r="AE244" s="14">
        <v>0.95388792092810748</v>
      </c>
      <c r="AF244">
        <v>31.965</v>
      </c>
      <c r="AG244" s="14">
        <v>0.95153752269818104</v>
      </c>
      <c r="AH244">
        <v>54</v>
      </c>
      <c r="AJ244">
        <v>242</v>
      </c>
      <c r="AK244">
        <v>115.398445</v>
      </c>
      <c r="AL244" s="14">
        <v>0.93766065983728486</v>
      </c>
      <c r="AM244">
        <v>31.911999999999999</v>
      </c>
      <c r="AN244" s="14">
        <v>0.93348154215175805</v>
      </c>
      <c r="AO244">
        <v>54</v>
      </c>
      <c r="AQ244">
        <v>242</v>
      </c>
      <c r="AR244">
        <v>114.155754</v>
      </c>
      <c r="AS244" s="14">
        <v>0.93693323321060051</v>
      </c>
      <c r="AT244">
        <v>31.609000000000002</v>
      </c>
      <c r="AU244" s="14">
        <v>0.93343767533886546</v>
      </c>
      <c r="AV244">
        <v>54</v>
      </c>
      <c r="AX244">
        <v>242</v>
      </c>
      <c r="AY244">
        <v>116.36232</v>
      </c>
      <c r="AZ244" s="14">
        <v>0.94127075376302005</v>
      </c>
      <c r="BA244">
        <v>32.235999999999997</v>
      </c>
      <c r="BB244" s="14">
        <v>0.93916792914578717</v>
      </c>
      <c r="BC244">
        <v>54</v>
      </c>
    </row>
    <row r="245" spans="15:55" x14ac:dyDescent="0.35">
      <c r="O245">
        <v>243</v>
      </c>
      <c r="P245">
        <v>116.217028</v>
      </c>
      <c r="Q245" s="14">
        <v>0.94731955874386131</v>
      </c>
      <c r="R245">
        <v>32.124000000000002</v>
      </c>
      <c r="S245" s="14">
        <v>0.94666116579242077</v>
      </c>
      <c r="T245">
        <v>54</v>
      </c>
      <c r="V245">
        <v>243</v>
      </c>
      <c r="W245">
        <v>116.509288</v>
      </c>
      <c r="X245" s="14">
        <v>0.9505426713173134</v>
      </c>
      <c r="Y245">
        <v>32.158000000000001</v>
      </c>
      <c r="Z245" s="14">
        <v>0.94922958852352568</v>
      </c>
      <c r="AA245">
        <v>54</v>
      </c>
      <c r="AC245">
        <v>243</v>
      </c>
      <c r="AD245">
        <v>115.800822</v>
      </c>
      <c r="AE245" s="14">
        <v>0.95375106932814258</v>
      </c>
      <c r="AF245">
        <v>31.96</v>
      </c>
      <c r="AG245" s="14">
        <v>0.95138868216592731</v>
      </c>
      <c r="AH245">
        <v>54</v>
      </c>
      <c r="AJ245">
        <v>243</v>
      </c>
      <c r="AK245">
        <v>115.358305</v>
      </c>
      <c r="AL245" s="14">
        <v>0.93733450553870779</v>
      </c>
      <c r="AM245">
        <v>31.9</v>
      </c>
      <c r="AN245" s="14">
        <v>0.93313052126601526</v>
      </c>
      <c r="AO245">
        <v>54</v>
      </c>
      <c r="AQ245">
        <v>243</v>
      </c>
      <c r="AR245">
        <v>114.11768600000001</v>
      </c>
      <c r="AS245" s="14">
        <v>0.93662079013986532</v>
      </c>
      <c r="AT245">
        <v>31.599</v>
      </c>
      <c r="AU245" s="14">
        <v>0.93314236777603876</v>
      </c>
      <c r="AV245">
        <v>54</v>
      </c>
      <c r="AX245">
        <v>243</v>
      </c>
      <c r="AY245">
        <v>116.330659</v>
      </c>
      <c r="AZ245" s="14">
        <v>0.94101464359492704</v>
      </c>
      <c r="BA245">
        <v>32.226999999999997</v>
      </c>
      <c r="BB245" s="14">
        <v>0.93890572194382937</v>
      </c>
      <c r="BC245">
        <v>54</v>
      </c>
    </row>
    <row r="246" spans="15:55" x14ac:dyDescent="0.35">
      <c r="O246">
        <v>244</v>
      </c>
      <c r="P246">
        <v>116.152569</v>
      </c>
      <c r="Q246" s="14">
        <v>0.94679413426443759</v>
      </c>
      <c r="R246">
        <v>32.106999999999999</v>
      </c>
      <c r="S246" s="14">
        <v>0.94616019331643786</v>
      </c>
      <c r="T246">
        <v>54</v>
      </c>
      <c r="V246">
        <v>244</v>
      </c>
      <c r="W246">
        <v>116.479816</v>
      </c>
      <c r="X246" s="14">
        <v>0.95030222358915406</v>
      </c>
      <c r="Y246">
        <v>32.149000000000001</v>
      </c>
      <c r="Z246" s="14">
        <v>0.94896392939370688</v>
      </c>
      <c r="AA246">
        <v>54</v>
      </c>
      <c r="AC246">
        <v>244</v>
      </c>
      <c r="AD246">
        <v>115.771108</v>
      </c>
      <c r="AE246" s="14">
        <v>0.95350634084707864</v>
      </c>
      <c r="AF246">
        <v>31.951000000000001</v>
      </c>
      <c r="AG246" s="14">
        <v>0.95112076920787059</v>
      </c>
      <c r="AH246">
        <v>54</v>
      </c>
      <c r="AJ246">
        <v>244</v>
      </c>
      <c r="AK246">
        <v>115.324612</v>
      </c>
      <c r="AL246" s="14">
        <v>0.93706073581319815</v>
      </c>
      <c r="AM246">
        <v>31.891999999999999</v>
      </c>
      <c r="AN246" s="14">
        <v>0.93289650734218688</v>
      </c>
      <c r="AO246">
        <v>54</v>
      </c>
      <c r="AQ246">
        <v>244</v>
      </c>
      <c r="AR246">
        <v>114.095552</v>
      </c>
      <c r="AS246" s="14">
        <v>0.93643912535769502</v>
      </c>
      <c r="AT246">
        <v>31.591999999999999</v>
      </c>
      <c r="AU246" s="14">
        <v>0.93293565248206001</v>
      </c>
      <c r="AV246">
        <v>54</v>
      </c>
      <c r="AX246">
        <v>244</v>
      </c>
      <c r="AY246">
        <v>116.287105</v>
      </c>
      <c r="AZ246" s="14">
        <v>0.94066232931991611</v>
      </c>
      <c r="BA246">
        <v>32.216000000000001</v>
      </c>
      <c r="BB246" s="14">
        <v>0.93858524647476993</v>
      </c>
      <c r="BC246">
        <v>54</v>
      </c>
    </row>
    <row r="247" spans="15:55" x14ac:dyDescent="0.35">
      <c r="O247">
        <v>245</v>
      </c>
      <c r="P247">
        <v>116.096475</v>
      </c>
      <c r="Q247" s="14">
        <v>0.94633689538780597</v>
      </c>
      <c r="R247">
        <v>32.094000000000001</v>
      </c>
      <c r="S247" s="14">
        <v>0.94577709671715693</v>
      </c>
      <c r="T247">
        <v>54</v>
      </c>
      <c r="V247">
        <v>245</v>
      </c>
      <c r="W247">
        <v>116.43795299999999</v>
      </c>
      <c r="X247" s="14">
        <v>0.94996068371252762</v>
      </c>
      <c r="Y247">
        <v>32.139000000000003</v>
      </c>
      <c r="Z247" s="14">
        <v>0.94866875258279715</v>
      </c>
      <c r="AA247">
        <v>54</v>
      </c>
      <c r="AC247">
        <v>245</v>
      </c>
      <c r="AD247">
        <v>115.73759</v>
      </c>
      <c r="AE247" s="14">
        <v>0.95323028211286909</v>
      </c>
      <c r="AF247">
        <v>31.942</v>
      </c>
      <c r="AG247" s="14">
        <v>0.95085285624981386</v>
      </c>
      <c r="AH247">
        <v>54</v>
      </c>
      <c r="AJ247">
        <v>245</v>
      </c>
      <c r="AK247">
        <v>115.29242499999999</v>
      </c>
      <c r="AL247" s="14">
        <v>0.93679920296794883</v>
      </c>
      <c r="AM247">
        <v>31.882000000000001</v>
      </c>
      <c r="AN247" s="14">
        <v>0.93260398993740135</v>
      </c>
      <c r="AO247">
        <v>54</v>
      </c>
      <c r="AQ247">
        <v>245</v>
      </c>
      <c r="AR247">
        <v>114.079043</v>
      </c>
      <c r="AS247" s="14">
        <v>0.93630362775722309</v>
      </c>
      <c r="AT247">
        <v>31.585000000000001</v>
      </c>
      <c r="AU247" s="14">
        <v>0.93272893718808148</v>
      </c>
      <c r="AV247">
        <v>54</v>
      </c>
      <c r="AX247">
        <v>245</v>
      </c>
      <c r="AY247">
        <v>116.24448700000001</v>
      </c>
      <c r="AZ247" s="14">
        <v>0.94031758647718255</v>
      </c>
      <c r="BA247">
        <v>32.204000000000001</v>
      </c>
      <c r="BB247" s="14">
        <v>0.9382356368721595</v>
      </c>
      <c r="BC247">
        <v>54</v>
      </c>
    </row>
    <row r="248" spans="15:55" x14ac:dyDescent="0.35">
      <c r="O248">
        <v>246</v>
      </c>
      <c r="P248">
        <v>116.061933</v>
      </c>
      <c r="Q248" s="14">
        <v>0.9460553332728453</v>
      </c>
      <c r="R248">
        <v>32.084000000000003</v>
      </c>
      <c r="S248" s="14">
        <v>0.94548240702540243</v>
      </c>
      <c r="T248">
        <v>54</v>
      </c>
      <c r="V248">
        <v>246</v>
      </c>
      <c r="W248">
        <v>116.40748600000001</v>
      </c>
      <c r="X248" s="14">
        <v>0.94971211826281843</v>
      </c>
      <c r="Y248">
        <v>32.130000000000003</v>
      </c>
      <c r="Z248" s="14">
        <v>0.94840309345297835</v>
      </c>
      <c r="AA248">
        <v>54</v>
      </c>
      <c r="AC248">
        <v>246</v>
      </c>
      <c r="AD248">
        <v>115.69802799999999</v>
      </c>
      <c r="AE248" s="14">
        <v>0.95290444418570164</v>
      </c>
      <c r="AF248">
        <v>31.931000000000001</v>
      </c>
      <c r="AG248" s="14">
        <v>0.95052540707885569</v>
      </c>
      <c r="AH248">
        <v>54</v>
      </c>
      <c r="AJ248">
        <v>246</v>
      </c>
      <c r="AK248">
        <v>115.281892</v>
      </c>
      <c r="AL248" s="14">
        <v>0.93671361793489172</v>
      </c>
      <c r="AM248">
        <v>31.878</v>
      </c>
      <c r="AN248" s="14">
        <v>0.93248698297548704</v>
      </c>
      <c r="AO248">
        <v>54</v>
      </c>
      <c r="AQ248">
        <v>246</v>
      </c>
      <c r="AR248">
        <v>114.048134</v>
      </c>
      <c r="AS248" s="14">
        <v>0.93604994217160375</v>
      </c>
      <c r="AT248">
        <v>31.577000000000002</v>
      </c>
      <c r="AU248" s="14">
        <v>0.93249269113782007</v>
      </c>
      <c r="AV248">
        <v>54</v>
      </c>
      <c r="AX248">
        <v>246</v>
      </c>
      <c r="AY248">
        <v>116.223296</v>
      </c>
      <c r="AZ248" s="14">
        <v>0.94014616957398756</v>
      </c>
      <c r="BA248">
        <v>32.198999999999998</v>
      </c>
      <c r="BB248" s="14">
        <v>0.9380899662044051</v>
      </c>
      <c r="BC248">
        <v>54</v>
      </c>
    </row>
    <row r="249" spans="15:55" x14ac:dyDescent="0.35">
      <c r="O249">
        <v>247</v>
      </c>
      <c r="P249">
        <v>116.072417</v>
      </c>
      <c r="Q249" s="14">
        <v>0.94614079147483843</v>
      </c>
      <c r="R249">
        <v>32.085999999999999</v>
      </c>
      <c r="S249" s="14">
        <v>0.94554134496375319</v>
      </c>
      <c r="T249">
        <v>54</v>
      </c>
      <c r="V249">
        <v>247</v>
      </c>
      <c r="W249">
        <v>116.392661</v>
      </c>
      <c r="X249" s="14">
        <v>0.949591168290982</v>
      </c>
      <c r="Y249">
        <v>32.125</v>
      </c>
      <c r="Z249" s="14">
        <v>0.94825550504752343</v>
      </c>
      <c r="AA249">
        <v>54</v>
      </c>
      <c r="AC249">
        <v>247</v>
      </c>
      <c r="AD249">
        <v>115.678822</v>
      </c>
      <c r="AE249" s="14">
        <v>0.95274626099907878</v>
      </c>
      <c r="AF249">
        <v>31.925999999999998</v>
      </c>
      <c r="AG249" s="14">
        <v>0.95037656654660185</v>
      </c>
      <c r="AH249">
        <v>54</v>
      </c>
      <c r="AJ249">
        <v>247</v>
      </c>
      <c r="AK249">
        <v>115.24848900000001</v>
      </c>
      <c r="AL249" s="14">
        <v>0.93644220458074701</v>
      </c>
      <c r="AM249">
        <v>31.867999999999999</v>
      </c>
      <c r="AN249" s="14">
        <v>0.9321944655707014</v>
      </c>
      <c r="AO249">
        <v>54</v>
      </c>
      <c r="AQ249">
        <v>247</v>
      </c>
      <c r="AR249">
        <v>114.00596</v>
      </c>
      <c r="AS249" s="14">
        <v>0.93570379911010348</v>
      </c>
      <c r="AT249">
        <v>31.565000000000001</v>
      </c>
      <c r="AU249" s="14">
        <v>0.93213832206242808</v>
      </c>
      <c r="AV249">
        <v>54</v>
      </c>
      <c r="AX249">
        <v>247</v>
      </c>
      <c r="AY249">
        <v>116.196433</v>
      </c>
      <c r="AZ249" s="14">
        <v>0.9399288710854532</v>
      </c>
      <c r="BA249">
        <v>32.19</v>
      </c>
      <c r="BB249" s="14">
        <v>0.9378277590024473</v>
      </c>
      <c r="BC249">
        <v>54</v>
      </c>
    </row>
    <row r="250" spans="15:55" x14ac:dyDescent="0.35">
      <c r="O250">
        <v>248</v>
      </c>
      <c r="P250">
        <v>116.064575</v>
      </c>
      <c r="Q250" s="14">
        <v>0.94607686900058907</v>
      </c>
      <c r="R250">
        <v>32.081000000000003</v>
      </c>
      <c r="S250" s="14">
        <v>0.945394000117876</v>
      </c>
      <c r="T250">
        <v>54</v>
      </c>
      <c r="V250">
        <v>248</v>
      </c>
      <c r="W250">
        <v>116.352577</v>
      </c>
      <c r="X250" s="14">
        <v>0.9492641424109759</v>
      </c>
      <c r="Y250">
        <v>32.113</v>
      </c>
      <c r="Z250" s="14">
        <v>0.94790129287443181</v>
      </c>
      <c r="AA250">
        <v>54</v>
      </c>
      <c r="AC250">
        <v>248</v>
      </c>
      <c r="AD250">
        <v>115.66603499999999</v>
      </c>
      <c r="AE250" s="14">
        <v>0.95264094555560552</v>
      </c>
      <c r="AF250">
        <v>31.92</v>
      </c>
      <c r="AG250" s="14">
        <v>0.95019795790789741</v>
      </c>
      <c r="AH250">
        <v>54</v>
      </c>
      <c r="AJ250">
        <v>248</v>
      </c>
      <c r="AK250">
        <v>115.207307</v>
      </c>
      <c r="AL250" s="14">
        <v>0.93610758359609314</v>
      </c>
      <c r="AM250">
        <v>31.858000000000001</v>
      </c>
      <c r="AN250" s="14">
        <v>0.93190194816591587</v>
      </c>
      <c r="AO250">
        <v>54</v>
      </c>
      <c r="AQ250">
        <v>248</v>
      </c>
      <c r="AR250">
        <v>113.96175599999999</v>
      </c>
      <c r="AS250" s="14">
        <v>0.9353409948256971</v>
      </c>
      <c r="AT250">
        <v>31.553000000000001</v>
      </c>
      <c r="AU250" s="14">
        <v>0.93178395298703598</v>
      </c>
      <c r="AV250">
        <v>54</v>
      </c>
      <c r="AX250">
        <v>248</v>
      </c>
      <c r="AY250">
        <v>116.146343</v>
      </c>
      <c r="AZ250" s="14">
        <v>0.93952368621069327</v>
      </c>
      <c r="BA250">
        <v>32.177999999999997</v>
      </c>
      <c r="BB250" s="14">
        <v>0.93747814939983687</v>
      </c>
      <c r="BC250">
        <v>54</v>
      </c>
    </row>
    <row r="251" spans="15:55" x14ac:dyDescent="0.35">
      <c r="O251">
        <v>249</v>
      </c>
      <c r="P251">
        <v>116.02404300000001</v>
      </c>
      <c r="Q251" s="14">
        <v>0.94574648061417288</v>
      </c>
      <c r="R251">
        <v>32.070999999999998</v>
      </c>
      <c r="S251" s="14">
        <v>0.94509931042612128</v>
      </c>
      <c r="T251">
        <v>54</v>
      </c>
      <c r="V251">
        <v>249</v>
      </c>
      <c r="W251">
        <v>116.30277599999999</v>
      </c>
      <c r="X251" s="14">
        <v>0.9488578402492609</v>
      </c>
      <c r="Y251">
        <v>32.100999999999999</v>
      </c>
      <c r="Z251" s="14">
        <v>0.94754708070134008</v>
      </c>
      <c r="AA251">
        <v>54</v>
      </c>
      <c r="AC251">
        <v>249</v>
      </c>
      <c r="AD251">
        <v>115.623242</v>
      </c>
      <c r="AE251" s="14">
        <v>0.95228849667998572</v>
      </c>
      <c r="AF251">
        <v>31.91</v>
      </c>
      <c r="AG251" s="14">
        <v>0.94990027684338985</v>
      </c>
      <c r="AH251">
        <v>54</v>
      </c>
      <c r="AJ251">
        <v>249</v>
      </c>
      <c r="AK251">
        <v>115.149607</v>
      </c>
      <c r="AL251" s="14">
        <v>0.93563874694866167</v>
      </c>
      <c r="AM251">
        <v>31.843</v>
      </c>
      <c r="AN251" s="14">
        <v>0.93146317205873752</v>
      </c>
      <c r="AO251">
        <v>54</v>
      </c>
      <c r="AQ251">
        <v>249</v>
      </c>
      <c r="AR251">
        <v>113.925562</v>
      </c>
      <c r="AS251" s="14">
        <v>0.93504393260802898</v>
      </c>
      <c r="AT251">
        <v>31.544</v>
      </c>
      <c r="AU251" s="14">
        <v>0.93151817618049204</v>
      </c>
      <c r="AV251">
        <v>54</v>
      </c>
      <c r="AX251">
        <v>249</v>
      </c>
      <c r="AY251">
        <v>116.081481</v>
      </c>
      <c r="AZ251" s="14">
        <v>0.93899900860345242</v>
      </c>
      <c r="BA251">
        <v>32.161999999999999</v>
      </c>
      <c r="BB251" s="14">
        <v>0.93701200326302303</v>
      </c>
      <c r="BC251">
        <v>54</v>
      </c>
    </row>
    <row r="252" spans="15:55" x14ac:dyDescent="0.35">
      <c r="O252">
        <v>250</v>
      </c>
      <c r="P252">
        <v>116.01387</v>
      </c>
      <c r="Q252" s="14">
        <v>0.94566355746567266</v>
      </c>
      <c r="R252">
        <v>32.067</v>
      </c>
      <c r="S252" s="14">
        <v>0.94498143454941952</v>
      </c>
      <c r="T252">
        <v>54</v>
      </c>
      <c r="V252">
        <v>250</v>
      </c>
      <c r="W252">
        <v>116.24425100000001</v>
      </c>
      <c r="X252" s="14">
        <v>0.94838036321035879</v>
      </c>
      <c r="Y252">
        <v>32.085999999999999</v>
      </c>
      <c r="Z252" s="14">
        <v>0.94710431548497542</v>
      </c>
      <c r="AA252">
        <v>54</v>
      </c>
      <c r="AC252">
        <v>250</v>
      </c>
      <c r="AD252">
        <v>115.554205</v>
      </c>
      <c r="AE252" s="14">
        <v>0.95171989870774321</v>
      </c>
      <c r="AF252">
        <v>31.893999999999998</v>
      </c>
      <c r="AG252" s="14">
        <v>0.94942398714017784</v>
      </c>
      <c r="AH252">
        <v>54</v>
      </c>
      <c r="AJ252">
        <v>250</v>
      </c>
      <c r="AK252">
        <v>115.101698</v>
      </c>
      <c r="AL252" s="14">
        <v>0.93524946627376049</v>
      </c>
      <c r="AM252">
        <v>31.831</v>
      </c>
      <c r="AN252" s="14">
        <v>0.93111215117299473</v>
      </c>
      <c r="AO252">
        <v>54</v>
      </c>
      <c r="AQ252">
        <v>250</v>
      </c>
      <c r="AR252">
        <v>113.907597</v>
      </c>
      <c r="AS252" s="14">
        <v>0.93489648488905863</v>
      </c>
      <c r="AT252">
        <v>31.539000000000001</v>
      </c>
      <c r="AU252" s="14">
        <v>0.93137052239907869</v>
      </c>
      <c r="AV252">
        <v>54</v>
      </c>
      <c r="AX252">
        <v>250</v>
      </c>
      <c r="AY252">
        <v>116.02331700000001</v>
      </c>
      <c r="AZ252" s="14">
        <v>0.93852851203616283</v>
      </c>
      <c r="BA252">
        <v>32.146999999999998</v>
      </c>
      <c r="BB252" s="14">
        <v>0.93657499125975996</v>
      </c>
      <c r="BC252">
        <v>54</v>
      </c>
    </row>
    <row r="253" spans="15:55" x14ac:dyDescent="0.35">
      <c r="O253">
        <v>251</v>
      </c>
      <c r="P253">
        <v>115.983542</v>
      </c>
      <c r="Q253" s="14">
        <v>0.94541634491797621</v>
      </c>
      <c r="R253">
        <v>32.058999999999997</v>
      </c>
      <c r="S253" s="14">
        <v>0.94474568279601578</v>
      </c>
      <c r="T253">
        <v>54</v>
      </c>
      <c r="V253">
        <v>251</v>
      </c>
      <c r="W253">
        <v>116.19461200000001</v>
      </c>
      <c r="X253" s="14">
        <v>0.94797538272793125</v>
      </c>
      <c r="Y253">
        <v>32.073999999999998</v>
      </c>
      <c r="Z253" s="14">
        <v>0.94675010331188381</v>
      </c>
      <c r="AA253">
        <v>54</v>
      </c>
      <c r="AC253">
        <v>251</v>
      </c>
      <c r="AD253">
        <v>115.50077</v>
      </c>
      <c r="AE253" s="14">
        <v>0.95127980089574715</v>
      </c>
      <c r="AF253">
        <v>31.88</v>
      </c>
      <c r="AG253" s="14">
        <v>0.94900723364986739</v>
      </c>
      <c r="AH253">
        <v>54</v>
      </c>
      <c r="AJ253">
        <v>251</v>
      </c>
      <c r="AK253">
        <v>115.08002999999999</v>
      </c>
      <c r="AL253" s="14">
        <v>0.93507340470570932</v>
      </c>
      <c r="AM253">
        <v>31.823</v>
      </c>
      <c r="AN253" s="14">
        <v>0.93087813724916635</v>
      </c>
      <c r="AO253">
        <v>54</v>
      </c>
      <c r="AQ253">
        <v>251</v>
      </c>
      <c r="AR253">
        <v>113.868697</v>
      </c>
      <c r="AS253" s="14">
        <v>0.93457721317918152</v>
      </c>
      <c r="AT253">
        <v>31.527000000000001</v>
      </c>
      <c r="AU253" s="14">
        <v>0.9310161533236867</v>
      </c>
      <c r="AV253">
        <v>54</v>
      </c>
      <c r="AX253">
        <v>251</v>
      </c>
      <c r="AY253">
        <v>116.020489</v>
      </c>
      <c r="AZ253" s="14">
        <v>0.93850563595658953</v>
      </c>
      <c r="BA253">
        <v>32.145000000000003</v>
      </c>
      <c r="BB253" s="14">
        <v>0.93651672299265831</v>
      </c>
      <c r="BC253">
        <v>54</v>
      </c>
    </row>
    <row r="254" spans="15:55" x14ac:dyDescent="0.35">
      <c r="O254">
        <v>252</v>
      </c>
      <c r="P254">
        <v>115.983711</v>
      </c>
      <c r="Q254" s="14">
        <v>0.94541772248723766</v>
      </c>
      <c r="R254">
        <v>32.055999999999997</v>
      </c>
      <c r="S254" s="14">
        <v>0.94465727588848947</v>
      </c>
      <c r="T254">
        <v>54</v>
      </c>
      <c r="V254">
        <v>252</v>
      </c>
      <c r="W254">
        <v>116.18613000000001</v>
      </c>
      <c r="X254" s="14">
        <v>0.94790618221116119</v>
      </c>
      <c r="Y254">
        <v>32.070999999999998</v>
      </c>
      <c r="Z254" s="14">
        <v>0.94666155026861087</v>
      </c>
      <c r="AA254">
        <v>54</v>
      </c>
      <c r="AC254">
        <v>252</v>
      </c>
      <c r="AD254">
        <v>115.487797</v>
      </c>
      <c r="AE254" s="14">
        <v>0.95117295353137876</v>
      </c>
      <c r="AF254">
        <v>31.876000000000001</v>
      </c>
      <c r="AG254" s="14">
        <v>0.9488881612240645</v>
      </c>
      <c r="AH254">
        <v>54</v>
      </c>
      <c r="AJ254">
        <v>252</v>
      </c>
      <c r="AK254">
        <v>115.04907300000001</v>
      </c>
      <c r="AL254" s="14">
        <v>0.9348218661252149</v>
      </c>
      <c r="AM254">
        <v>31.815000000000001</v>
      </c>
      <c r="AN254" s="14">
        <v>0.93064412332533786</v>
      </c>
      <c r="AO254">
        <v>54</v>
      </c>
      <c r="AQ254">
        <v>252</v>
      </c>
      <c r="AR254">
        <v>113.81165300000001</v>
      </c>
      <c r="AS254" s="14">
        <v>0.93410902460801892</v>
      </c>
      <c r="AT254">
        <v>31.512</v>
      </c>
      <c r="AU254" s="14">
        <v>0.93057319197944666</v>
      </c>
      <c r="AV254">
        <v>54</v>
      </c>
      <c r="AX254">
        <v>252</v>
      </c>
      <c r="AY254">
        <v>116.021507</v>
      </c>
      <c r="AZ254" s="14">
        <v>0.93851387069810488</v>
      </c>
      <c r="BA254">
        <v>32.143000000000001</v>
      </c>
      <c r="BB254" s="14">
        <v>0.93645845472555655</v>
      </c>
      <c r="BC254">
        <v>54</v>
      </c>
    </row>
    <row r="255" spans="15:55" x14ac:dyDescent="0.35">
      <c r="O255">
        <v>253</v>
      </c>
      <c r="P255">
        <v>115.97577699999999</v>
      </c>
      <c r="Q255" s="14">
        <v>0.94535305009362702</v>
      </c>
      <c r="R255">
        <v>32.052999999999997</v>
      </c>
      <c r="S255" s="14">
        <v>0.94456886898096304</v>
      </c>
      <c r="T255">
        <v>54</v>
      </c>
      <c r="V255">
        <v>253</v>
      </c>
      <c r="W255">
        <v>116.19239899999999</v>
      </c>
      <c r="X255" s="14">
        <v>0.94795732793618248</v>
      </c>
      <c r="Y255">
        <v>32.07</v>
      </c>
      <c r="Z255" s="14">
        <v>0.94663203258751993</v>
      </c>
      <c r="AA255">
        <v>54</v>
      </c>
      <c r="AC255">
        <v>253</v>
      </c>
      <c r="AD255">
        <v>115.496821</v>
      </c>
      <c r="AE255" s="14">
        <v>0.95124727640319406</v>
      </c>
      <c r="AF255">
        <v>31.876000000000001</v>
      </c>
      <c r="AG255" s="14">
        <v>0.9488881612240645</v>
      </c>
      <c r="AH255">
        <v>54</v>
      </c>
      <c r="AJ255">
        <v>253</v>
      </c>
      <c r="AK255">
        <v>114.993594</v>
      </c>
      <c r="AL255" s="14">
        <v>0.9343710760322711</v>
      </c>
      <c r="AM255">
        <v>31.8</v>
      </c>
      <c r="AN255" s="14">
        <v>0.93020534721815951</v>
      </c>
      <c r="AO255">
        <v>54</v>
      </c>
      <c r="AQ255">
        <v>253</v>
      </c>
      <c r="AR255">
        <v>113.754869</v>
      </c>
      <c r="AS255" s="14">
        <v>0.93364296998658791</v>
      </c>
      <c r="AT255">
        <v>31.498000000000001</v>
      </c>
      <c r="AU255" s="14">
        <v>0.93015976139148926</v>
      </c>
      <c r="AV255">
        <v>54</v>
      </c>
      <c r="AX255">
        <v>253</v>
      </c>
      <c r="AY255">
        <v>116.002488</v>
      </c>
      <c r="AZ255" s="14">
        <v>0.93836002340057922</v>
      </c>
      <c r="BA255">
        <v>32.136000000000003</v>
      </c>
      <c r="BB255" s="14">
        <v>0.93625451579070051</v>
      </c>
      <c r="BC255">
        <v>54</v>
      </c>
    </row>
    <row r="256" spans="15:55" x14ac:dyDescent="0.35">
      <c r="O256">
        <v>254</v>
      </c>
      <c r="P256">
        <v>115.914531</v>
      </c>
      <c r="Q256" s="14">
        <v>0.94485381573276528</v>
      </c>
      <c r="R256">
        <v>32.037999999999997</v>
      </c>
      <c r="S256" s="14">
        <v>0.94412683444333112</v>
      </c>
      <c r="T256">
        <v>54</v>
      </c>
      <c r="V256">
        <v>254</v>
      </c>
      <c r="W256">
        <v>116.173292</v>
      </c>
      <c r="X256" s="14">
        <v>0.9478014432068822</v>
      </c>
      <c r="Y256">
        <v>32.064</v>
      </c>
      <c r="Z256" s="14">
        <v>0.94645492650097407</v>
      </c>
      <c r="AA256">
        <v>54</v>
      </c>
      <c r="AC256">
        <v>254</v>
      </c>
      <c r="AD256">
        <v>115.48533</v>
      </c>
      <c r="AE256" s="14">
        <v>0.95115263498918368</v>
      </c>
      <c r="AF256">
        <v>31.87</v>
      </c>
      <c r="AG256" s="14">
        <v>0.94870955258535994</v>
      </c>
      <c r="AH256">
        <v>54</v>
      </c>
      <c r="AJ256">
        <v>254</v>
      </c>
      <c r="AK256">
        <v>114.929737</v>
      </c>
      <c r="AL256" s="14">
        <v>0.93385221118313699</v>
      </c>
      <c r="AM256">
        <v>31.783999999999999</v>
      </c>
      <c r="AN256" s="14">
        <v>0.92973731937050252</v>
      </c>
      <c r="AO256">
        <v>54</v>
      </c>
      <c r="AQ256">
        <v>254</v>
      </c>
      <c r="AR256">
        <v>113.705359</v>
      </c>
      <c r="AS256" s="14">
        <v>0.93323661671265434</v>
      </c>
      <c r="AT256">
        <v>31.486000000000001</v>
      </c>
      <c r="AU256" s="14">
        <v>0.92980539231609727</v>
      </c>
      <c r="AV256">
        <v>54</v>
      </c>
      <c r="AX256">
        <v>254</v>
      </c>
      <c r="AY256">
        <v>115.968143</v>
      </c>
      <c r="AZ256" s="14">
        <v>0.938082201988648</v>
      </c>
      <c r="BA256">
        <v>32.127000000000002</v>
      </c>
      <c r="BB256" s="14">
        <v>0.93599230858874272</v>
      </c>
      <c r="BC256">
        <v>54</v>
      </c>
    </row>
    <row r="257" spans="15:55" x14ac:dyDescent="0.35">
      <c r="O257">
        <v>255</v>
      </c>
      <c r="P257">
        <v>115.866788</v>
      </c>
      <c r="Q257" s="14">
        <v>0.94446464834076227</v>
      </c>
      <c r="R257">
        <v>32.024999999999999</v>
      </c>
      <c r="S257" s="14">
        <v>0.94374373784405019</v>
      </c>
      <c r="T257">
        <v>54</v>
      </c>
      <c r="V257">
        <v>255</v>
      </c>
      <c r="W257">
        <v>116.13817899999999</v>
      </c>
      <c r="X257" s="14">
        <v>0.94751497330056911</v>
      </c>
      <c r="Y257">
        <v>32.055</v>
      </c>
      <c r="Z257" s="14">
        <v>0.94618926737115527</v>
      </c>
      <c r="AA257">
        <v>54</v>
      </c>
      <c r="AC257">
        <v>255</v>
      </c>
      <c r="AD257">
        <v>115.44174599999999</v>
      </c>
      <c r="AE257" s="14">
        <v>0.95079367133169246</v>
      </c>
      <c r="AF257">
        <v>31.861000000000001</v>
      </c>
      <c r="AG257" s="14">
        <v>0.94844163962730321</v>
      </c>
      <c r="AH257">
        <v>54</v>
      </c>
      <c r="AJ257">
        <v>255</v>
      </c>
      <c r="AK257">
        <v>114.87502600000001</v>
      </c>
      <c r="AL257" s="14">
        <v>0.93340766141160103</v>
      </c>
      <c r="AM257">
        <v>31.771000000000001</v>
      </c>
      <c r="AN257" s="14">
        <v>0.92935704674428132</v>
      </c>
      <c r="AO257">
        <v>54</v>
      </c>
      <c r="AQ257">
        <v>255</v>
      </c>
      <c r="AR257">
        <v>113.718486</v>
      </c>
      <c r="AS257" s="14">
        <v>0.93334435655161463</v>
      </c>
      <c r="AT257">
        <v>31.486000000000001</v>
      </c>
      <c r="AU257" s="14">
        <v>0.92980539231609727</v>
      </c>
      <c r="AV257">
        <v>54</v>
      </c>
      <c r="AX257">
        <v>255</v>
      </c>
      <c r="AY257">
        <v>115.950433</v>
      </c>
      <c r="AZ257" s="14">
        <v>0.93793894337151884</v>
      </c>
      <c r="BA257">
        <v>32.121000000000002</v>
      </c>
      <c r="BB257" s="14">
        <v>0.93581750378743744</v>
      </c>
      <c r="BC257">
        <v>54</v>
      </c>
    </row>
    <row r="258" spans="15:55" x14ac:dyDescent="0.35">
      <c r="O258">
        <v>256</v>
      </c>
      <c r="P258">
        <v>115.856404</v>
      </c>
      <c r="Q258" s="14">
        <v>0.94438000526850951</v>
      </c>
      <c r="R258">
        <v>32.023000000000003</v>
      </c>
      <c r="S258" s="14">
        <v>0.94368479990569942</v>
      </c>
      <c r="T258">
        <v>54</v>
      </c>
      <c r="V258">
        <v>256</v>
      </c>
      <c r="W258">
        <v>116.126535</v>
      </c>
      <c r="X258" s="14">
        <v>0.94741997556215007</v>
      </c>
      <c r="Y258">
        <v>32.049999999999997</v>
      </c>
      <c r="Z258" s="14">
        <v>0.94604167896570035</v>
      </c>
      <c r="AA258">
        <v>54</v>
      </c>
      <c r="AC258">
        <v>256</v>
      </c>
      <c r="AD258">
        <v>115.430438</v>
      </c>
      <c r="AE258" s="14">
        <v>0.95070053713017566</v>
      </c>
      <c r="AF258">
        <v>31.856000000000002</v>
      </c>
      <c r="AG258" s="14">
        <v>0.94829279909504949</v>
      </c>
      <c r="AH258">
        <v>54</v>
      </c>
      <c r="AJ258">
        <v>256</v>
      </c>
      <c r="AK258">
        <v>114.863832</v>
      </c>
      <c r="AL258" s="14">
        <v>0.93331670547691559</v>
      </c>
      <c r="AM258">
        <v>31.768000000000001</v>
      </c>
      <c r="AN258" s="14">
        <v>0.92926929152284565</v>
      </c>
      <c r="AO258">
        <v>54</v>
      </c>
      <c r="AQ258">
        <v>256</v>
      </c>
      <c r="AR258">
        <v>113.72763</v>
      </c>
      <c r="AS258" s="14">
        <v>0.9334194059221832</v>
      </c>
      <c r="AT258">
        <v>31.484999999999999</v>
      </c>
      <c r="AU258" s="14">
        <v>0.92977586155981451</v>
      </c>
      <c r="AV258">
        <v>54</v>
      </c>
      <c r="AX258">
        <v>256</v>
      </c>
      <c r="AY258">
        <v>115.928636</v>
      </c>
      <c r="AZ258" s="14">
        <v>0.93776262445127234</v>
      </c>
      <c r="BA258">
        <v>32.115000000000002</v>
      </c>
      <c r="BB258" s="14">
        <v>0.93564269898613228</v>
      </c>
      <c r="BC258">
        <v>54</v>
      </c>
    </row>
    <row r="259" spans="15:55" x14ac:dyDescent="0.35">
      <c r="O259">
        <v>257</v>
      </c>
      <c r="P259">
        <v>115.859906</v>
      </c>
      <c r="Q259" s="14">
        <v>0.9444085511120216</v>
      </c>
      <c r="R259">
        <v>32.021000000000001</v>
      </c>
      <c r="S259" s="14">
        <v>0.94362586196734843</v>
      </c>
      <c r="T259">
        <v>54</v>
      </c>
      <c r="V259">
        <v>257</v>
      </c>
      <c r="W259">
        <v>116.097634</v>
      </c>
      <c r="X259" s="14">
        <v>0.94718418634555346</v>
      </c>
      <c r="Y259">
        <v>32.042999999999999</v>
      </c>
      <c r="Z259" s="14">
        <v>0.94583505519806366</v>
      </c>
      <c r="AA259">
        <v>54</v>
      </c>
      <c r="AC259">
        <v>257</v>
      </c>
      <c r="AD259">
        <v>115.39942499999999</v>
      </c>
      <c r="AE259" s="14">
        <v>0.95044510991124731</v>
      </c>
      <c r="AF259">
        <v>31.847000000000001</v>
      </c>
      <c r="AG259" s="14">
        <v>0.94802488613699276</v>
      </c>
      <c r="AH259">
        <v>54</v>
      </c>
      <c r="AJ259">
        <v>257</v>
      </c>
      <c r="AK259">
        <v>114.891113</v>
      </c>
      <c r="AL259" s="14">
        <v>0.93353837501900538</v>
      </c>
      <c r="AM259">
        <v>31.771000000000001</v>
      </c>
      <c r="AN259" s="14">
        <v>0.92935704674428132</v>
      </c>
      <c r="AO259">
        <v>54</v>
      </c>
      <c r="AQ259">
        <v>257</v>
      </c>
      <c r="AR259">
        <v>113.69785299999999</v>
      </c>
      <c r="AS259" s="14">
        <v>0.93317501122539626</v>
      </c>
      <c r="AT259">
        <v>31.477</v>
      </c>
      <c r="AU259" s="14">
        <v>0.92953961550955322</v>
      </c>
      <c r="AV259">
        <v>54</v>
      </c>
      <c r="AX259">
        <v>257</v>
      </c>
      <c r="AY259">
        <v>115.915734</v>
      </c>
      <c r="AZ259" s="14">
        <v>0.93765825840507244</v>
      </c>
      <c r="BA259">
        <v>32.11</v>
      </c>
      <c r="BB259" s="14">
        <v>0.93549702831837789</v>
      </c>
      <c r="BC259">
        <v>54</v>
      </c>
    </row>
    <row r="260" spans="15:55" x14ac:dyDescent="0.35">
      <c r="O260">
        <v>258</v>
      </c>
      <c r="P260">
        <v>115.864017</v>
      </c>
      <c r="Q260" s="14">
        <v>0.94444206109565332</v>
      </c>
      <c r="R260">
        <v>32.020000000000003</v>
      </c>
      <c r="S260" s="14">
        <v>0.94359639299817311</v>
      </c>
      <c r="T260">
        <v>54</v>
      </c>
      <c r="V260">
        <v>258</v>
      </c>
      <c r="W260">
        <v>116.094033</v>
      </c>
      <c r="X260" s="14">
        <v>0.94715480753620551</v>
      </c>
      <c r="Y260">
        <v>32.039000000000001</v>
      </c>
      <c r="Z260" s="14">
        <v>0.94571698447369978</v>
      </c>
      <c r="AA260">
        <v>54</v>
      </c>
      <c r="AC260">
        <v>258</v>
      </c>
      <c r="AD260">
        <v>115.399642</v>
      </c>
      <c r="AE260" s="14">
        <v>0.95044689715229169</v>
      </c>
      <c r="AF260">
        <v>31.844999999999999</v>
      </c>
      <c r="AG260" s="14">
        <v>0.94796534992409121</v>
      </c>
      <c r="AH260">
        <v>54</v>
      </c>
      <c r="AJ260">
        <v>258</v>
      </c>
      <c r="AK260">
        <v>114.86751099999999</v>
      </c>
      <c r="AL260" s="14">
        <v>0.9333465988915759</v>
      </c>
      <c r="AM260">
        <v>31.762</v>
      </c>
      <c r="AN260" s="14">
        <v>0.92909378107997431</v>
      </c>
      <c r="AO260">
        <v>54</v>
      </c>
      <c r="AQ260">
        <v>258</v>
      </c>
      <c r="AR260">
        <v>113.664839</v>
      </c>
      <c r="AS260" s="14">
        <v>0.93290404885444811</v>
      </c>
      <c r="AT260">
        <v>31.466999999999999</v>
      </c>
      <c r="AU260" s="14">
        <v>0.92924430794672652</v>
      </c>
      <c r="AV260">
        <v>54</v>
      </c>
      <c r="AX260">
        <v>258</v>
      </c>
      <c r="AY260">
        <v>115.890202</v>
      </c>
      <c r="AZ260" s="14">
        <v>0.93745172655794984</v>
      </c>
      <c r="BA260">
        <v>32.101999999999997</v>
      </c>
      <c r="BB260" s="14">
        <v>0.93526395524997086</v>
      </c>
      <c r="BC260">
        <v>54</v>
      </c>
    </row>
    <row r="261" spans="15:55" x14ac:dyDescent="0.35">
      <c r="O261">
        <v>259</v>
      </c>
      <c r="P261">
        <v>115.84166</v>
      </c>
      <c r="Q261" s="14">
        <v>0.94425982253957153</v>
      </c>
      <c r="R261">
        <v>32.012999999999998</v>
      </c>
      <c r="S261" s="14">
        <v>0.9433901102139447</v>
      </c>
      <c r="T261">
        <v>54</v>
      </c>
      <c r="V261">
        <v>259</v>
      </c>
      <c r="W261">
        <v>116.080151</v>
      </c>
      <c r="X261" s="14">
        <v>0.94704155104318477</v>
      </c>
      <c r="Y261">
        <v>32.033999999999999</v>
      </c>
      <c r="Z261" s="14">
        <v>0.94556939606824486</v>
      </c>
      <c r="AA261">
        <v>54</v>
      </c>
      <c r="AC261">
        <v>259</v>
      </c>
      <c r="AD261">
        <v>115.390523</v>
      </c>
      <c r="AE261" s="14">
        <v>0.9503717918477611</v>
      </c>
      <c r="AF261">
        <v>31.841000000000001</v>
      </c>
      <c r="AG261" s="14">
        <v>0.94784627749828831</v>
      </c>
      <c r="AH261">
        <v>54</v>
      </c>
      <c r="AJ261">
        <v>259</v>
      </c>
      <c r="AK261">
        <v>114.824952</v>
      </c>
      <c r="AL261" s="14">
        <v>0.933000789205648</v>
      </c>
      <c r="AM261">
        <v>31.751000000000001</v>
      </c>
      <c r="AN261" s="14">
        <v>0.92877201193471015</v>
      </c>
      <c r="AO261">
        <v>54</v>
      </c>
      <c r="AQ261">
        <v>259</v>
      </c>
      <c r="AR261">
        <v>113.638532</v>
      </c>
      <c r="AS261" s="14">
        <v>0.93268813417908214</v>
      </c>
      <c r="AT261">
        <v>31.459</v>
      </c>
      <c r="AU261" s="14">
        <v>0.92900806189646512</v>
      </c>
      <c r="AV261">
        <v>54</v>
      </c>
      <c r="AX261">
        <v>259</v>
      </c>
      <c r="AY261">
        <v>115.83044700000001</v>
      </c>
      <c r="AZ261" s="14">
        <v>0.93696836017361596</v>
      </c>
      <c r="BA261">
        <v>32.087000000000003</v>
      </c>
      <c r="BB261" s="14">
        <v>0.93482694324670801</v>
      </c>
      <c r="BC261">
        <v>54</v>
      </c>
    </row>
    <row r="262" spans="15:55" x14ac:dyDescent="0.35">
      <c r="O262">
        <v>260</v>
      </c>
      <c r="P262">
        <v>115.797933</v>
      </c>
      <c r="Q262" s="14">
        <v>0.94390339075794649</v>
      </c>
      <c r="R262">
        <v>32.000999999999998</v>
      </c>
      <c r="S262" s="14">
        <v>0.94303648258383921</v>
      </c>
      <c r="T262">
        <v>54</v>
      </c>
      <c r="V262">
        <v>260</v>
      </c>
      <c r="W262">
        <v>116.026619</v>
      </c>
      <c r="X262" s="14">
        <v>0.94660480946528613</v>
      </c>
      <c r="Y262">
        <v>32.021999999999998</v>
      </c>
      <c r="Z262" s="14">
        <v>0.94521518389515313</v>
      </c>
      <c r="AA262">
        <v>54</v>
      </c>
      <c r="AC262">
        <v>260</v>
      </c>
      <c r="AD262">
        <v>115.327324</v>
      </c>
      <c r="AE262" s="14">
        <v>0.94985127642490452</v>
      </c>
      <c r="AF262">
        <v>31.827000000000002</v>
      </c>
      <c r="AG262" s="14">
        <v>0.94742952400797775</v>
      </c>
      <c r="AH262">
        <v>54</v>
      </c>
      <c r="AJ262">
        <v>260</v>
      </c>
      <c r="AK262">
        <v>114.806423</v>
      </c>
      <c r="AL262" s="14">
        <v>0.93285023332626749</v>
      </c>
      <c r="AM262">
        <v>31.744</v>
      </c>
      <c r="AN262" s="14">
        <v>0.92856724975136018</v>
      </c>
      <c r="AO262">
        <v>54</v>
      </c>
      <c r="AQ262">
        <v>260</v>
      </c>
      <c r="AR262">
        <v>113.614594</v>
      </c>
      <c r="AS262" s="14">
        <v>0.93249166306877262</v>
      </c>
      <c r="AT262">
        <v>31.452000000000002</v>
      </c>
      <c r="AU262" s="14">
        <v>0.92880134660248659</v>
      </c>
      <c r="AV262">
        <v>54</v>
      </c>
      <c r="AX262">
        <v>260</v>
      </c>
      <c r="AY262">
        <v>115.791641</v>
      </c>
      <c r="AZ262" s="14">
        <v>0.93665445312131124</v>
      </c>
      <c r="BA262">
        <v>32.076000000000001</v>
      </c>
      <c r="BB262" s="14">
        <v>0.93450646777764834</v>
      </c>
      <c r="BC262">
        <v>54</v>
      </c>
    </row>
    <row r="263" spans="15:55" x14ac:dyDescent="0.35">
      <c r="O263">
        <v>261</v>
      </c>
      <c r="P263">
        <v>115.713689</v>
      </c>
      <c r="Q263" s="14">
        <v>0.94321669285936649</v>
      </c>
      <c r="R263">
        <v>31.981000000000002</v>
      </c>
      <c r="S263" s="14">
        <v>0.94244710320033021</v>
      </c>
      <c r="T263">
        <v>54</v>
      </c>
      <c r="V263">
        <v>261</v>
      </c>
      <c r="W263">
        <v>115.978166</v>
      </c>
      <c r="X263" s="14">
        <v>0.94620950498060563</v>
      </c>
      <c r="Y263">
        <v>32.009</v>
      </c>
      <c r="Z263" s="14">
        <v>0.94483145404097058</v>
      </c>
      <c r="AA263">
        <v>54</v>
      </c>
      <c r="AC263">
        <v>261</v>
      </c>
      <c r="AD263">
        <v>115.283198</v>
      </c>
      <c r="AE263" s="14">
        <v>0.94948784878286951</v>
      </c>
      <c r="AF263">
        <v>31.815000000000001</v>
      </c>
      <c r="AG263" s="14">
        <v>0.94707230673056886</v>
      </c>
      <c r="AH263">
        <v>54</v>
      </c>
      <c r="AJ263">
        <v>261</v>
      </c>
      <c r="AK263">
        <v>114.782116</v>
      </c>
      <c r="AL263" s="14">
        <v>0.93265272877879579</v>
      </c>
      <c r="AM263">
        <v>31.738</v>
      </c>
      <c r="AN263" s="14">
        <v>0.92839173930848884</v>
      </c>
      <c r="AO263">
        <v>54</v>
      </c>
      <c r="AQ263">
        <v>261</v>
      </c>
      <c r="AR263">
        <v>113.603813</v>
      </c>
      <c r="AS263" s="14">
        <v>0.93240317802239259</v>
      </c>
      <c r="AT263">
        <v>31.446000000000002</v>
      </c>
      <c r="AU263" s="14">
        <v>0.92862416206479048</v>
      </c>
      <c r="AV263">
        <v>54</v>
      </c>
      <c r="AX263">
        <v>261</v>
      </c>
      <c r="AY263">
        <v>115.79319700000001</v>
      </c>
      <c r="AZ263" s="14">
        <v>0.93666703981855881</v>
      </c>
      <c r="BA263">
        <v>32.076000000000001</v>
      </c>
      <c r="BB263" s="14">
        <v>0.93450646777764834</v>
      </c>
      <c r="BC263">
        <v>54</v>
      </c>
    </row>
    <row r="264" spans="15:55" x14ac:dyDescent="0.35">
      <c r="O264">
        <v>262</v>
      </c>
      <c r="P264">
        <v>115.67271100000001</v>
      </c>
      <c r="Q264" s="14">
        <v>0.94288266899430773</v>
      </c>
      <c r="R264">
        <v>31.972000000000001</v>
      </c>
      <c r="S264" s="14">
        <v>0.94218188247775103</v>
      </c>
      <c r="T264">
        <v>54</v>
      </c>
      <c r="V264">
        <v>262</v>
      </c>
      <c r="W264">
        <v>115.97796200000001</v>
      </c>
      <c r="X264" s="14">
        <v>0.9462078406437251</v>
      </c>
      <c r="Y264">
        <v>32.008000000000003</v>
      </c>
      <c r="Z264" s="14">
        <v>0.94480193635987963</v>
      </c>
      <c r="AA264">
        <v>54</v>
      </c>
      <c r="AC264">
        <v>262</v>
      </c>
      <c r="AD264">
        <v>115.267307</v>
      </c>
      <c r="AE264" s="14">
        <v>0.9493569683799421</v>
      </c>
      <c r="AF264">
        <v>31.811</v>
      </c>
      <c r="AG264" s="14">
        <v>0.94695323430476575</v>
      </c>
      <c r="AH264">
        <v>54</v>
      </c>
      <c r="AJ264">
        <v>262</v>
      </c>
      <c r="AK264">
        <v>114.780878</v>
      </c>
      <c r="AL264" s="14">
        <v>0.93264266951069319</v>
      </c>
      <c r="AM264">
        <v>31.731999999999999</v>
      </c>
      <c r="AN264" s="14">
        <v>0.9282162288656175</v>
      </c>
      <c r="AO264">
        <v>54</v>
      </c>
      <c r="AQ264">
        <v>262</v>
      </c>
      <c r="AR264">
        <v>113.56738199999999</v>
      </c>
      <c r="AS264" s="14">
        <v>0.93210417062746875</v>
      </c>
      <c r="AT264">
        <v>31.437000000000001</v>
      </c>
      <c r="AU264" s="14">
        <v>0.92835838525824654</v>
      </c>
      <c r="AV264">
        <v>54</v>
      </c>
      <c r="AX264">
        <v>262</v>
      </c>
      <c r="AY264">
        <v>115.799155</v>
      </c>
      <c r="AZ264" s="14">
        <v>0.93671523489709374</v>
      </c>
      <c r="BA264">
        <v>32.075000000000003</v>
      </c>
      <c r="BB264" s="14">
        <v>0.93447733364409757</v>
      </c>
      <c r="BC264">
        <v>54</v>
      </c>
    </row>
    <row r="265" spans="15:55" x14ac:dyDescent="0.35">
      <c r="O265">
        <v>263</v>
      </c>
      <c r="P265">
        <v>115.64859800000001</v>
      </c>
      <c r="Q265" s="14">
        <v>0.94268611675998293</v>
      </c>
      <c r="R265">
        <v>31.963999999999999</v>
      </c>
      <c r="S265" s="14">
        <v>0.9419461307243473</v>
      </c>
      <c r="T265">
        <v>54</v>
      </c>
      <c r="V265">
        <v>263</v>
      </c>
      <c r="W265">
        <v>115.984871</v>
      </c>
      <c r="X265" s="14">
        <v>0.94626420781778364</v>
      </c>
      <c r="Y265">
        <v>32.008000000000003</v>
      </c>
      <c r="Z265" s="14">
        <v>0.94480193635987963</v>
      </c>
      <c r="AA265">
        <v>54</v>
      </c>
      <c r="AC265">
        <v>263</v>
      </c>
      <c r="AD265">
        <v>115.278294</v>
      </c>
      <c r="AE265" s="14">
        <v>0.9494474587824947</v>
      </c>
      <c r="AF265">
        <v>31.81</v>
      </c>
      <c r="AG265" s="14">
        <v>0.94692346619831502</v>
      </c>
      <c r="AH265">
        <v>54</v>
      </c>
      <c r="AJ265">
        <v>263</v>
      </c>
      <c r="AK265">
        <v>114.74302299999999</v>
      </c>
      <c r="AL265" s="14">
        <v>0.93233508179338775</v>
      </c>
      <c r="AM265">
        <v>31.724</v>
      </c>
      <c r="AN265" s="14">
        <v>0.92798221494178901</v>
      </c>
      <c r="AO265">
        <v>54</v>
      </c>
      <c r="AQ265">
        <v>263</v>
      </c>
      <c r="AR265">
        <v>113.506006</v>
      </c>
      <c r="AS265" s="14">
        <v>0.93160042717077429</v>
      </c>
      <c r="AT265">
        <v>31.422000000000001</v>
      </c>
      <c r="AU265" s="14">
        <v>0.9279154239140065</v>
      </c>
      <c r="AV265">
        <v>54</v>
      </c>
      <c r="AX265">
        <v>263</v>
      </c>
      <c r="AY265">
        <v>115.787046</v>
      </c>
      <c r="AZ265" s="14">
        <v>0.93661728353657336</v>
      </c>
      <c r="BA265">
        <v>32.07</v>
      </c>
      <c r="BB265" s="14">
        <v>0.93433166297634318</v>
      </c>
      <c r="BC265">
        <v>54</v>
      </c>
    </row>
    <row r="266" spans="15:55" x14ac:dyDescent="0.35">
      <c r="O266">
        <v>264</v>
      </c>
      <c r="P266">
        <v>115.594713</v>
      </c>
      <c r="Q266" s="14">
        <v>0.94224688409931878</v>
      </c>
      <c r="R266">
        <v>31.95</v>
      </c>
      <c r="S266" s="14">
        <v>0.94153356515589093</v>
      </c>
      <c r="T266">
        <v>54</v>
      </c>
      <c r="V266">
        <v>264</v>
      </c>
      <c r="W266">
        <v>115.980521</v>
      </c>
      <c r="X266" s="14">
        <v>0.94622871828135946</v>
      </c>
      <c r="Y266">
        <v>32.005000000000003</v>
      </c>
      <c r="Z266" s="14">
        <v>0.9447133833166067</v>
      </c>
      <c r="AA266">
        <v>54</v>
      </c>
      <c r="AC266">
        <v>264</v>
      </c>
      <c r="AD266">
        <v>115.282556</v>
      </c>
      <c r="AE266" s="14">
        <v>0.94948256118494112</v>
      </c>
      <c r="AF266">
        <v>31.809000000000001</v>
      </c>
      <c r="AG266" s="14">
        <v>0.9468936980918643</v>
      </c>
      <c r="AH266">
        <v>54</v>
      </c>
      <c r="AJ266">
        <v>264</v>
      </c>
      <c r="AK266">
        <v>114.663121</v>
      </c>
      <c r="AL266" s="14">
        <v>0.93168584460442638</v>
      </c>
      <c r="AM266">
        <v>31.704999999999998</v>
      </c>
      <c r="AN266" s="14">
        <v>0.92742643187269636</v>
      </c>
      <c r="AO266">
        <v>54</v>
      </c>
      <c r="AQ266">
        <v>264</v>
      </c>
      <c r="AR266">
        <v>113.47099</v>
      </c>
      <c r="AS266" s="14">
        <v>0.93131303338689109</v>
      </c>
      <c r="AT266">
        <v>31.411999999999999</v>
      </c>
      <c r="AU266" s="14">
        <v>0.92762011635117969</v>
      </c>
      <c r="AV266">
        <v>54</v>
      </c>
      <c r="AX266">
        <v>264</v>
      </c>
      <c r="AY266">
        <v>115.754695</v>
      </c>
      <c r="AZ266" s="14">
        <v>0.93635559186391681</v>
      </c>
      <c r="BA266">
        <v>32.061</v>
      </c>
      <c r="BB266" s="14">
        <v>0.93406945577438527</v>
      </c>
      <c r="BC266">
        <v>54</v>
      </c>
    </row>
    <row r="267" spans="15:55" x14ac:dyDescent="0.35">
      <c r="O267">
        <v>265</v>
      </c>
      <c r="P267">
        <v>115.539188</v>
      </c>
      <c r="Q267" s="14">
        <v>0.94179428331091064</v>
      </c>
      <c r="R267">
        <v>31.936</v>
      </c>
      <c r="S267" s="14">
        <v>0.94112099958743445</v>
      </c>
      <c r="T267">
        <v>54</v>
      </c>
      <c r="V267">
        <v>265</v>
      </c>
      <c r="W267">
        <v>115.954171</v>
      </c>
      <c r="X267" s="14">
        <v>0.94601374143428429</v>
      </c>
      <c r="Y267">
        <v>31.995999999999999</v>
      </c>
      <c r="Z267" s="14">
        <v>0.9444477241867878</v>
      </c>
      <c r="AA267">
        <v>54</v>
      </c>
      <c r="AC267">
        <v>265</v>
      </c>
      <c r="AD267">
        <v>115.260311</v>
      </c>
      <c r="AE267" s="14">
        <v>0.94929934838756391</v>
      </c>
      <c r="AF267">
        <v>31.802</v>
      </c>
      <c r="AG267" s="14">
        <v>0.94668532134670902</v>
      </c>
      <c r="AH267">
        <v>54</v>
      </c>
      <c r="AJ267">
        <v>265</v>
      </c>
      <c r="AK267">
        <v>114.62296600000001</v>
      </c>
      <c r="AL267" s="14">
        <v>0.93135956842457179</v>
      </c>
      <c r="AM267">
        <v>31.693999999999999</v>
      </c>
      <c r="AN267" s="14">
        <v>0.9271046627274323</v>
      </c>
      <c r="AO267">
        <v>54</v>
      </c>
      <c r="AQ267">
        <v>265</v>
      </c>
      <c r="AR267">
        <v>113.47980699999999</v>
      </c>
      <c r="AS267" s="14">
        <v>0.93138539890529681</v>
      </c>
      <c r="AT267">
        <v>31.411999999999999</v>
      </c>
      <c r="AU267" s="14">
        <v>0.92762011635117969</v>
      </c>
      <c r="AV267">
        <v>54</v>
      </c>
      <c r="AX267">
        <v>265</v>
      </c>
      <c r="AY267">
        <v>115.70614999999999</v>
      </c>
      <c r="AZ267" s="14">
        <v>0.93596290470589671</v>
      </c>
      <c r="BA267">
        <v>32.048000000000002</v>
      </c>
      <c r="BB267" s="14">
        <v>0.93369071203822407</v>
      </c>
      <c r="BC267">
        <v>54</v>
      </c>
    </row>
    <row r="268" spans="15:55" x14ac:dyDescent="0.35">
      <c r="O268">
        <v>266</v>
      </c>
      <c r="P268">
        <v>115.505647</v>
      </c>
      <c r="Q268" s="14">
        <v>0.94152088064465222</v>
      </c>
      <c r="R268">
        <v>31.928000000000001</v>
      </c>
      <c r="S268" s="14">
        <v>0.94088524783403082</v>
      </c>
      <c r="T268">
        <v>54</v>
      </c>
      <c r="V268">
        <v>266</v>
      </c>
      <c r="W268">
        <v>115.91499399999999</v>
      </c>
      <c r="X268" s="14">
        <v>0.94569411532658543</v>
      </c>
      <c r="Y268">
        <v>31.986999999999998</v>
      </c>
      <c r="Z268" s="14">
        <v>0.94418206505696911</v>
      </c>
      <c r="AA268">
        <v>54</v>
      </c>
      <c r="AC268">
        <v>266</v>
      </c>
      <c r="AD268">
        <v>115.222196</v>
      </c>
      <c r="AE268" s="14">
        <v>0.9489854281460699</v>
      </c>
      <c r="AF268">
        <v>31.794</v>
      </c>
      <c r="AG268" s="14">
        <v>0.94644717649510302</v>
      </c>
      <c r="AH268">
        <v>54</v>
      </c>
      <c r="AJ268">
        <v>266</v>
      </c>
      <c r="AK268">
        <v>114.621802</v>
      </c>
      <c r="AL268" s="14">
        <v>0.93135011043743809</v>
      </c>
      <c r="AM268">
        <v>31.693000000000001</v>
      </c>
      <c r="AN268" s="14">
        <v>0.92707541098695379</v>
      </c>
      <c r="AO268">
        <v>54</v>
      </c>
      <c r="AQ268">
        <v>266</v>
      </c>
      <c r="AR268">
        <v>113.47198899999999</v>
      </c>
      <c r="AS268" s="14">
        <v>0.93132123267836053</v>
      </c>
      <c r="AT268">
        <v>31.408999999999999</v>
      </c>
      <c r="AU268" s="14">
        <v>0.92753152408233175</v>
      </c>
      <c r="AV268">
        <v>54</v>
      </c>
      <c r="AX268">
        <v>266</v>
      </c>
      <c r="AY268">
        <v>115.614366</v>
      </c>
      <c r="AZ268" s="14">
        <v>0.93522045135103604</v>
      </c>
      <c r="BA268">
        <v>32.027000000000001</v>
      </c>
      <c r="BB268" s="14">
        <v>0.93307889523365584</v>
      </c>
      <c r="BC268">
        <v>54</v>
      </c>
    </row>
    <row r="269" spans="15:55" x14ac:dyDescent="0.35">
      <c r="O269">
        <v>267</v>
      </c>
      <c r="P269">
        <v>115.50023899999999</v>
      </c>
      <c r="Q269" s="14">
        <v>0.94147679842828635</v>
      </c>
      <c r="R269">
        <v>31.925999999999998</v>
      </c>
      <c r="S269" s="14">
        <v>0.94082630989567984</v>
      </c>
      <c r="T269">
        <v>54</v>
      </c>
      <c r="V269">
        <v>267</v>
      </c>
      <c r="W269">
        <v>115.82345100000001</v>
      </c>
      <c r="X269" s="14">
        <v>0.94494726046845268</v>
      </c>
      <c r="Y269">
        <v>31.965</v>
      </c>
      <c r="Z269" s="14">
        <v>0.94353267607296765</v>
      </c>
      <c r="AA269">
        <v>54</v>
      </c>
      <c r="AC269">
        <v>267</v>
      </c>
      <c r="AD269">
        <v>115.146141</v>
      </c>
      <c r="AE269" s="14">
        <v>0.94835902898650482</v>
      </c>
      <c r="AF269">
        <v>31.773</v>
      </c>
      <c r="AG269" s="14">
        <v>0.94582204625963728</v>
      </c>
      <c r="AH269">
        <v>54</v>
      </c>
      <c r="AJ269">
        <v>267</v>
      </c>
      <c r="AK269">
        <v>114.62718</v>
      </c>
      <c r="AL269" s="14">
        <v>0.9313938089381294</v>
      </c>
      <c r="AM269">
        <v>31.69</v>
      </c>
      <c r="AN269" s="14">
        <v>0.92698765576551811</v>
      </c>
      <c r="AO269">
        <v>54</v>
      </c>
      <c r="AQ269">
        <v>267</v>
      </c>
      <c r="AR269">
        <v>113.458399</v>
      </c>
      <c r="AS269" s="14">
        <v>0.93120969276737786</v>
      </c>
      <c r="AT269">
        <v>31.402000000000001</v>
      </c>
      <c r="AU269" s="14">
        <v>0.92732480878835311</v>
      </c>
      <c r="AV269">
        <v>54</v>
      </c>
      <c r="AX269">
        <v>267</v>
      </c>
      <c r="AY269">
        <v>115.58635200000001</v>
      </c>
      <c r="AZ269" s="14">
        <v>0.93499384226575899</v>
      </c>
      <c r="BA269">
        <v>32.018999999999998</v>
      </c>
      <c r="BB269" s="14">
        <v>0.93284582216524881</v>
      </c>
      <c r="BC269">
        <v>54</v>
      </c>
    </row>
    <row r="270" spans="15:55" x14ac:dyDescent="0.35">
      <c r="O270">
        <v>268</v>
      </c>
      <c r="P270">
        <v>115.487216</v>
      </c>
      <c r="Q270" s="14">
        <v>0.94137064408218218</v>
      </c>
      <c r="R270">
        <v>31.92</v>
      </c>
      <c r="S270" s="14">
        <v>0.9406494960806272</v>
      </c>
      <c r="T270">
        <v>54</v>
      </c>
      <c r="V270">
        <v>268</v>
      </c>
      <c r="W270">
        <v>115.78954</v>
      </c>
      <c r="X270" s="14">
        <v>0.94467059709611234</v>
      </c>
      <c r="Y270">
        <v>31.956</v>
      </c>
      <c r="Z270" s="14">
        <v>0.94326701694314896</v>
      </c>
      <c r="AA270">
        <v>54</v>
      </c>
      <c r="AC270">
        <v>268</v>
      </c>
      <c r="AD270">
        <v>115.074179</v>
      </c>
      <c r="AE270" s="14">
        <v>0.94776634032276641</v>
      </c>
      <c r="AF270">
        <v>31.757999999999999</v>
      </c>
      <c r="AG270" s="14">
        <v>0.94537552466287611</v>
      </c>
      <c r="AH270">
        <v>54</v>
      </c>
      <c r="AJ270">
        <v>268</v>
      </c>
      <c r="AK270">
        <v>114.621717</v>
      </c>
      <c r="AL270" s="14">
        <v>0.93134941977686569</v>
      </c>
      <c r="AM270">
        <v>31.687000000000001</v>
      </c>
      <c r="AN270" s="14">
        <v>0.92689990054408244</v>
      </c>
      <c r="AO270">
        <v>54</v>
      </c>
      <c r="AQ270">
        <v>268</v>
      </c>
      <c r="AR270">
        <v>113.424734</v>
      </c>
      <c r="AS270" s="14">
        <v>0.93093338731460118</v>
      </c>
      <c r="AT270">
        <v>31.393000000000001</v>
      </c>
      <c r="AU270" s="14">
        <v>0.92705903198180906</v>
      </c>
      <c r="AV270">
        <v>54</v>
      </c>
      <c r="AX270">
        <v>268</v>
      </c>
      <c r="AY270">
        <v>115.564009</v>
      </c>
      <c r="AZ270" s="14">
        <v>0.93481310667668394</v>
      </c>
      <c r="BA270">
        <v>32.012</v>
      </c>
      <c r="BB270" s="14">
        <v>0.93264188323039277</v>
      </c>
      <c r="BC270">
        <v>54</v>
      </c>
    </row>
    <row r="271" spans="15:55" x14ac:dyDescent="0.35">
      <c r="O271">
        <v>269</v>
      </c>
      <c r="P271">
        <v>115.443433</v>
      </c>
      <c r="Q271" s="14">
        <v>0.94101375582790259</v>
      </c>
      <c r="R271">
        <v>31.908000000000001</v>
      </c>
      <c r="S271" s="14">
        <v>0.94029586845052171</v>
      </c>
      <c r="T271">
        <v>54</v>
      </c>
      <c r="V271">
        <v>269</v>
      </c>
      <c r="W271">
        <v>115.76917</v>
      </c>
      <c r="X271" s="14">
        <v>0.9445044081634778</v>
      </c>
      <c r="Y271">
        <v>31.95</v>
      </c>
      <c r="Z271" s="14">
        <v>0.9430899108566031</v>
      </c>
      <c r="AA271">
        <v>54</v>
      </c>
      <c r="AC271">
        <v>269</v>
      </c>
      <c r="AD271">
        <v>115.057247</v>
      </c>
      <c r="AE271" s="14">
        <v>0.94762688610450652</v>
      </c>
      <c r="AF271">
        <v>31.751999999999999</v>
      </c>
      <c r="AG271" s="14">
        <v>0.94519691602417155</v>
      </c>
      <c r="AH271">
        <v>54</v>
      </c>
      <c r="AJ271">
        <v>269</v>
      </c>
      <c r="AK271">
        <v>114.599535</v>
      </c>
      <c r="AL271" s="14">
        <v>0.93116918174370578</v>
      </c>
      <c r="AM271">
        <v>31.68</v>
      </c>
      <c r="AN271" s="14">
        <v>0.92669513836073247</v>
      </c>
      <c r="AO271">
        <v>54</v>
      </c>
      <c r="AQ271">
        <v>269</v>
      </c>
      <c r="AR271">
        <v>113.379198</v>
      </c>
      <c r="AS271" s="14">
        <v>0.93055965064156865</v>
      </c>
      <c r="AT271">
        <v>31.38</v>
      </c>
      <c r="AU271" s="14">
        <v>0.92667513215013431</v>
      </c>
      <c r="AV271">
        <v>54</v>
      </c>
      <c r="AX271">
        <v>269</v>
      </c>
      <c r="AY271">
        <v>115.507273</v>
      </c>
      <c r="AZ271" s="14">
        <v>0.93435416139709948</v>
      </c>
      <c r="BA271">
        <v>31.998000000000001</v>
      </c>
      <c r="BB271" s="14">
        <v>0.93223400536068068</v>
      </c>
      <c r="BC271">
        <v>54</v>
      </c>
    </row>
    <row r="272" spans="15:55" x14ac:dyDescent="0.35">
      <c r="O272">
        <v>270</v>
      </c>
      <c r="P272">
        <v>115.39923899999999</v>
      </c>
      <c r="Q272" s="14">
        <v>0.94065351739038949</v>
      </c>
      <c r="R272">
        <v>31.898</v>
      </c>
      <c r="S272" s="14">
        <v>0.9400011787587671</v>
      </c>
      <c r="T272">
        <v>54</v>
      </c>
      <c r="V272">
        <v>270</v>
      </c>
      <c r="W272">
        <v>115.711656</v>
      </c>
      <c r="X272" s="14">
        <v>0.94403517938235149</v>
      </c>
      <c r="Y272">
        <v>31.936</v>
      </c>
      <c r="Z272" s="14">
        <v>0.94267666332132949</v>
      </c>
      <c r="AA272">
        <v>54</v>
      </c>
      <c r="AC272">
        <v>270</v>
      </c>
      <c r="AD272">
        <v>115.01893800000001</v>
      </c>
      <c r="AE272" s="14">
        <v>0.94731136805304661</v>
      </c>
      <c r="AF272">
        <v>31.742000000000001</v>
      </c>
      <c r="AG272" s="14">
        <v>0.9448992349596641</v>
      </c>
      <c r="AH272">
        <v>54</v>
      </c>
      <c r="AJ272">
        <v>270</v>
      </c>
      <c r="AK272">
        <v>114.5476</v>
      </c>
      <c r="AL272" s="14">
        <v>0.93074718813392487</v>
      </c>
      <c r="AM272">
        <v>31.667000000000002</v>
      </c>
      <c r="AN272" s="14">
        <v>0.92631486573451127</v>
      </c>
      <c r="AO272">
        <v>54</v>
      </c>
      <c r="AQ272">
        <v>270</v>
      </c>
      <c r="AR272">
        <v>113.282623</v>
      </c>
      <c r="AS272" s="14">
        <v>0.92976701142867968</v>
      </c>
      <c r="AT272">
        <v>31.359000000000002</v>
      </c>
      <c r="AU272" s="14">
        <v>0.92605498626819838</v>
      </c>
      <c r="AV272">
        <v>54</v>
      </c>
      <c r="AX272">
        <v>270</v>
      </c>
      <c r="AY272">
        <v>115.454032</v>
      </c>
      <c r="AZ272" s="14">
        <v>0.93392348765149957</v>
      </c>
      <c r="BA272">
        <v>31.984999999999999</v>
      </c>
      <c r="BB272" s="14">
        <v>0.93185526162451937</v>
      </c>
      <c r="BC272">
        <v>54</v>
      </c>
    </row>
    <row r="273" spans="15:55" x14ac:dyDescent="0.35">
      <c r="O273">
        <v>271</v>
      </c>
      <c r="P273">
        <v>115.373636</v>
      </c>
      <c r="Q273" s="14">
        <v>0.94044481972293137</v>
      </c>
      <c r="R273">
        <v>31.89</v>
      </c>
      <c r="S273" s="14">
        <v>0.93976542700536347</v>
      </c>
      <c r="T273">
        <v>54</v>
      </c>
      <c r="V273">
        <v>271</v>
      </c>
      <c r="W273">
        <v>115.659206</v>
      </c>
      <c r="X273" s="14">
        <v>0.94360726531673123</v>
      </c>
      <c r="Y273">
        <v>31.922000000000001</v>
      </c>
      <c r="Z273" s="14">
        <v>0.94226341578605588</v>
      </c>
      <c r="AA273">
        <v>54</v>
      </c>
      <c r="AC273">
        <v>271</v>
      </c>
      <c r="AD273">
        <v>114.959703</v>
      </c>
      <c r="AE273" s="14">
        <v>0.94682350066475074</v>
      </c>
      <c r="AF273">
        <v>31.728000000000002</v>
      </c>
      <c r="AG273" s="14">
        <v>0.94448248146935365</v>
      </c>
      <c r="AH273">
        <v>54</v>
      </c>
      <c r="AJ273">
        <v>271</v>
      </c>
      <c r="AK273">
        <v>114.45679800000001</v>
      </c>
      <c r="AL273" s="14">
        <v>0.930009383883317</v>
      </c>
      <c r="AM273">
        <v>31.643999999999998</v>
      </c>
      <c r="AN273" s="14">
        <v>0.92564207570350432</v>
      </c>
      <c r="AO273">
        <v>54</v>
      </c>
      <c r="AQ273">
        <v>271</v>
      </c>
      <c r="AR273">
        <v>113.242779</v>
      </c>
      <c r="AS273" s="14">
        <v>0.92943999183977621</v>
      </c>
      <c r="AT273">
        <v>31.347999999999999</v>
      </c>
      <c r="AU273" s="14">
        <v>0.92573014794908892</v>
      </c>
      <c r="AV273">
        <v>54</v>
      </c>
      <c r="AX273">
        <v>271</v>
      </c>
      <c r="AY273">
        <v>115.420041</v>
      </c>
      <c r="AZ273" s="14">
        <v>0.93364852979408353</v>
      </c>
      <c r="BA273">
        <v>31.975999999999999</v>
      </c>
      <c r="BB273" s="14">
        <v>0.93159305442256146</v>
      </c>
      <c r="BC273">
        <v>54</v>
      </c>
    </row>
    <row r="274" spans="15:55" x14ac:dyDescent="0.35">
      <c r="O274">
        <v>272</v>
      </c>
      <c r="P274">
        <v>115.36026</v>
      </c>
      <c r="Q274" s="14">
        <v>0.94033578796884321</v>
      </c>
      <c r="R274">
        <v>31.885999999999999</v>
      </c>
      <c r="S274" s="14">
        <v>0.93964755112866161</v>
      </c>
      <c r="T274">
        <v>54</v>
      </c>
      <c r="V274">
        <v>272</v>
      </c>
      <c r="W274">
        <v>115.630242</v>
      </c>
      <c r="X274" s="14">
        <v>0.94337096211374505</v>
      </c>
      <c r="Y274">
        <v>31.914999999999999</v>
      </c>
      <c r="Z274" s="14">
        <v>0.94205679201841896</v>
      </c>
      <c r="AA274">
        <v>54</v>
      </c>
      <c r="AC274">
        <v>272</v>
      </c>
      <c r="AD274">
        <v>114.91602</v>
      </c>
      <c r="AE274" s="14">
        <v>0.94646372163000902</v>
      </c>
      <c r="AF274">
        <v>31.716999999999999</v>
      </c>
      <c r="AG274" s="14">
        <v>0.94415503229839537</v>
      </c>
      <c r="AH274">
        <v>54</v>
      </c>
      <c r="AJ274">
        <v>272</v>
      </c>
      <c r="AK274">
        <v>114.381606</v>
      </c>
      <c r="AL274" s="14">
        <v>0.92939841741548901</v>
      </c>
      <c r="AM274">
        <v>31.628</v>
      </c>
      <c r="AN274" s="14">
        <v>0.92517404785584745</v>
      </c>
      <c r="AO274">
        <v>54</v>
      </c>
      <c r="AQ274">
        <v>272</v>
      </c>
      <c r="AR274">
        <v>113.229399</v>
      </c>
      <c r="AS274" s="14">
        <v>0.92933017550357677</v>
      </c>
      <c r="AT274">
        <v>31.344000000000001</v>
      </c>
      <c r="AU274" s="14">
        <v>0.92561202492395833</v>
      </c>
      <c r="AV274">
        <v>54</v>
      </c>
      <c r="AX274">
        <v>272</v>
      </c>
      <c r="AY274">
        <v>115.420604</v>
      </c>
      <c r="AZ274" s="14">
        <v>0.93365308397824176</v>
      </c>
      <c r="BA274">
        <v>31.974</v>
      </c>
      <c r="BB274" s="14">
        <v>0.93153478615545982</v>
      </c>
      <c r="BC274">
        <v>54</v>
      </c>
    </row>
    <row r="275" spans="15:55" x14ac:dyDescent="0.35">
      <c r="O275">
        <v>273</v>
      </c>
      <c r="P275">
        <v>115.352225</v>
      </c>
      <c r="Q275" s="14">
        <v>0.94027029229419468</v>
      </c>
      <c r="R275">
        <v>31.882999999999999</v>
      </c>
      <c r="S275" s="14">
        <v>0.93955914422113518</v>
      </c>
      <c r="T275">
        <v>54</v>
      </c>
      <c r="V275">
        <v>273</v>
      </c>
      <c r="W275">
        <v>115.62128800000001</v>
      </c>
      <c r="X275" s="14">
        <v>0.94329791077831016</v>
      </c>
      <c r="Y275">
        <v>31.911999999999999</v>
      </c>
      <c r="Z275" s="14">
        <v>0.94196823897514603</v>
      </c>
      <c r="AA275">
        <v>54</v>
      </c>
      <c r="AC275">
        <v>273</v>
      </c>
      <c r="AD275">
        <v>114.905886</v>
      </c>
      <c r="AE275" s="14">
        <v>0.94638025664962588</v>
      </c>
      <c r="AF275">
        <v>31.713000000000001</v>
      </c>
      <c r="AG275" s="14">
        <v>0.94403595987259248</v>
      </c>
      <c r="AH275">
        <v>54</v>
      </c>
      <c r="AJ275">
        <v>273</v>
      </c>
      <c r="AK275">
        <v>114.368498</v>
      </c>
      <c r="AL275" s="14">
        <v>0.92929190942979523</v>
      </c>
      <c r="AM275">
        <v>31.622</v>
      </c>
      <c r="AN275" s="14">
        <v>0.92499853741297611</v>
      </c>
      <c r="AO275">
        <v>54</v>
      </c>
      <c r="AQ275">
        <v>273</v>
      </c>
      <c r="AR275">
        <v>113.18708700000001</v>
      </c>
      <c r="AS275" s="14">
        <v>0.92898289980721893</v>
      </c>
      <c r="AT275">
        <v>31.331</v>
      </c>
      <c r="AU275" s="14">
        <v>0.92522812509228358</v>
      </c>
      <c r="AV275">
        <v>54</v>
      </c>
      <c r="AX275">
        <v>273</v>
      </c>
      <c r="AY275">
        <v>115.390522</v>
      </c>
      <c r="AZ275" s="14">
        <v>0.93340974655754849</v>
      </c>
      <c r="BA275">
        <v>31.965</v>
      </c>
      <c r="BB275" s="14">
        <v>0.93127257895350202</v>
      </c>
      <c r="BC275">
        <v>54</v>
      </c>
    </row>
    <row r="276" spans="15:55" x14ac:dyDescent="0.35">
      <c r="O276">
        <v>274</v>
      </c>
      <c r="P276">
        <v>115.311819</v>
      </c>
      <c r="Q276" s="14">
        <v>0.93994093097125142</v>
      </c>
      <c r="R276">
        <v>31.872</v>
      </c>
      <c r="S276" s="14">
        <v>0.93923498556020513</v>
      </c>
      <c r="T276">
        <v>54</v>
      </c>
      <c r="V276">
        <v>274</v>
      </c>
      <c r="W276">
        <v>115.610609</v>
      </c>
      <c r="X276" s="14">
        <v>0.94321078600601727</v>
      </c>
      <c r="Y276">
        <v>31.907</v>
      </c>
      <c r="Z276" s="14">
        <v>0.94182065056969122</v>
      </c>
      <c r="AA276">
        <v>54</v>
      </c>
      <c r="AC276">
        <v>274</v>
      </c>
      <c r="AD276">
        <v>114.909194</v>
      </c>
      <c r="AE276" s="14">
        <v>0.94640750178038446</v>
      </c>
      <c r="AF276">
        <v>31.710999999999999</v>
      </c>
      <c r="AG276" s="14">
        <v>0.94397642365969081</v>
      </c>
      <c r="AH276">
        <v>54</v>
      </c>
      <c r="AJ276">
        <v>274</v>
      </c>
      <c r="AK276">
        <v>114.339338</v>
      </c>
      <c r="AL276" s="14">
        <v>0.92905497222634448</v>
      </c>
      <c r="AM276">
        <v>31.614000000000001</v>
      </c>
      <c r="AN276" s="14">
        <v>0.92476452348914762</v>
      </c>
      <c r="AO276">
        <v>54</v>
      </c>
      <c r="AQ276">
        <v>274</v>
      </c>
      <c r="AR276">
        <v>113.130849</v>
      </c>
      <c r="AS276" s="14">
        <v>0.92852132648022478</v>
      </c>
      <c r="AT276">
        <v>31.318000000000001</v>
      </c>
      <c r="AU276" s="14">
        <v>0.92484422526060894</v>
      </c>
      <c r="AV276">
        <v>54</v>
      </c>
      <c r="AX276">
        <v>274</v>
      </c>
      <c r="AY276">
        <v>115.335404</v>
      </c>
      <c r="AZ276" s="14">
        <v>0.93296388950170839</v>
      </c>
      <c r="BA276">
        <v>31.951000000000001</v>
      </c>
      <c r="BB276" s="14">
        <v>0.93086470108378983</v>
      </c>
      <c r="BC276">
        <v>54</v>
      </c>
    </row>
    <row r="277" spans="15:55" x14ac:dyDescent="0.35">
      <c r="O277">
        <v>275</v>
      </c>
      <c r="P277">
        <v>115.266155</v>
      </c>
      <c r="Q277" s="14">
        <v>0.93956871012655319</v>
      </c>
      <c r="R277">
        <v>31.86</v>
      </c>
      <c r="S277" s="14">
        <v>0.93888135793009964</v>
      </c>
      <c r="T277">
        <v>54</v>
      </c>
      <c r="V277">
        <v>275</v>
      </c>
      <c r="W277">
        <v>115.564834</v>
      </c>
      <c r="X277" s="14">
        <v>0.94283733002215153</v>
      </c>
      <c r="Y277">
        <v>31.895</v>
      </c>
      <c r="Z277" s="14">
        <v>0.94146643839659949</v>
      </c>
      <c r="AA277">
        <v>54</v>
      </c>
      <c r="AC277">
        <v>275</v>
      </c>
      <c r="AD277">
        <v>114.86716300000001</v>
      </c>
      <c r="AE277" s="14">
        <v>0.94606132883875438</v>
      </c>
      <c r="AF277">
        <v>31.701000000000001</v>
      </c>
      <c r="AG277" s="14">
        <v>0.94367874259518347</v>
      </c>
      <c r="AH277">
        <v>54</v>
      </c>
      <c r="AJ277">
        <v>275</v>
      </c>
      <c r="AK277">
        <v>114.27462800000001</v>
      </c>
      <c r="AL277" s="14">
        <v>0.92852917639523036</v>
      </c>
      <c r="AM277">
        <v>31.597999999999999</v>
      </c>
      <c r="AN277" s="14">
        <v>0.92429649564149063</v>
      </c>
      <c r="AO277">
        <v>54</v>
      </c>
      <c r="AQ277">
        <v>275</v>
      </c>
      <c r="AR277">
        <v>113.09279600000001</v>
      </c>
      <c r="AS277" s="14">
        <v>0.92820900652197413</v>
      </c>
      <c r="AT277">
        <v>31.308</v>
      </c>
      <c r="AU277" s="14">
        <v>0.92454891769778225</v>
      </c>
      <c r="AV277">
        <v>54</v>
      </c>
      <c r="AX277">
        <v>275</v>
      </c>
      <c r="AY277">
        <v>115.293122</v>
      </c>
      <c r="AZ277" s="14">
        <v>0.93262186460902319</v>
      </c>
      <c r="BA277">
        <v>31.940999999999999</v>
      </c>
      <c r="BB277" s="14">
        <v>0.93057335974828115</v>
      </c>
      <c r="BC277">
        <v>54</v>
      </c>
    </row>
    <row r="278" spans="15:55" x14ac:dyDescent="0.35">
      <c r="O278">
        <v>276</v>
      </c>
      <c r="P278">
        <v>115.24250000000001</v>
      </c>
      <c r="Q278" s="14">
        <v>0.93937589118643994</v>
      </c>
      <c r="R278">
        <v>31.853000000000002</v>
      </c>
      <c r="S278" s="14">
        <v>0.93867507514587156</v>
      </c>
      <c r="T278">
        <v>54</v>
      </c>
      <c r="V278">
        <v>276</v>
      </c>
      <c r="W278">
        <v>115.52477500000001</v>
      </c>
      <c r="X278" s="14">
        <v>0.94251050810499848</v>
      </c>
      <c r="Y278">
        <v>31.885999999999999</v>
      </c>
      <c r="Z278" s="14">
        <v>0.94120077926678081</v>
      </c>
      <c r="AA278">
        <v>54</v>
      </c>
      <c r="AC278">
        <v>276</v>
      </c>
      <c r="AD278">
        <v>114.81592499999999</v>
      </c>
      <c r="AE278" s="14">
        <v>0.94563932581281518</v>
      </c>
      <c r="AF278">
        <v>31.687999999999999</v>
      </c>
      <c r="AG278" s="14">
        <v>0.94329175721132363</v>
      </c>
      <c r="AH278">
        <v>54</v>
      </c>
      <c r="AJ278">
        <v>276</v>
      </c>
      <c r="AK278">
        <v>114.22396999999999</v>
      </c>
      <c r="AL278" s="14">
        <v>0.92811755894487347</v>
      </c>
      <c r="AM278">
        <v>31.585999999999999</v>
      </c>
      <c r="AN278" s="14">
        <v>0.92394547475574795</v>
      </c>
      <c r="AO278">
        <v>54</v>
      </c>
      <c r="AQ278">
        <v>276</v>
      </c>
      <c r="AR278">
        <v>113.081029</v>
      </c>
      <c r="AS278" s="14">
        <v>0.92811242888161105</v>
      </c>
      <c r="AT278">
        <v>31.303999999999998</v>
      </c>
      <c r="AU278" s="14">
        <v>0.92443079467265155</v>
      </c>
      <c r="AV278">
        <v>54</v>
      </c>
      <c r="AX278">
        <v>276</v>
      </c>
      <c r="AY278">
        <v>115.274258</v>
      </c>
      <c r="AZ278" s="14">
        <v>0.93246927112774003</v>
      </c>
      <c r="BA278">
        <v>31.934000000000001</v>
      </c>
      <c r="BB278" s="14">
        <v>0.93036942081342511</v>
      </c>
      <c r="BC278">
        <v>54</v>
      </c>
    </row>
    <row r="279" spans="15:55" x14ac:dyDescent="0.35">
      <c r="O279">
        <v>277</v>
      </c>
      <c r="P279">
        <v>115.238085</v>
      </c>
      <c r="Q279" s="14">
        <v>0.93933990320839711</v>
      </c>
      <c r="R279">
        <v>31.850999999999999</v>
      </c>
      <c r="S279" s="14">
        <v>0.93861613720752057</v>
      </c>
      <c r="T279">
        <v>54</v>
      </c>
      <c r="V279">
        <v>277</v>
      </c>
      <c r="W279">
        <v>115.49815700000001</v>
      </c>
      <c r="X279" s="14">
        <v>0.94229334477613902</v>
      </c>
      <c r="Y279">
        <v>31.878</v>
      </c>
      <c r="Z279" s="14">
        <v>0.94096463781805306</v>
      </c>
      <c r="AA279">
        <v>54</v>
      </c>
      <c r="AC279">
        <v>277</v>
      </c>
      <c r="AD279">
        <v>114.783472</v>
      </c>
      <c r="AE279" s="14">
        <v>0.94537203856115037</v>
      </c>
      <c r="AF279">
        <v>31.681000000000001</v>
      </c>
      <c r="AG279" s="14">
        <v>0.94308338046616846</v>
      </c>
      <c r="AH279">
        <v>54</v>
      </c>
      <c r="AJ279">
        <v>277</v>
      </c>
      <c r="AK279">
        <v>114.20553</v>
      </c>
      <c r="AL279" s="14">
        <v>0.92796772622773938</v>
      </c>
      <c r="AM279">
        <v>31.58</v>
      </c>
      <c r="AN279" s="14">
        <v>0.92376996431287661</v>
      </c>
      <c r="AO279">
        <v>54</v>
      </c>
      <c r="AQ279">
        <v>277</v>
      </c>
      <c r="AR279">
        <v>113.068662</v>
      </c>
      <c r="AS279" s="14">
        <v>0.9280109267418668</v>
      </c>
      <c r="AT279">
        <v>31.297000000000001</v>
      </c>
      <c r="AU279" s="14">
        <v>0.9242240793786729</v>
      </c>
      <c r="AV279">
        <v>54</v>
      </c>
      <c r="AX279">
        <v>277</v>
      </c>
      <c r="AY279">
        <v>115.259005</v>
      </c>
      <c r="AZ279" s="14">
        <v>0.93234588752033909</v>
      </c>
      <c r="BA279">
        <v>31.93</v>
      </c>
      <c r="BB279" s="14">
        <v>0.93025288427922159</v>
      </c>
      <c r="BC279">
        <v>54</v>
      </c>
    </row>
    <row r="280" spans="15:55" x14ac:dyDescent="0.35">
      <c r="O280">
        <v>278</v>
      </c>
      <c r="P280">
        <v>115.201335</v>
      </c>
      <c r="Q280" s="14">
        <v>0.93904034302876638</v>
      </c>
      <c r="R280">
        <v>31.84</v>
      </c>
      <c r="S280" s="14">
        <v>0.93829197854659052</v>
      </c>
      <c r="T280">
        <v>54</v>
      </c>
      <c r="V280">
        <v>278</v>
      </c>
      <c r="W280">
        <v>115.481466</v>
      </c>
      <c r="X280" s="14">
        <v>0.94215717101695362</v>
      </c>
      <c r="Y280">
        <v>31.873000000000001</v>
      </c>
      <c r="Z280" s="14">
        <v>0.94081704941259814</v>
      </c>
      <c r="AA280">
        <v>54</v>
      </c>
      <c r="AC280">
        <v>278</v>
      </c>
      <c r="AD280">
        <v>114.768736</v>
      </c>
      <c r="AE280" s="14">
        <v>0.94525067089281367</v>
      </c>
      <c r="AF280">
        <v>31.675000000000001</v>
      </c>
      <c r="AG280" s="14">
        <v>0.94290477182746402</v>
      </c>
      <c r="AH280">
        <v>54</v>
      </c>
      <c r="AJ280">
        <v>278</v>
      </c>
      <c r="AK280">
        <v>114.20710200000001</v>
      </c>
      <c r="AL280" s="14">
        <v>0.92798049938562088</v>
      </c>
      <c r="AM280">
        <v>31.577999999999999</v>
      </c>
      <c r="AN280" s="14">
        <v>0.92371146083191946</v>
      </c>
      <c r="AO280">
        <v>54</v>
      </c>
      <c r="AQ280">
        <v>278</v>
      </c>
      <c r="AR280">
        <v>113.007588</v>
      </c>
      <c r="AS280" s="14">
        <v>0.92750966194986073</v>
      </c>
      <c r="AT280">
        <v>31.283000000000001</v>
      </c>
      <c r="AU280" s="14">
        <v>0.92381064879071562</v>
      </c>
      <c r="AV280">
        <v>54</v>
      </c>
      <c r="AX280">
        <v>278</v>
      </c>
      <c r="AY280">
        <v>115.250086</v>
      </c>
      <c r="AZ280" s="14">
        <v>0.93227374050700329</v>
      </c>
      <c r="BA280">
        <v>31.925000000000001</v>
      </c>
      <c r="BB280" s="14">
        <v>0.93010721361146731</v>
      </c>
      <c r="BC280">
        <v>54</v>
      </c>
    </row>
    <row r="281" spans="15:55" x14ac:dyDescent="0.35">
      <c r="O281">
        <v>279</v>
      </c>
      <c r="P281">
        <v>115.173249</v>
      </c>
      <c r="Q281" s="14">
        <v>0.93881140568985177</v>
      </c>
      <c r="R281">
        <v>31.832999999999998</v>
      </c>
      <c r="S281" s="14">
        <v>0.93808569576236223</v>
      </c>
      <c r="T281">
        <v>54</v>
      </c>
      <c r="V281">
        <v>279</v>
      </c>
      <c r="W281">
        <v>115.47224199999999</v>
      </c>
      <c r="X281" s="14">
        <v>0.94208191688270615</v>
      </c>
      <c r="Y281">
        <v>31.87</v>
      </c>
      <c r="Z281" s="14">
        <v>0.94072849636932521</v>
      </c>
      <c r="AA281">
        <v>54</v>
      </c>
      <c r="AC281">
        <v>279</v>
      </c>
      <c r="AD281">
        <v>114.759787</v>
      </c>
      <c r="AE281" s="14">
        <v>0.94517696573103671</v>
      </c>
      <c r="AF281">
        <v>31.672000000000001</v>
      </c>
      <c r="AG281" s="14">
        <v>0.94281546750811174</v>
      </c>
      <c r="AH281">
        <v>54</v>
      </c>
      <c r="AJ281">
        <v>279</v>
      </c>
      <c r="AK281">
        <v>114.140995</v>
      </c>
      <c r="AL281" s="14">
        <v>0.92744335234486253</v>
      </c>
      <c r="AM281">
        <v>31.561</v>
      </c>
      <c r="AN281" s="14">
        <v>0.92321418124378396</v>
      </c>
      <c r="AO281">
        <v>54</v>
      </c>
      <c r="AQ281">
        <v>279</v>
      </c>
      <c r="AR281">
        <v>112.95453999999999</v>
      </c>
      <c r="AS281" s="14">
        <v>0.92707427054457636</v>
      </c>
      <c r="AT281">
        <v>31.27</v>
      </c>
      <c r="AU281" s="14">
        <v>0.92342674895904087</v>
      </c>
      <c r="AV281">
        <v>54</v>
      </c>
      <c r="AX281">
        <v>279</v>
      </c>
      <c r="AY281">
        <v>115.213425</v>
      </c>
      <c r="AZ281" s="14">
        <v>0.93197718465366775</v>
      </c>
      <c r="BA281">
        <v>31.916</v>
      </c>
      <c r="BB281" s="14">
        <v>0.9298450064095094</v>
      </c>
      <c r="BC281">
        <v>54</v>
      </c>
    </row>
    <row r="282" spans="15:55" x14ac:dyDescent="0.35">
      <c r="O282">
        <v>280</v>
      </c>
      <c r="P282">
        <v>115.1277</v>
      </c>
      <c r="Q282" s="14">
        <v>0.93844012224435513</v>
      </c>
      <c r="R282">
        <v>31.821000000000002</v>
      </c>
      <c r="S282" s="14">
        <v>0.93773206813225685</v>
      </c>
      <c r="T282">
        <v>54</v>
      </c>
      <c r="V282">
        <v>280</v>
      </c>
      <c r="W282">
        <v>115.44920999999999</v>
      </c>
      <c r="X282" s="14">
        <v>0.94189400998548278</v>
      </c>
      <c r="Y282">
        <v>31.861999999999998</v>
      </c>
      <c r="Z282" s="14">
        <v>0.94049235492059735</v>
      </c>
      <c r="AA282">
        <v>54</v>
      </c>
      <c r="AC282">
        <v>280</v>
      </c>
      <c r="AD282">
        <v>114.75268699999999</v>
      </c>
      <c r="AE282" s="14">
        <v>0.9451184891807386</v>
      </c>
      <c r="AF282">
        <v>31.667000000000002</v>
      </c>
      <c r="AG282" s="14">
        <v>0.94266662697585801</v>
      </c>
      <c r="AH282">
        <v>54</v>
      </c>
      <c r="AJ282">
        <v>280</v>
      </c>
      <c r="AK282">
        <v>114.08146000000001</v>
      </c>
      <c r="AL282" s="14">
        <v>0.9269596055544842</v>
      </c>
      <c r="AM282">
        <v>31.547000000000001</v>
      </c>
      <c r="AN282" s="14">
        <v>0.92280465687708424</v>
      </c>
      <c r="AO282">
        <v>54</v>
      </c>
      <c r="AQ282">
        <v>280</v>
      </c>
      <c r="AR282">
        <v>112.93477799999999</v>
      </c>
      <c r="AS282" s="14">
        <v>0.92691207394995956</v>
      </c>
      <c r="AT282">
        <v>31.263000000000002</v>
      </c>
      <c r="AU282" s="14">
        <v>0.92322003366506222</v>
      </c>
      <c r="AV282">
        <v>54</v>
      </c>
      <c r="AX282">
        <v>280</v>
      </c>
      <c r="AY282">
        <v>115.16612000000001</v>
      </c>
      <c r="AZ282" s="14">
        <v>0.93159452802558784</v>
      </c>
      <c r="BA282">
        <v>31.902999999999999</v>
      </c>
      <c r="BB282" s="14">
        <v>0.92946626267334809</v>
      </c>
      <c r="BC282">
        <v>54</v>
      </c>
    </row>
    <row r="283" spans="15:55" x14ac:dyDescent="0.35">
      <c r="O283">
        <v>281</v>
      </c>
      <c r="P283">
        <v>115.099906</v>
      </c>
      <c r="Q283" s="14">
        <v>0.93821356508428277</v>
      </c>
      <c r="R283">
        <v>31.812999999999999</v>
      </c>
      <c r="S283" s="14">
        <v>0.93749631637885311</v>
      </c>
      <c r="T283">
        <v>54</v>
      </c>
      <c r="V283">
        <v>281</v>
      </c>
      <c r="W283">
        <v>115.40102899999999</v>
      </c>
      <c r="X283" s="14">
        <v>0.94150092461664303</v>
      </c>
      <c r="Y283">
        <v>31.85</v>
      </c>
      <c r="Z283" s="14">
        <v>0.94013814274750584</v>
      </c>
      <c r="AA283">
        <v>54</v>
      </c>
      <c r="AC283">
        <v>281</v>
      </c>
      <c r="AD283">
        <v>114.699631</v>
      </c>
      <c r="AE283" s="14">
        <v>0.94468151286346969</v>
      </c>
      <c r="AF283">
        <v>31.655999999999999</v>
      </c>
      <c r="AG283" s="14">
        <v>0.94233917780489973</v>
      </c>
      <c r="AH283">
        <v>54</v>
      </c>
      <c r="AJ283">
        <v>281</v>
      </c>
      <c r="AK283">
        <v>114.04737299999999</v>
      </c>
      <c r="AL283" s="14">
        <v>0.92668263441408549</v>
      </c>
      <c r="AM283">
        <v>31.539000000000001</v>
      </c>
      <c r="AN283" s="14">
        <v>0.92257064295325575</v>
      </c>
      <c r="AO283">
        <v>54</v>
      </c>
      <c r="AQ283">
        <v>281</v>
      </c>
      <c r="AR283">
        <v>112.92236699999999</v>
      </c>
      <c r="AS283" s="14">
        <v>0.9268102106802607</v>
      </c>
      <c r="AT283">
        <v>31.257999999999999</v>
      </c>
      <c r="AU283" s="14">
        <v>0.92307237988364876</v>
      </c>
      <c r="AV283">
        <v>54</v>
      </c>
      <c r="AX283">
        <v>281</v>
      </c>
      <c r="AY283">
        <v>115.136133</v>
      </c>
      <c r="AZ283" s="14">
        <v>0.93135195907291402</v>
      </c>
      <c r="BA283">
        <v>31.896000000000001</v>
      </c>
      <c r="BB283" s="14">
        <v>0.92926232373849205</v>
      </c>
      <c r="BC283">
        <v>54</v>
      </c>
    </row>
    <row r="284" spans="15:55" x14ac:dyDescent="0.35">
      <c r="O284">
        <v>282</v>
      </c>
      <c r="P284">
        <v>115.109966</v>
      </c>
      <c r="Q284" s="14">
        <v>0.93829556713617623</v>
      </c>
      <c r="R284">
        <v>31.815000000000001</v>
      </c>
      <c r="S284" s="14">
        <v>0.9375552543172041</v>
      </c>
      <c r="T284">
        <v>54</v>
      </c>
      <c r="V284">
        <v>282</v>
      </c>
      <c r="W284">
        <v>115.368799</v>
      </c>
      <c r="X284" s="14">
        <v>0.94123797570653933</v>
      </c>
      <c r="Y284">
        <v>31.841999999999999</v>
      </c>
      <c r="Z284" s="14">
        <v>0.93990200129877788</v>
      </c>
      <c r="AA284">
        <v>54</v>
      </c>
      <c r="AC284">
        <v>282</v>
      </c>
      <c r="AD284">
        <v>114.663737</v>
      </c>
      <c r="AE284" s="14">
        <v>0.94438588507524501</v>
      </c>
      <c r="AF284">
        <v>31.646000000000001</v>
      </c>
      <c r="AG284" s="14">
        <v>0.94204149674039228</v>
      </c>
      <c r="AH284">
        <v>54</v>
      </c>
      <c r="AJ284">
        <v>282</v>
      </c>
      <c r="AK284">
        <v>114.034008</v>
      </c>
      <c r="AL284" s="14">
        <v>0.92657403819583728</v>
      </c>
      <c r="AM284">
        <v>31.532</v>
      </c>
      <c r="AN284" s="14">
        <v>0.92236588076990578</v>
      </c>
      <c r="AO284">
        <v>54</v>
      </c>
      <c r="AQ284">
        <v>282</v>
      </c>
      <c r="AR284">
        <v>112.909312</v>
      </c>
      <c r="AS284" s="14">
        <v>0.92670306178122619</v>
      </c>
      <c r="AT284">
        <v>31.253</v>
      </c>
      <c r="AU284" s="14">
        <v>0.92292472610223553</v>
      </c>
      <c r="AV284">
        <v>54</v>
      </c>
      <c r="AX284">
        <v>282</v>
      </c>
      <c r="AY284">
        <v>115.13181</v>
      </c>
      <c r="AZ284" s="14">
        <v>0.93131698973345334</v>
      </c>
      <c r="BA284">
        <v>31.891999999999999</v>
      </c>
      <c r="BB284" s="14">
        <v>0.92914578720428853</v>
      </c>
      <c r="BC284">
        <v>54</v>
      </c>
    </row>
    <row r="285" spans="15:55" x14ac:dyDescent="0.35">
      <c r="O285">
        <v>283</v>
      </c>
      <c r="P285">
        <v>115.12221700000001</v>
      </c>
      <c r="Q285" s="14">
        <v>0.93839542868068393</v>
      </c>
      <c r="R285">
        <v>31.815999999999999</v>
      </c>
      <c r="S285" s="14">
        <v>0.93758472328637943</v>
      </c>
      <c r="T285">
        <v>54</v>
      </c>
      <c r="V285">
        <v>283</v>
      </c>
      <c r="W285">
        <v>115.364006</v>
      </c>
      <c r="X285" s="14">
        <v>0.94119887194835983</v>
      </c>
      <c r="Y285">
        <v>31.838999999999999</v>
      </c>
      <c r="Z285" s="14">
        <v>0.93981344825550506</v>
      </c>
      <c r="AA285">
        <v>54</v>
      </c>
      <c r="AC285">
        <v>283</v>
      </c>
      <c r="AD285">
        <v>114.65771599999999</v>
      </c>
      <c r="AE285" s="14">
        <v>0.94433629531336549</v>
      </c>
      <c r="AF285">
        <v>31.643000000000001</v>
      </c>
      <c r="AG285" s="14">
        <v>0.94195219242104</v>
      </c>
      <c r="AH285">
        <v>54</v>
      </c>
      <c r="AJ285">
        <v>283</v>
      </c>
      <c r="AK285">
        <v>114.028149</v>
      </c>
      <c r="AL285" s="14">
        <v>0.92652643136884771</v>
      </c>
      <c r="AM285">
        <v>31.529</v>
      </c>
      <c r="AN285" s="14">
        <v>0.92227812554847011</v>
      </c>
      <c r="AO285">
        <v>54</v>
      </c>
      <c r="AQ285">
        <v>283</v>
      </c>
      <c r="AR285">
        <v>112.885941</v>
      </c>
      <c r="AS285" s="14">
        <v>0.92651124432283194</v>
      </c>
      <c r="AT285">
        <v>31.245999999999999</v>
      </c>
      <c r="AU285" s="14">
        <v>0.92271801080825677</v>
      </c>
      <c r="AV285">
        <v>54</v>
      </c>
      <c r="AX285">
        <v>283</v>
      </c>
      <c r="AY285">
        <v>115.081541</v>
      </c>
      <c r="AZ285" s="14">
        <v>0.9309103569031616</v>
      </c>
      <c r="BA285">
        <v>31.88</v>
      </c>
      <c r="BB285" s="14">
        <v>0.9287961776016781</v>
      </c>
      <c r="BC285">
        <v>54</v>
      </c>
    </row>
    <row r="286" spans="15:55" x14ac:dyDescent="0.35">
      <c r="O286">
        <v>284</v>
      </c>
      <c r="P286">
        <v>115.085005</v>
      </c>
      <c r="Q286" s="14">
        <v>0.93809210260165199</v>
      </c>
      <c r="R286">
        <v>31.806000000000001</v>
      </c>
      <c r="S286" s="14">
        <v>0.93729003359462493</v>
      </c>
      <c r="T286">
        <v>54</v>
      </c>
      <c r="V286">
        <v>284</v>
      </c>
      <c r="W286">
        <v>115.33941799999999</v>
      </c>
      <c r="X286" s="14">
        <v>0.94099827040316497</v>
      </c>
      <c r="Y286">
        <v>31.83</v>
      </c>
      <c r="Z286" s="14">
        <v>0.93954778912568626</v>
      </c>
      <c r="AA286">
        <v>54</v>
      </c>
      <c r="AC286">
        <v>284</v>
      </c>
      <c r="AD286">
        <v>114.654087</v>
      </c>
      <c r="AE286" s="14">
        <v>0.94430640638364294</v>
      </c>
      <c r="AF286">
        <v>31.64</v>
      </c>
      <c r="AG286" s="14">
        <v>0.94186288810168772</v>
      </c>
      <c r="AH286">
        <v>54</v>
      </c>
      <c r="AJ286">
        <v>284</v>
      </c>
      <c r="AK286">
        <v>114.018817</v>
      </c>
      <c r="AL286" s="14">
        <v>0.9264506049634087</v>
      </c>
      <c r="AM286">
        <v>31.524000000000001</v>
      </c>
      <c r="AN286" s="14">
        <v>0.9221318668460774</v>
      </c>
      <c r="AO286">
        <v>54</v>
      </c>
      <c r="AQ286">
        <v>284</v>
      </c>
      <c r="AR286">
        <v>112.833642</v>
      </c>
      <c r="AS286" s="14">
        <v>0.9260820003342749</v>
      </c>
      <c r="AT286">
        <v>31.233000000000001</v>
      </c>
      <c r="AU286" s="14">
        <v>0.92233411097658213</v>
      </c>
      <c r="AV286">
        <v>54</v>
      </c>
      <c r="AX286">
        <v>284</v>
      </c>
      <c r="AY286">
        <v>115.051141</v>
      </c>
      <c r="AZ286" s="14">
        <v>0.93066444713688679</v>
      </c>
      <c r="BA286">
        <v>31.870999999999999</v>
      </c>
      <c r="BB286" s="14">
        <v>0.9285339703997203</v>
      </c>
      <c r="BC286">
        <v>54</v>
      </c>
    </row>
    <row r="287" spans="15:55" x14ac:dyDescent="0.35">
      <c r="O287">
        <v>285</v>
      </c>
      <c r="P287">
        <v>115.06850300000001</v>
      </c>
      <c r="Q287" s="14">
        <v>0.93795758989187616</v>
      </c>
      <c r="R287">
        <v>31.8</v>
      </c>
      <c r="S287" s="14">
        <v>0.93711321977957218</v>
      </c>
      <c r="T287">
        <v>54</v>
      </c>
      <c r="V287">
        <v>285</v>
      </c>
      <c r="W287">
        <v>115.30381800000001</v>
      </c>
      <c r="X287" s="14">
        <v>0.94070782730047531</v>
      </c>
      <c r="Y287">
        <v>31.821999999999999</v>
      </c>
      <c r="Z287" s="14">
        <v>0.93931164767695852</v>
      </c>
      <c r="AA287">
        <v>54</v>
      </c>
      <c r="AC287">
        <v>285</v>
      </c>
      <c r="AD287">
        <v>114.58205599999999</v>
      </c>
      <c r="AE287" s="14">
        <v>0.94371314942666906</v>
      </c>
      <c r="AF287">
        <v>31.623000000000001</v>
      </c>
      <c r="AG287" s="14">
        <v>0.9413568302920251</v>
      </c>
      <c r="AH287">
        <v>54</v>
      </c>
      <c r="AJ287">
        <v>285</v>
      </c>
      <c r="AK287">
        <v>113.963219</v>
      </c>
      <c r="AL287" s="14">
        <v>0.92599884794566345</v>
      </c>
      <c r="AM287">
        <v>31.51</v>
      </c>
      <c r="AN287" s="14">
        <v>0.92172234247937757</v>
      </c>
      <c r="AO287">
        <v>54</v>
      </c>
      <c r="AQ287">
        <v>285</v>
      </c>
      <c r="AR287">
        <v>112.80384599999999</v>
      </c>
      <c r="AS287" s="14">
        <v>0.92583744969500759</v>
      </c>
      <c r="AT287">
        <v>31.225000000000001</v>
      </c>
      <c r="AU287" s="14">
        <v>0.92209786492632084</v>
      </c>
      <c r="AV287">
        <v>54</v>
      </c>
      <c r="AX287">
        <v>285</v>
      </c>
      <c r="AY287">
        <v>115.00541</v>
      </c>
      <c r="AZ287" s="14">
        <v>0.93029452281052116</v>
      </c>
      <c r="BA287">
        <v>31.86</v>
      </c>
      <c r="BB287" s="14">
        <v>0.92821349493066074</v>
      </c>
      <c r="BC287">
        <v>54</v>
      </c>
    </row>
    <row r="288" spans="15:55" x14ac:dyDescent="0.35">
      <c r="O288">
        <v>286</v>
      </c>
      <c r="P288">
        <v>115.044955</v>
      </c>
      <c r="Q288" s="14">
        <v>0.93776564314058508</v>
      </c>
      <c r="R288">
        <v>31.792999999999999</v>
      </c>
      <c r="S288" s="14">
        <v>0.936906936995344</v>
      </c>
      <c r="T288">
        <v>54</v>
      </c>
      <c r="V288">
        <v>286</v>
      </c>
      <c r="W288">
        <v>115.256725</v>
      </c>
      <c r="X288" s="14">
        <v>0.94032361839499856</v>
      </c>
      <c r="Y288">
        <v>31.811</v>
      </c>
      <c r="Z288" s="14">
        <v>0.93898695318495784</v>
      </c>
      <c r="AA288">
        <v>54</v>
      </c>
      <c r="AC288">
        <v>286</v>
      </c>
      <c r="AD288">
        <v>114.555916</v>
      </c>
      <c r="AE288" s="14">
        <v>0.94349785688796639</v>
      </c>
      <c r="AF288">
        <v>31.617000000000001</v>
      </c>
      <c r="AG288" s="14">
        <v>0.94117822165332055</v>
      </c>
      <c r="AH288">
        <v>54</v>
      </c>
      <c r="AJ288">
        <v>286</v>
      </c>
      <c r="AK288">
        <v>113.921691</v>
      </c>
      <c r="AL288" s="14">
        <v>0.92566141556620873</v>
      </c>
      <c r="AM288">
        <v>31.5</v>
      </c>
      <c r="AN288" s="14">
        <v>0.92142982507459192</v>
      </c>
      <c r="AO288">
        <v>54</v>
      </c>
      <c r="AQ288">
        <v>286</v>
      </c>
      <c r="AR288">
        <v>112.78319399999999</v>
      </c>
      <c r="AS288" s="14">
        <v>0.92566794842630884</v>
      </c>
      <c r="AT288">
        <v>31.216999999999999</v>
      </c>
      <c r="AU288" s="14">
        <v>0.92186161887605944</v>
      </c>
      <c r="AV288">
        <v>54</v>
      </c>
      <c r="AX288">
        <v>286</v>
      </c>
      <c r="AY288">
        <v>114.982533</v>
      </c>
      <c r="AZ288" s="14">
        <v>0.93010946762226232</v>
      </c>
      <c r="BA288">
        <v>31.852</v>
      </c>
      <c r="BB288" s="14">
        <v>0.92798042186225382</v>
      </c>
      <c r="BC288">
        <v>54</v>
      </c>
    </row>
    <row r="289" spans="15:55" x14ac:dyDescent="0.35">
      <c r="O289">
        <v>287</v>
      </c>
      <c r="P289">
        <v>115.022812</v>
      </c>
      <c r="Q289" s="14">
        <v>0.93758514896214795</v>
      </c>
      <c r="R289">
        <v>31.786999999999999</v>
      </c>
      <c r="S289" s="14">
        <v>0.93673012318029114</v>
      </c>
      <c r="T289">
        <v>54</v>
      </c>
      <c r="V289">
        <v>287</v>
      </c>
      <c r="W289">
        <v>115.22691399999999</v>
      </c>
      <c r="X289" s="14">
        <v>0.94008040493055234</v>
      </c>
      <c r="Y289">
        <v>31.803000000000001</v>
      </c>
      <c r="Z289" s="14">
        <v>0.93875081173622998</v>
      </c>
      <c r="AA289">
        <v>54</v>
      </c>
      <c r="AC289">
        <v>287</v>
      </c>
      <c r="AD289">
        <v>114.50914299999999</v>
      </c>
      <c r="AE289" s="14">
        <v>0.94311262819964425</v>
      </c>
      <c r="AF289">
        <v>31.603999999999999</v>
      </c>
      <c r="AG289" s="14">
        <v>0.94079123626946082</v>
      </c>
      <c r="AH289">
        <v>54</v>
      </c>
      <c r="AJ289">
        <v>287</v>
      </c>
      <c r="AK289">
        <v>113.892687</v>
      </c>
      <c r="AL289" s="14">
        <v>0.92542574592804405</v>
      </c>
      <c r="AM289">
        <v>31.492000000000001</v>
      </c>
      <c r="AN289" s="14">
        <v>0.92119581115076354</v>
      </c>
      <c r="AO289">
        <v>54</v>
      </c>
      <c r="AQ289">
        <v>287</v>
      </c>
      <c r="AR289">
        <v>112.763721</v>
      </c>
      <c r="AS289" s="14">
        <v>0.92550812379889402</v>
      </c>
      <c r="AT289">
        <v>31.21</v>
      </c>
      <c r="AU289" s="14">
        <v>0.9216549035820808</v>
      </c>
      <c r="AV289">
        <v>54</v>
      </c>
      <c r="AX289">
        <v>287</v>
      </c>
      <c r="AY289">
        <v>114.986375</v>
      </c>
      <c r="AZ289" s="14">
        <v>0.93014054608680263</v>
      </c>
      <c r="BA289">
        <v>31.852</v>
      </c>
      <c r="BB289" s="14">
        <v>0.92798042186225382</v>
      </c>
      <c r="BC289">
        <v>54</v>
      </c>
    </row>
    <row r="290" spans="15:55" x14ac:dyDescent="0.35">
      <c r="O290">
        <v>288</v>
      </c>
      <c r="P290">
        <v>115.000203</v>
      </c>
      <c r="Q290" s="14">
        <v>0.93740085627912006</v>
      </c>
      <c r="R290">
        <v>31.779</v>
      </c>
      <c r="S290" s="14">
        <v>0.93649437142688752</v>
      </c>
      <c r="T290">
        <v>54</v>
      </c>
      <c r="V290">
        <v>288</v>
      </c>
      <c r="W290">
        <v>115.225694</v>
      </c>
      <c r="X290" s="14">
        <v>0.94007045154332536</v>
      </c>
      <c r="Y290">
        <v>31.800999999999998</v>
      </c>
      <c r="Z290" s="14">
        <v>0.93869177637404799</v>
      </c>
      <c r="AA290">
        <v>54</v>
      </c>
      <c r="AC290">
        <v>288</v>
      </c>
      <c r="AD290">
        <v>114.506192</v>
      </c>
      <c r="AE290" s="14">
        <v>0.94308832336866832</v>
      </c>
      <c r="AF290">
        <v>31.602</v>
      </c>
      <c r="AG290" s="14">
        <v>0.94073170005655926</v>
      </c>
      <c r="AH290">
        <v>54</v>
      </c>
      <c r="AJ290">
        <v>288</v>
      </c>
      <c r="AK290">
        <v>113.87186800000001</v>
      </c>
      <c r="AL290" s="14">
        <v>0.92525658284029921</v>
      </c>
      <c r="AM290">
        <v>31.484000000000002</v>
      </c>
      <c r="AN290" s="14">
        <v>0.92096179722693505</v>
      </c>
      <c r="AO290">
        <v>54</v>
      </c>
      <c r="AQ290">
        <v>288</v>
      </c>
      <c r="AR290">
        <v>112.70406699999999</v>
      </c>
      <c r="AS290" s="14">
        <v>0.92501851365542331</v>
      </c>
      <c r="AT290">
        <v>31.196999999999999</v>
      </c>
      <c r="AU290" s="14">
        <v>0.92127100375040605</v>
      </c>
      <c r="AV290">
        <v>54</v>
      </c>
      <c r="AX290">
        <v>288</v>
      </c>
      <c r="AY290">
        <v>114.994685</v>
      </c>
      <c r="AZ290" s="14">
        <v>0.93020776681567596</v>
      </c>
      <c r="BA290">
        <v>31.850999999999999</v>
      </c>
      <c r="BB290" s="14">
        <v>0.92795128772870294</v>
      </c>
      <c r="BC290">
        <v>54</v>
      </c>
    </row>
    <row r="291" spans="15:55" x14ac:dyDescent="0.35">
      <c r="O291">
        <v>289</v>
      </c>
      <c r="P291">
        <v>114.948537</v>
      </c>
      <c r="Q291" s="14">
        <v>0.93697971134739755</v>
      </c>
      <c r="R291">
        <v>31.766999999999999</v>
      </c>
      <c r="S291" s="14">
        <v>0.93614074379678203</v>
      </c>
      <c r="T291">
        <v>54</v>
      </c>
      <c r="V291">
        <v>289</v>
      </c>
      <c r="W291">
        <v>115.243621</v>
      </c>
      <c r="X291" s="14">
        <v>0.94021670922596357</v>
      </c>
      <c r="Y291">
        <v>31.803000000000001</v>
      </c>
      <c r="Z291" s="14">
        <v>0.93875081173622998</v>
      </c>
      <c r="AA291">
        <v>54</v>
      </c>
      <c r="AC291">
        <v>289</v>
      </c>
      <c r="AD291">
        <v>114.521368</v>
      </c>
      <c r="AE291" s="14">
        <v>0.94321331493589677</v>
      </c>
      <c r="AF291">
        <v>31.603999999999999</v>
      </c>
      <c r="AG291" s="14">
        <v>0.94079123626946082</v>
      </c>
      <c r="AH291">
        <v>54</v>
      </c>
      <c r="AJ291">
        <v>289</v>
      </c>
      <c r="AK291">
        <v>113.800676</v>
      </c>
      <c r="AL291" s="14">
        <v>0.92467811804646993</v>
      </c>
      <c r="AM291">
        <v>31.469000000000001</v>
      </c>
      <c r="AN291" s="14">
        <v>0.9205230211197567</v>
      </c>
      <c r="AO291">
        <v>54</v>
      </c>
      <c r="AQ291">
        <v>289</v>
      </c>
      <c r="AR291">
        <v>112.674781</v>
      </c>
      <c r="AS291" s="14">
        <v>0.92477814884062992</v>
      </c>
      <c r="AT291">
        <v>31.187999999999999</v>
      </c>
      <c r="AU291" s="14">
        <v>0.921005226943862</v>
      </c>
      <c r="AV291">
        <v>54</v>
      </c>
      <c r="AX291">
        <v>289</v>
      </c>
      <c r="AY291">
        <v>114.95199100000001</v>
      </c>
      <c r="AZ291" s="14">
        <v>0.9298624091985267</v>
      </c>
      <c r="BA291">
        <v>31.84</v>
      </c>
      <c r="BB291" s="14">
        <v>0.9276308122596435</v>
      </c>
      <c r="BC291">
        <v>54</v>
      </c>
    </row>
    <row r="292" spans="15:55" x14ac:dyDescent="0.35">
      <c r="O292">
        <v>290</v>
      </c>
      <c r="P292">
        <v>114.92710700000001</v>
      </c>
      <c r="Q292" s="14">
        <v>0.93680502904401008</v>
      </c>
      <c r="R292">
        <v>31.76</v>
      </c>
      <c r="S292" s="14">
        <v>0.93593446101255384</v>
      </c>
      <c r="T292">
        <v>54</v>
      </c>
      <c r="V292">
        <v>290</v>
      </c>
      <c r="W292">
        <v>115.212216</v>
      </c>
      <c r="X292" s="14">
        <v>0.93996049109000923</v>
      </c>
      <c r="Y292">
        <v>31.792999999999999</v>
      </c>
      <c r="Z292" s="14">
        <v>0.93845563492532025</v>
      </c>
      <c r="AA292">
        <v>54</v>
      </c>
      <c r="AC292">
        <v>290</v>
      </c>
      <c r="AD292">
        <v>114.51231199999999</v>
      </c>
      <c r="AE292" s="14">
        <v>0.94313872850779845</v>
      </c>
      <c r="AF292">
        <v>31.599</v>
      </c>
      <c r="AG292" s="14">
        <v>0.94064239573720709</v>
      </c>
      <c r="AH292">
        <v>54</v>
      </c>
      <c r="AJ292">
        <v>290</v>
      </c>
      <c r="AK292">
        <v>113.786537</v>
      </c>
      <c r="AL292" s="14">
        <v>0.92456323275430297</v>
      </c>
      <c r="AM292">
        <v>31.462</v>
      </c>
      <c r="AN292" s="14">
        <v>0.92031825893640673</v>
      </c>
      <c r="AO292">
        <v>54</v>
      </c>
      <c r="AQ292">
        <v>290</v>
      </c>
      <c r="AR292">
        <v>112.63406000000001</v>
      </c>
      <c r="AS292" s="14">
        <v>0.92444393127513114</v>
      </c>
      <c r="AT292">
        <v>31.178000000000001</v>
      </c>
      <c r="AU292" s="14">
        <v>0.92070991938103541</v>
      </c>
      <c r="AV292">
        <v>54</v>
      </c>
      <c r="AX292">
        <v>290</v>
      </c>
      <c r="AY292">
        <v>114.933537</v>
      </c>
      <c r="AZ292" s="14">
        <v>0.92971313226343333</v>
      </c>
      <c r="BA292">
        <v>31.834</v>
      </c>
      <c r="BB292" s="14">
        <v>0.92745600745833823</v>
      </c>
      <c r="BC292">
        <v>54</v>
      </c>
    </row>
    <row r="293" spans="15:55" x14ac:dyDescent="0.35">
      <c r="O293">
        <v>291</v>
      </c>
      <c r="P293">
        <v>114.875236</v>
      </c>
      <c r="Q293" s="14">
        <v>0.93638221309631953</v>
      </c>
      <c r="R293">
        <v>31.747</v>
      </c>
      <c r="S293" s="14">
        <v>0.93555136441327291</v>
      </c>
      <c r="T293">
        <v>54</v>
      </c>
      <c r="V293">
        <v>291</v>
      </c>
      <c r="W293">
        <v>115.198272</v>
      </c>
      <c r="X293" s="14">
        <v>0.93984672876911302</v>
      </c>
      <c r="Y293">
        <v>31.79</v>
      </c>
      <c r="Z293" s="14">
        <v>0.93836708188204732</v>
      </c>
      <c r="AA293">
        <v>54</v>
      </c>
      <c r="AC293">
        <v>291</v>
      </c>
      <c r="AD293">
        <v>114.484292</v>
      </c>
      <c r="AE293" s="14">
        <v>0.94290795203746758</v>
      </c>
      <c r="AF293">
        <v>31.591000000000001</v>
      </c>
      <c r="AG293" s="14">
        <v>0.94040425088560109</v>
      </c>
      <c r="AH293">
        <v>54</v>
      </c>
      <c r="AJ293">
        <v>291</v>
      </c>
      <c r="AK293">
        <v>113.743278</v>
      </c>
      <c r="AL293" s="14">
        <v>0.92421173527542544</v>
      </c>
      <c r="AM293">
        <v>31.451000000000001</v>
      </c>
      <c r="AN293" s="14">
        <v>0.91999648979114257</v>
      </c>
      <c r="AO293">
        <v>54</v>
      </c>
      <c r="AQ293">
        <v>291</v>
      </c>
      <c r="AR293">
        <v>112.62513800000001</v>
      </c>
      <c r="AS293" s="14">
        <v>0.92437070396933363</v>
      </c>
      <c r="AT293">
        <v>31.173999999999999</v>
      </c>
      <c r="AU293" s="14">
        <v>0.92059179635590471</v>
      </c>
      <c r="AV293">
        <v>54</v>
      </c>
      <c r="AX293">
        <v>291</v>
      </c>
      <c r="AY293">
        <v>114.909069</v>
      </c>
      <c r="AZ293" s="14">
        <v>0.9295152072581303</v>
      </c>
      <c r="BA293">
        <v>31.826000000000001</v>
      </c>
      <c r="BB293" s="14">
        <v>0.92722293438993131</v>
      </c>
      <c r="BC293">
        <v>54</v>
      </c>
    </row>
    <row r="294" spans="15:55" x14ac:dyDescent="0.35">
      <c r="O294">
        <v>292</v>
      </c>
      <c r="P294">
        <v>115.081692</v>
      </c>
      <c r="Q294" s="14">
        <v>0.93806509735334953</v>
      </c>
      <c r="R294">
        <v>31.82</v>
      </c>
      <c r="S294" s="14">
        <v>0.93770259916308141</v>
      </c>
      <c r="T294">
        <v>54</v>
      </c>
      <c r="V294">
        <v>292</v>
      </c>
      <c r="W294">
        <v>115.180858</v>
      </c>
      <c r="X294" s="14">
        <v>0.93970465640421863</v>
      </c>
      <c r="Y294">
        <v>31.783999999999999</v>
      </c>
      <c r="Z294" s="14">
        <v>0.93818997579550145</v>
      </c>
      <c r="AA294">
        <v>54</v>
      </c>
      <c r="AC294">
        <v>292</v>
      </c>
      <c r="AD294">
        <v>114.478133</v>
      </c>
      <c r="AE294" s="14">
        <v>0.94285722568911756</v>
      </c>
      <c r="AF294">
        <v>31.588999999999999</v>
      </c>
      <c r="AG294" s="14">
        <v>0.94034471467269953</v>
      </c>
      <c r="AH294">
        <v>54</v>
      </c>
      <c r="AJ294">
        <v>292</v>
      </c>
      <c r="AK294">
        <v>113.727852</v>
      </c>
      <c r="AL294" s="14">
        <v>0.92408639256964931</v>
      </c>
      <c r="AM294">
        <v>31.445</v>
      </c>
      <c r="AN294" s="14">
        <v>0.91982097934827123</v>
      </c>
      <c r="AO294">
        <v>54</v>
      </c>
      <c r="AQ294">
        <v>292</v>
      </c>
      <c r="AR294">
        <v>112.636336</v>
      </c>
      <c r="AS294" s="14">
        <v>0.92446261154278353</v>
      </c>
      <c r="AT294">
        <v>31.172999999999998</v>
      </c>
      <c r="AU294" s="14">
        <v>0.92056226559962195</v>
      </c>
      <c r="AV294">
        <v>54</v>
      </c>
      <c r="AX294">
        <v>292</v>
      </c>
      <c r="AY294">
        <v>114.879805</v>
      </c>
      <c r="AZ294" s="14">
        <v>0.92927848675154268</v>
      </c>
      <c r="BA294">
        <v>31.818999999999999</v>
      </c>
      <c r="BB294" s="14">
        <v>0.92701899545507516</v>
      </c>
      <c r="BC294">
        <v>54</v>
      </c>
    </row>
    <row r="295" spans="15:55" x14ac:dyDescent="0.35">
      <c r="O295">
        <v>293</v>
      </c>
      <c r="P295">
        <v>115.12922500000001</v>
      </c>
      <c r="Q295" s="14">
        <v>0.93845255297289765</v>
      </c>
      <c r="R295">
        <v>31.818999999999999</v>
      </c>
      <c r="S295" s="14">
        <v>0.93767313019390586</v>
      </c>
      <c r="T295">
        <v>54</v>
      </c>
      <c r="V295">
        <v>293</v>
      </c>
      <c r="W295">
        <v>115.157524</v>
      </c>
      <c r="X295" s="14">
        <v>0.93951428563573092</v>
      </c>
      <c r="Y295">
        <v>31.777000000000001</v>
      </c>
      <c r="Z295" s="14">
        <v>0.93798335202786476</v>
      </c>
      <c r="AA295">
        <v>54</v>
      </c>
      <c r="AC295">
        <v>293</v>
      </c>
      <c r="AD295">
        <v>114.45032399999999</v>
      </c>
      <c r="AE295" s="14">
        <v>0.94262818704302787</v>
      </c>
      <c r="AF295">
        <v>31.581</v>
      </c>
      <c r="AG295" s="14">
        <v>0.94010656982109353</v>
      </c>
      <c r="AH295">
        <v>54</v>
      </c>
      <c r="AJ295">
        <v>293</v>
      </c>
      <c r="AK295">
        <v>113.734938</v>
      </c>
      <c r="AL295" s="14">
        <v>0.92414396928513809</v>
      </c>
      <c r="AM295">
        <v>31.445</v>
      </c>
      <c r="AN295" s="14">
        <v>0.91982097934827123</v>
      </c>
      <c r="AO295">
        <v>54</v>
      </c>
      <c r="AQ295">
        <v>293</v>
      </c>
      <c r="AR295">
        <v>112.612188</v>
      </c>
      <c r="AS295" s="14">
        <v>0.92426441685769067</v>
      </c>
      <c r="AT295">
        <v>31.166</v>
      </c>
      <c r="AU295" s="14">
        <v>0.92035555030564331</v>
      </c>
      <c r="AV295">
        <v>54</v>
      </c>
      <c r="AX295">
        <v>293</v>
      </c>
      <c r="AY295">
        <v>114.857041</v>
      </c>
      <c r="AZ295" s="14">
        <v>0.9290943456357702</v>
      </c>
      <c r="BA295">
        <v>31.812000000000001</v>
      </c>
      <c r="BB295" s="14">
        <v>0.92681505652021923</v>
      </c>
      <c r="BC295">
        <v>54</v>
      </c>
    </row>
    <row r="296" spans="15:55" x14ac:dyDescent="0.35">
      <c r="O296">
        <v>294</v>
      </c>
      <c r="P296">
        <v>115.054728</v>
      </c>
      <c r="Q296" s="14">
        <v>0.93784530577012326</v>
      </c>
      <c r="R296">
        <v>31.797000000000001</v>
      </c>
      <c r="S296" s="14">
        <v>0.93702481287204586</v>
      </c>
      <c r="T296">
        <v>54</v>
      </c>
      <c r="V296">
        <v>294</v>
      </c>
      <c r="W296">
        <v>115.13872000000001</v>
      </c>
      <c r="X296" s="14">
        <v>0.93936087293620907</v>
      </c>
      <c r="Y296">
        <v>31.771999999999998</v>
      </c>
      <c r="Z296" s="14">
        <v>0.93783576362240972</v>
      </c>
      <c r="AA296">
        <v>54</v>
      </c>
      <c r="AC296">
        <v>294</v>
      </c>
      <c r="AD296">
        <v>114.426213</v>
      </c>
      <c r="AE296" s="14">
        <v>0.9424296056198963</v>
      </c>
      <c r="AF296">
        <v>31.574000000000002</v>
      </c>
      <c r="AG296" s="14">
        <v>0.93989819307593836</v>
      </c>
      <c r="AH296">
        <v>54</v>
      </c>
      <c r="AJ296">
        <v>294</v>
      </c>
      <c r="AK296">
        <v>113.735837</v>
      </c>
      <c r="AL296" s="14">
        <v>0.92415127403636932</v>
      </c>
      <c r="AM296">
        <v>31.442</v>
      </c>
      <c r="AN296" s="14">
        <v>0.91973322412683556</v>
      </c>
      <c r="AO296">
        <v>54</v>
      </c>
      <c r="AQ296">
        <v>294</v>
      </c>
      <c r="AR296">
        <v>112.572661</v>
      </c>
      <c r="AS296" s="14">
        <v>0.92393999904596025</v>
      </c>
      <c r="AT296">
        <v>31.155999999999999</v>
      </c>
      <c r="AU296" s="14">
        <v>0.92006024274281661</v>
      </c>
      <c r="AV296">
        <v>54</v>
      </c>
      <c r="AX296">
        <v>294</v>
      </c>
      <c r="AY296">
        <v>114.805522</v>
      </c>
      <c r="AZ296" s="14">
        <v>0.92867760138416777</v>
      </c>
      <c r="BA296">
        <v>31.797999999999998</v>
      </c>
      <c r="BB296" s="14">
        <v>0.92640717865050692</v>
      </c>
      <c r="BC296">
        <v>54</v>
      </c>
    </row>
    <row r="297" spans="15:55" x14ac:dyDescent="0.35">
      <c r="O297">
        <v>295</v>
      </c>
      <c r="P297">
        <v>114.992158</v>
      </c>
      <c r="Q297" s="14">
        <v>0.9373352790914975</v>
      </c>
      <c r="R297">
        <v>31.78</v>
      </c>
      <c r="S297" s="14">
        <v>0.93652384039606307</v>
      </c>
      <c r="T297">
        <v>54</v>
      </c>
      <c r="V297">
        <v>295</v>
      </c>
      <c r="W297">
        <v>115.09996099999999</v>
      </c>
      <c r="X297" s="14">
        <v>0.93904465708741258</v>
      </c>
      <c r="Y297">
        <v>31.762</v>
      </c>
      <c r="Z297" s="14">
        <v>0.9375405868115001</v>
      </c>
      <c r="AA297">
        <v>54</v>
      </c>
      <c r="AC297">
        <v>295</v>
      </c>
      <c r="AD297">
        <v>114.403058</v>
      </c>
      <c r="AE297" s="14">
        <v>0.94223889794072035</v>
      </c>
      <c r="AF297">
        <v>31.567</v>
      </c>
      <c r="AG297" s="14">
        <v>0.93968981633078308</v>
      </c>
      <c r="AH297">
        <v>54</v>
      </c>
      <c r="AJ297">
        <v>295</v>
      </c>
      <c r="AK297">
        <v>113.683172</v>
      </c>
      <c r="AL297" s="14">
        <v>0.92372334887108365</v>
      </c>
      <c r="AM297">
        <v>31.428000000000001</v>
      </c>
      <c r="AN297" s="14">
        <v>0.91932369976013573</v>
      </c>
      <c r="AO297">
        <v>54</v>
      </c>
      <c r="AQ297">
        <v>295</v>
      </c>
      <c r="AR297">
        <v>112.552499</v>
      </c>
      <c r="AS297" s="14">
        <v>0.92377451945175604</v>
      </c>
      <c r="AT297">
        <v>31.149000000000001</v>
      </c>
      <c r="AU297" s="14">
        <v>0.91985352744883797</v>
      </c>
      <c r="AV297">
        <v>54</v>
      </c>
      <c r="AX297">
        <v>295</v>
      </c>
      <c r="AY297">
        <v>114.774281</v>
      </c>
      <c r="AZ297" s="14">
        <v>0.92842488865363526</v>
      </c>
      <c r="BA297">
        <v>31.79</v>
      </c>
      <c r="BB297" s="14">
        <v>0.9261741055821</v>
      </c>
      <c r="BC297">
        <v>54</v>
      </c>
    </row>
    <row r="298" spans="15:55" x14ac:dyDescent="0.35">
      <c r="O298">
        <v>296</v>
      </c>
      <c r="P298">
        <v>114.964067</v>
      </c>
      <c r="Q298" s="14">
        <v>0.93710630099609593</v>
      </c>
      <c r="R298">
        <v>31.768999999999998</v>
      </c>
      <c r="S298" s="14">
        <v>0.9361996817351329</v>
      </c>
      <c r="T298">
        <v>54</v>
      </c>
      <c r="V298">
        <v>296</v>
      </c>
      <c r="W298">
        <v>115.07190900000001</v>
      </c>
      <c r="X298" s="14">
        <v>0.93881579444930441</v>
      </c>
      <c r="Y298">
        <v>31.754999999999999</v>
      </c>
      <c r="Z298" s="14">
        <v>0.93733396304386329</v>
      </c>
      <c r="AA298">
        <v>54</v>
      </c>
      <c r="AC298">
        <v>296</v>
      </c>
      <c r="AD298">
        <v>114.354361</v>
      </c>
      <c r="AE298" s="14">
        <v>0.94183782293088081</v>
      </c>
      <c r="AF298">
        <v>31.556000000000001</v>
      </c>
      <c r="AG298" s="14">
        <v>0.93936236715982491</v>
      </c>
      <c r="AH298">
        <v>54</v>
      </c>
      <c r="AJ298">
        <v>296</v>
      </c>
      <c r="AK298">
        <v>113.66309699999999</v>
      </c>
      <c r="AL298" s="14">
        <v>0.92356023109470253</v>
      </c>
      <c r="AM298">
        <v>31.422999999999998</v>
      </c>
      <c r="AN298" s="14">
        <v>0.91917744105774291</v>
      </c>
      <c r="AO298">
        <v>54</v>
      </c>
      <c r="AQ298">
        <v>296</v>
      </c>
      <c r="AR298">
        <v>112.51774</v>
      </c>
      <c r="AS298" s="14">
        <v>0.92348923499510782</v>
      </c>
      <c r="AT298">
        <v>31.138999999999999</v>
      </c>
      <c r="AU298" s="14">
        <v>0.91955821988601127</v>
      </c>
      <c r="AV298">
        <v>54</v>
      </c>
      <c r="AX298">
        <v>296</v>
      </c>
      <c r="AY298">
        <v>114.718842</v>
      </c>
      <c r="AZ298" s="14">
        <v>0.92797643498480265</v>
      </c>
      <c r="BA298">
        <v>31.777000000000001</v>
      </c>
      <c r="BB298" s="14">
        <v>0.9257953618459388</v>
      </c>
      <c r="BC298">
        <v>54</v>
      </c>
    </row>
    <row r="299" spans="15:55" x14ac:dyDescent="0.35">
      <c r="O299">
        <v>297</v>
      </c>
      <c r="P299">
        <v>114.965384</v>
      </c>
      <c r="Q299" s="14">
        <v>0.93711703625477816</v>
      </c>
      <c r="R299">
        <v>31.766999999999999</v>
      </c>
      <c r="S299" s="14">
        <v>0.93614074379678203</v>
      </c>
      <c r="T299">
        <v>54</v>
      </c>
      <c r="V299">
        <v>297</v>
      </c>
      <c r="W299">
        <v>115.02819599999999</v>
      </c>
      <c r="X299" s="14">
        <v>0.93845916132155494</v>
      </c>
      <c r="Y299">
        <v>31.742000000000001</v>
      </c>
      <c r="Z299" s="14">
        <v>0.93695023318968063</v>
      </c>
      <c r="AA299">
        <v>54</v>
      </c>
      <c r="AC299">
        <v>297</v>
      </c>
      <c r="AD299">
        <v>114.336234</v>
      </c>
      <c r="AE299" s="14">
        <v>0.94168852653267643</v>
      </c>
      <c r="AF299">
        <v>31.55</v>
      </c>
      <c r="AG299" s="14">
        <v>0.93918375852112035</v>
      </c>
      <c r="AH299">
        <v>54</v>
      </c>
      <c r="AJ299">
        <v>297</v>
      </c>
      <c r="AK299">
        <v>113.625332</v>
      </c>
      <c r="AL299" s="14">
        <v>0.92325337466506219</v>
      </c>
      <c r="AM299">
        <v>31.413</v>
      </c>
      <c r="AN299" s="14">
        <v>0.91888492365295737</v>
      </c>
      <c r="AO299">
        <v>54</v>
      </c>
      <c r="AQ299">
        <v>297</v>
      </c>
      <c r="AR299">
        <v>112.49331599999999</v>
      </c>
      <c r="AS299" s="14">
        <v>0.92328877504029949</v>
      </c>
      <c r="AT299">
        <v>31.132000000000001</v>
      </c>
      <c r="AU299" s="14">
        <v>0.91935150459203263</v>
      </c>
      <c r="AV299">
        <v>54</v>
      </c>
      <c r="AX299">
        <v>297</v>
      </c>
      <c r="AY299">
        <v>114.953357</v>
      </c>
      <c r="AZ299" s="14">
        <v>0.92987345895973483</v>
      </c>
      <c r="BA299">
        <v>31.847999999999999</v>
      </c>
      <c r="BB299" s="14">
        <v>0.92786388532805042</v>
      </c>
      <c r="BC299">
        <v>54</v>
      </c>
    </row>
    <row r="300" spans="15:55" x14ac:dyDescent="0.35">
      <c r="O300">
        <v>298</v>
      </c>
      <c r="P300">
        <v>114.95720900000001</v>
      </c>
      <c r="Q300" s="14">
        <v>0.93705039939849299</v>
      </c>
      <c r="R300">
        <v>31.762</v>
      </c>
      <c r="S300" s="14">
        <v>0.93599339895090483</v>
      </c>
      <c r="T300">
        <v>54</v>
      </c>
      <c r="V300">
        <v>298</v>
      </c>
      <c r="W300">
        <v>115.263587</v>
      </c>
      <c r="X300" s="14">
        <v>0.94037960211889349</v>
      </c>
      <c r="Y300">
        <v>31.823</v>
      </c>
      <c r="Z300" s="14">
        <v>0.93934116535804946</v>
      </c>
      <c r="AA300">
        <v>54</v>
      </c>
      <c r="AC300">
        <v>298</v>
      </c>
      <c r="AD300">
        <v>114.279188</v>
      </c>
      <c r="AE300" s="14">
        <v>0.94121868804136677</v>
      </c>
      <c r="AF300">
        <v>31.535</v>
      </c>
      <c r="AG300" s="14">
        <v>0.93873723692435918</v>
      </c>
      <c r="AH300">
        <v>54</v>
      </c>
      <c r="AJ300">
        <v>298</v>
      </c>
      <c r="AK300">
        <v>113.58716800000001</v>
      </c>
      <c r="AL300" s="14">
        <v>0.92294327619344041</v>
      </c>
      <c r="AM300">
        <v>31.402000000000001</v>
      </c>
      <c r="AN300" s="14">
        <v>0.91856315450769321</v>
      </c>
      <c r="AO300">
        <v>54</v>
      </c>
      <c r="AQ300">
        <v>298</v>
      </c>
      <c r="AR300">
        <v>112.46614599999999</v>
      </c>
      <c r="AS300" s="14">
        <v>0.92306577729332362</v>
      </c>
      <c r="AT300">
        <v>31.125</v>
      </c>
      <c r="AU300" s="14">
        <v>0.91914478929805399</v>
      </c>
      <c r="AV300">
        <v>54</v>
      </c>
      <c r="AX300">
        <v>298</v>
      </c>
      <c r="AY300">
        <v>114.996308</v>
      </c>
      <c r="AZ300" s="14">
        <v>0.93022089548510556</v>
      </c>
      <c r="BA300">
        <v>31.846</v>
      </c>
      <c r="BB300" s="14">
        <v>0.92780561706094866</v>
      </c>
      <c r="BC300">
        <v>54</v>
      </c>
    </row>
    <row r="301" spans="15:55" x14ac:dyDescent="0.35">
      <c r="O301">
        <v>299</v>
      </c>
      <c r="P301">
        <v>114.912361</v>
      </c>
      <c r="Q301" s="14">
        <v>0.93668483001247715</v>
      </c>
      <c r="R301">
        <v>31.748999999999999</v>
      </c>
      <c r="S301" s="14">
        <v>0.93561030235162379</v>
      </c>
      <c r="T301">
        <v>54</v>
      </c>
      <c r="V301">
        <v>299</v>
      </c>
      <c r="W301">
        <v>115.298644</v>
      </c>
      <c r="X301" s="14">
        <v>0.94066561514841573</v>
      </c>
      <c r="Y301">
        <v>31.818999999999999</v>
      </c>
      <c r="Z301" s="14">
        <v>0.93922309463368558</v>
      </c>
      <c r="AA301">
        <v>54</v>
      </c>
      <c r="AC301">
        <v>299</v>
      </c>
      <c r="AD301">
        <v>114.641201</v>
      </c>
      <c r="AE301" s="14">
        <v>0.94420027556291897</v>
      </c>
      <c r="AF301">
        <v>31.646999999999998</v>
      </c>
      <c r="AG301" s="14">
        <v>0.94207126484684289</v>
      </c>
      <c r="AH301">
        <v>54</v>
      </c>
      <c r="AJ301">
        <v>299</v>
      </c>
      <c r="AK301">
        <v>113.56134400000001</v>
      </c>
      <c r="AL301" s="14">
        <v>0.92273344538610469</v>
      </c>
      <c r="AM301">
        <v>31.393999999999998</v>
      </c>
      <c r="AN301" s="14">
        <v>0.91832914058386472</v>
      </c>
      <c r="AO301">
        <v>54</v>
      </c>
      <c r="AQ301">
        <v>299</v>
      </c>
      <c r="AR301">
        <v>112.412238</v>
      </c>
      <c r="AS301" s="14">
        <v>0.92262332743892639</v>
      </c>
      <c r="AT301">
        <v>31.111000000000001</v>
      </c>
      <c r="AU301" s="14">
        <v>0.91873135871009659</v>
      </c>
      <c r="AV301">
        <v>54</v>
      </c>
      <c r="AX301">
        <v>299</v>
      </c>
      <c r="AY301">
        <v>114.93636600000001</v>
      </c>
      <c r="AZ301" s="14">
        <v>0.92973601643214365</v>
      </c>
      <c r="BA301">
        <v>31.829000000000001</v>
      </c>
      <c r="BB301" s="14">
        <v>0.92731033679058394</v>
      </c>
      <c r="BC301">
        <v>54</v>
      </c>
    </row>
    <row r="302" spans="15:55" x14ac:dyDescent="0.35">
      <c r="O302">
        <v>300</v>
      </c>
      <c r="P302">
        <v>114.867639</v>
      </c>
      <c r="Q302" s="14">
        <v>0.93632028768993425</v>
      </c>
      <c r="R302">
        <v>31.736000000000001</v>
      </c>
      <c r="S302" s="14">
        <v>0.93522720575234286</v>
      </c>
      <c r="T302">
        <v>54</v>
      </c>
      <c r="V302">
        <v>300</v>
      </c>
      <c r="W302">
        <v>115.239029</v>
      </c>
      <c r="X302" s="14">
        <v>0.94017924532912223</v>
      </c>
      <c r="Y302">
        <v>31.802</v>
      </c>
      <c r="Z302" s="14">
        <v>0.93872129405513904</v>
      </c>
      <c r="AA302">
        <v>54</v>
      </c>
      <c r="AC302">
        <v>300</v>
      </c>
      <c r="AD302">
        <v>114.637062</v>
      </c>
      <c r="AE302" s="14">
        <v>0.94416618620493542</v>
      </c>
      <c r="AF302">
        <v>31.634</v>
      </c>
      <c r="AG302" s="14">
        <v>0.94168427946298328</v>
      </c>
      <c r="AH302">
        <v>54</v>
      </c>
      <c r="AJ302">
        <v>300</v>
      </c>
      <c r="AK302">
        <v>113.51039</v>
      </c>
      <c r="AL302" s="14">
        <v>0.92231942281187196</v>
      </c>
      <c r="AM302">
        <v>31.381</v>
      </c>
      <c r="AN302" s="14">
        <v>0.91794886795764352</v>
      </c>
      <c r="AO302">
        <v>54</v>
      </c>
      <c r="AQ302">
        <v>300</v>
      </c>
      <c r="AR302">
        <v>112.391108</v>
      </c>
      <c r="AS302" s="14">
        <v>0.92244990298572072</v>
      </c>
      <c r="AT302">
        <v>31.103999999999999</v>
      </c>
      <c r="AU302" s="14">
        <v>0.91852464341611784</v>
      </c>
      <c r="AV302">
        <v>54</v>
      </c>
      <c r="AX302">
        <v>300</v>
      </c>
      <c r="AY302">
        <v>114.86975099999999</v>
      </c>
      <c r="AZ302" s="14">
        <v>0.92919715856765683</v>
      </c>
      <c r="BA302">
        <v>31.81</v>
      </c>
      <c r="BB302" s="14">
        <v>0.92675678825311736</v>
      </c>
      <c r="BC302">
        <v>54</v>
      </c>
    </row>
    <row r="303" spans="15:55" x14ac:dyDescent="0.35">
      <c r="O303">
        <v>301</v>
      </c>
      <c r="P303">
        <v>114.62059000000001</v>
      </c>
      <c r="Q303" s="14">
        <v>0.93430651781734642</v>
      </c>
      <c r="R303">
        <v>31.68</v>
      </c>
      <c r="S303" s="14">
        <v>0.93357694347851716</v>
      </c>
      <c r="T303">
        <v>26</v>
      </c>
      <c r="V303">
        <v>301</v>
      </c>
      <c r="W303">
        <v>115.028531</v>
      </c>
      <c r="X303" s="14">
        <v>0.93846189442378536</v>
      </c>
      <c r="Y303">
        <v>31.744</v>
      </c>
      <c r="Z303" s="14">
        <v>0.93700926855186251</v>
      </c>
      <c r="AA303">
        <v>26</v>
      </c>
      <c r="AC303">
        <v>301</v>
      </c>
      <c r="AD303">
        <v>114.395552</v>
      </c>
      <c r="AE303" s="14">
        <v>0.94217707752008129</v>
      </c>
      <c r="AF303">
        <v>31.565999999999999</v>
      </c>
      <c r="AG303" s="14">
        <v>0.93966004822433236</v>
      </c>
      <c r="AH303">
        <v>26</v>
      </c>
      <c r="AJ303">
        <v>301</v>
      </c>
      <c r="AK303">
        <v>113.654999</v>
      </c>
      <c r="AL303" s="14">
        <v>0.92349443145569221</v>
      </c>
      <c r="AM303">
        <v>31.422000000000001</v>
      </c>
      <c r="AN303" s="14">
        <v>0.91914818931726439</v>
      </c>
      <c r="AO303">
        <v>26</v>
      </c>
      <c r="AQ303">
        <v>301</v>
      </c>
      <c r="AR303">
        <v>112.50657200000001</v>
      </c>
      <c r="AS303" s="14">
        <v>0.92339757364662689</v>
      </c>
      <c r="AT303">
        <v>31.135000000000002</v>
      </c>
      <c r="AU303" s="14">
        <v>0.91944009686088068</v>
      </c>
      <c r="AV303">
        <v>26</v>
      </c>
      <c r="AX303">
        <v>301</v>
      </c>
      <c r="AY303">
        <v>114.70265000000001</v>
      </c>
      <c r="AZ303" s="14">
        <v>0.92784545567771315</v>
      </c>
      <c r="BA303">
        <v>31.762</v>
      </c>
      <c r="BB303" s="14">
        <v>0.92535834984267573</v>
      </c>
      <c r="BC303">
        <v>26</v>
      </c>
    </row>
    <row r="304" spans="15:55" x14ac:dyDescent="0.35">
      <c r="O304">
        <v>302</v>
      </c>
      <c r="P304">
        <v>114.68731200000001</v>
      </c>
      <c r="Q304" s="14">
        <v>0.93485038868279746</v>
      </c>
      <c r="R304">
        <v>31.686</v>
      </c>
      <c r="S304" s="14">
        <v>0.93375375729356991</v>
      </c>
      <c r="T304">
        <v>26</v>
      </c>
      <c r="V304">
        <v>302</v>
      </c>
      <c r="W304">
        <v>115.072992</v>
      </c>
      <c r="X304" s="14">
        <v>0.93882463012009687</v>
      </c>
      <c r="Y304">
        <v>31.744</v>
      </c>
      <c r="Z304" s="14">
        <v>0.93700926855186251</v>
      </c>
      <c r="AA304">
        <v>26</v>
      </c>
      <c r="AC304">
        <v>302</v>
      </c>
      <c r="AD304">
        <v>114.425309</v>
      </c>
      <c r="AE304" s="14">
        <v>0.94242216015490055</v>
      </c>
      <c r="AF304">
        <v>31.565000000000001</v>
      </c>
      <c r="AG304" s="14">
        <v>0.93963028011788163</v>
      </c>
      <c r="AH304">
        <v>26</v>
      </c>
      <c r="AJ304">
        <v>302</v>
      </c>
      <c r="AK304">
        <v>113.679433</v>
      </c>
      <c r="AL304" s="14">
        <v>0.92369296793131339</v>
      </c>
      <c r="AM304">
        <v>31.416</v>
      </c>
      <c r="AN304" s="14">
        <v>0.91897267887439305</v>
      </c>
      <c r="AO304">
        <v>26</v>
      </c>
      <c r="AQ304">
        <v>302</v>
      </c>
      <c r="AR304">
        <v>112.54929</v>
      </c>
      <c r="AS304" s="14">
        <v>0.923748181587566</v>
      </c>
      <c r="AT304">
        <v>31.132999999999999</v>
      </c>
      <c r="AU304" s="14">
        <v>0.91938103534831528</v>
      </c>
      <c r="AV304">
        <v>26</v>
      </c>
      <c r="AX304">
        <v>302</v>
      </c>
      <c r="AY304">
        <v>114.755959</v>
      </c>
      <c r="AZ304" s="14">
        <v>0.92827667948463244</v>
      </c>
      <c r="BA304">
        <v>31.765999999999998</v>
      </c>
      <c r="BB304" s="14">
        <v>0.92547488637687914</v>
      </c>
      <c r="BC304">
        <v>26</v>
      </c>
    </row>
    <row r="305" spans="15:55" x14ac:dyDescent="0.35">
      <c r="O305">
        <v>303</v>
      </c>
      <c r="P305">
        <v>114.616912</v>
      </c>
      <c r="Q305" s="14">
        <v>0.9342765373454911</v>
      </c>
      <c r="R305">
        <v>31.669</v>
      </c>
      <c r="S305" s="14">
        <v>0.93325278481758711</v>
      </c>
      <c r="T305">
        <v>26</v>
      </c>
      <c r="V305">
        <v>303</v>
      </c>
      <c r="W305">
        <v>115.0325</v>
      </c>
      <c r="X305" s="14">
        <v>0.93849427556632958</v>
      </c>
      <c r="Y305">
        <v>31.734000000000002</v>
      </c>
      <c r="Z305" s="14">
        <v>0.93671409174095288</v>
      </c>
      <c r="AA305">
        <v>26</v>
      </c>
      <c r="AC305">
        <v>303</v>
      </c>
      <c r="AD305">
        <v>114.386071</v>
      </c>
      <c r="AE305" s="14">
        <v>0.94209899073509895</v>
      </c>
      <c r="AF305">
        <v>31.550999999999998</v>
      </c>
      <c r="AG305" s="14">
        <v>0.93921352662757107</v>
      </c>
      <c r="AH305">
        <v>26</v>
      </c>
      <c r="AJ305">
        <v>303</v>
      </c>
      <c r="AK305">
        <v>113.65447399999999</v>
      </c>
      <c r="AL305" s="14">
        <v>0.92349016561097974</v>
      </c>
      <c r="AM305">
        <v>31.405999999999999</v>
      </c>
      <c r="AN305" s="14">
        <v>0.9186801614696074</v>
      </c>
      <c r="AO305">
        <v>26</v>
      </c>
      <c r="AQ305">
        <v>303</v>
      </c>
      <c r="AR305">
        <v>112.515986</v>
      </c>
      <c r="AS305" s="14">
        <v>0.92347483904191696</v>
      </c>
      <c r="AT305">
        <v>31.122</v>
      </c>
      <c r="AU305" s="14">
        <v>0.91905619702920593</v>
      </c>
      <c r="AV305">
        <v>26</v>
      </c>
      <c r="AX305">
        <v>303</v>
      </c>
      <c r="AY305">
        <v>114.720292</v>
      </c>
      <c r="AZ305" s="14">
        <v>0.92798816423352304</v>
      </c>
      <c r="BA305">
        <v>31.756</v>
      </c>
      <c r="BB305" s="14">
        <v>0.92518354504137057</v>
      </c>
      <c r="BC305">
        <v>26</v>
      </c>
    </row>
    <row r="306" spans="15:55" x14ac:dyDescent="0.35">
      <c r="O306">
        <v>304</v>
      </c>
      <c r="P306">
        <v>114.54227299999999</v>
      </c>
      <c r="Q306" s="14">
        <v>0.93366813265848525</v>
      </c>
      <c r="R306">
        <v>31.651</v>
      </c>
      <c r="S306" s="14">
        <v>0.93272234337242887</v>
      </c>
      <c r="T306">
        <v>26</v>
      </c>
      <c r="V306">
        <v>304</v>
      </c>
      <c r="W306">
        <v>114.984184</v>
      </c>
      <c r="X306" s="14">
        <v>0.9381000887980836</v>
      </c>
      <c r="Y306">
        <v>31.721</v>
      </c>
      <c r="Z306" s="14">
        <v>0.93633036188677021</v>
      </c>
      <c r="AA306">
        <v>26</v>
      </c>
      <c r="AC306">
        <v>304</v>
      </c>
      <c r="AD306">
        <v>114.332528</v>
      </c>
      <c r="AE306" s="14">
        <v>0.94165800342064754</v>
      </c>
      <c r="AF306">
        <v>31.539000000000001</v>
      </c>
      <c r="AG306" s="14">
        <v>0.93885630935016218</v>
      </c>
      <c r="AH306">
        <v>26</v>
      </c>
      <c r="AJ306">
        <v>304</v>
      </c>
      <c r="AK306">
        <v>113.649511</v>
      </c>
      <c r="AL306" s="14">
        <v>0.92344983915896595</v>
      </c>
      <c r="AM306">
        <v>31.401</v>
      </c>
      <c r="AN306" s="14">
        <v>0.91853390276721469</v>
      </c>
      <c r="AO306">
        <v>26</v>
      </c>
      <c r="AQ306">
        <v>304</v>
      </c>
      <c r="AR306">
        <v>112.462199</v>
      </c>
      <c r="AS306" s="14">
        <v>0.92303338229489473</v>
      </c>
      <c r="AT306">
        <v>31.106000000000002</v>
      </c>
      <c r="AU306" s="14">
        <v>0.91858370492868324</v>
      </c>
      <c r="AV306">
        <v>26</v>
      </c>
      <c r="AX306">
        <v>304</v>
      </c>
      <c r="AY306">
        <v>114.63976700000001</v>
      </c>
      <c r="AZ306" s="14">
        <v>0.92733678647269147</v>
      </c>
      <c r="BA306">
        <v>31.736999999999998</v>
      </c>
      <c r="BB306" s="14">
        <v>0.92462999650390398</v>
      </c>
      <c r="BC306">
        <v>26</v>
      </c>
    </row>
    <row r="307" spans="15:55" x14ac:dyDescent="0.35">
      <c r="O307">
        <v>305</v>
      </c>
      <c r="P307">
        <v>114.521349</v>
      </c>
      <c r="Q307" s="14">
        <v>0.93349757491158469</v>
      </c>
      <c r="R307">
        <v>31.645</v>
      </c>
      <c r="S307" s="14">
        <v>0.93254552955737613</v>
      </c>
      <c r="T307">
        <v>26</v>
      </c>
      <c r="V307">
        <v>305</v>
      </c>
      <c r="W307">
        <v>114.919191</v>
      </c>
      <c r="X307" s="14">
        <v>0.93756984248984998</v>
      </c>
      <c r="Y307">
        <v>31.704999999999998</v>
      </c>
      <c r="Z307" s="14">
        <v>0.9358580789893145</v>
      </c>
      <c r="AA307">
        <v>26</v>
      </c>
      <c r="AC307">
        <v>305</v>
      </c>
      <c r="AD307">
        <v>114.285718</v>
      </c>
      <c r="AE307" s="14">
        <v>0.94127246999537317</v>
      </c>
      <c r="AF307">
        <v>31.526</v>
      </c>
      <c r="AG307" s="14">
        <v>0.93846932396630245</v>
      </c>
      <c r="AH307">
        <v>26</v>
      </c>
      <c r="AJ307">
        <v>305</v>
      </c>
      <c r="AK307">
        <v>113.596807</v>
      </c>
      <c r="AL307" s="14">
        <v>0.92302159710235876</v>
      </c>
      <c r="AM307">
        <v>31.385999999999999</v>
      </c>
      <c r="AN307" s="14">
        <v>0.91809512666003623</v>
      </c>
      <c r="AO307">
        <v>26</v>
      </c>
      <c r="AQ307">
        <v>305</v>
      </c>
      <c r="AR307">
        <v>112.410647</v>
      </c>
      <c r="AS307" s="14">
        <v>0.92261026930806733</v>
      </c>
      <c r="AT307">
        <v>31.094000000000001</v>
      </c>
      <c r="AU307" s="14">
        <v>0.91822933585329125</v>
      </c>
      <c r="AV307">
        <v>26</v>
      </c>
      <c r="AX307">
        <v>305</v>
      </c>
      <c r="AY307">
        <v>114.575442</v>
      </c>
      <c r="AZ307" s="14">
        <v>0.92681645273204571</v>
      </c>
      <c r="BA307">
        <v>31.722000000000001</v>
      </c>
      <c r="BB307" s="14">
        <v>0.92419298450064102</v>
      </c>
      <c r="BC307">
        <v>26</v>
      </c>
    </row>
    <row r="308" spans="15:55" x14ac:dyDescent="0.35">
      <c r="O308">
        <v>306</v>
      </c>
      <c r="P308">
        <v>114.538651</v>
      </c>
      <c r="Q308" s="14">
        <v>0.93363860865928461</v>
      </c>
      <c r="R308">
        <v>31.646000000000001</v>
      </c>
      <c r="S308" s="14">
        <v>0.93257499852655168</v>
      </c>
      <c r="T308">
        <v>26</v>
      </c>
      <c r="V308">
        <v>306</v>
      </c>
      <c r="W308">
        <v>114.867919</v>
      </c>
      <c r="X308" s="14">
        <v>0.93715153915386373</v>
      </c>
      <c r="Y308">
        <v>31.692</v>
      </c>
      <c r="Z308" s="14">
        <v>0.93547434913513194</v>
      </c>
      <c r="AA308">
        <v>26</v>
      </c>
      <c r="AC308">
        <v>306</v>
      </c>
      <c r="AD308">
        <v>114.210671</v>
      </c>
      <c r="AE308" s="14">
        <v>0.94065437285872366</v>
      </c>
      <c r="AF308">
        <v>31.507999999999999</v>
      </c>
      <c r="AG308" s="14">
        <v>0.93793349805018889</v>
      </c>
      <c r="AH308">
        <v>26</v>
      </c>
      <c r="AJ308">
        <v>306</v>
      </c>
      <c r="AK308">
        <v>113.546869</v>
      </c>
      <c r="AL308" s="14">
        <v>0.92261582995332181</v>
      </c>
      <c r="AM308">
        <v>31.373000000000001</v>
      </c>
      <c r="AN308" s="14">
        <v>0.91771485403381503</v>
      </c>
      <c r="AO308">
        <v>26</v>
      </c>
      <c r="AQ308">
        <v>306</v>
      </c>
      <c r="AR308">
        <v>112.388013</v>
      </c>
      <c r="AS308" s="14">
        <v>0.92242450077641291</v>
      </c>
      <c r="AT308">
        <v>31.088000000000001</v>
      </c>
      <c r="AU308" s="14">
        <v>0.91805215131559526</v>
      </c>
      <c r="AV308">
        <v>26</v>
      </c>
      <c r="AX308">
        <v>306</v>
      </c>
      <c r="AY308">
        <v>114.54283</v>
      </c>
      <c r="AZ308" s="14">
        <v>0.9265526497946196</v>
      </c>
      <c r="BA308">
        <v>31.713000000000001</v>
      </c>
      <c r="BB308" s="14">
        <v>0.92393077729868323</v>
      </c>
      <c r="BC308">
        <v>26</v>
      </c>
    </row>
    <row r="309" spans="15:55" x14ac:dyDescent="0.35">
      <c r="O309">
        <v>307</v>
      </c>
      <c r="P309">
        <v>114.536975</v>
      </c>
      <c r="Q309" s="14">
        <v>0.93362494708483401</v>
      </c>
      <c r="R309">
        <v>31.643000000000001</v>
      </c>
      <c r="S309" s="14">
        <v>0.93248659161902525</v>
      </c>
      <c r="T309">
        <v>26</v>
      </c>
      <c r="V309">
        <v>307</v>
      </c>
      <c r="W309">
        <v>114.841194</v>
      </c>
      <c r="X309" s="14">
        <v>0.93693350286399335</v>
      </c>
      <c r="Y309">
        <v>31.684999999999999</v>
      </c>
      <c r="Z309" s="14">
        <v>0.93526772536749514</v>
      </c>
      <c r="AA309">
        <v>26</v>
      </c>
      <c r="AC309">
        <v>307</v>
      </c>
      <c r="AD309">
        <v>114.16747700000001</v>
      </c>
      <c r="AE309" s="14">
        <v>0.940298621293432</v>
      </c>
      <c r="AF309">
        <v>31.497</v>
      </c>
      <c r="AG309" s="14">
        <v>0.93760604887923071</v>
      </c>
      <c r="AH309">
        <v>26</v>
      </c>
      <c r="AJ309">
        <v>307</v>
      </c>
      <c r="AK309">
        <v>113.50079100000001</v>
      </c>
      <c r="AL309" s="14">
        <v>0.92224142691969357</v>
      </c>
      <c r="AM309">
        <v>31.361000000000001</v>
      </c>
      <c r="AN309" s="14">
        <v>0.91736383314807235</v>
      </c>
      <c r="AO309">
        <v>26</v>
      </c>
      <c r="AQ309">
        <v>307</v>
      </c>
      <c r="AR309">
        <v>112.35117200000001</v>
      </c>
      <c r="AS309" s="14">
        <v>0.92212212830691209</v>
      </c>
      <c r="AT309">
        <v>31.076000000000001</v>
      </c>
      <c r="AU309" s="14">
        <v>0.91769778224020315</v>
      </c>
      <c r="AV309">
        <v>26</v>
      </c>
      <c r="AX309">
        <v>307</v>
      </c>
      <c r="AY309">
        <v>114.53297000000001</v>
      </c>
      <c r="AZ309" s="14">
        <v>0.92647289090332141</v>
      </c>
      <c r="BA309">
        <v>31.709</v>
      </c>
      <c r="BB309" s="14">
        <v>0.92381424076447971</v>
      </c>
      <c r="BC309">
        <v>26</v>
      </c>
    </row>
    <row r="310" spans="15:55" x14ac:dyDescent="0.35">
      <c r="O310">
        <v>308</v>
      </c>
      <c r="P310">
        <v>114.47976199999999</v>
      </c>
      <c r="Q310" s="14">
        <v>0.9331585869064063</v>
      </c>
      <c r="R310">
        <v>31.628</v>
      </c>
      <c r="S310" s="14">
        <v>0.93204455708139333</v>
      </c>
      <c r="T310">
        <v>26</v>
      </c>
      <c r="V310">
        <v>308</v>
      </c>
      <c r="W310">
        <v>114.84084300000001</v>
      </c>
      <c r="X310" s="14">
        <v>0.9369306392255371</v>
      </c>
      <c r="Y310">
        <v>31.681999999999999</v>
      </c>
      <c r="Z310" s="14">
        <v>0.93517917232422221</v>
      </c>
      <c r="AA310">
        <v>26</v>
      </c>
      <c r="AC310">
        <v>308</v>
      </c>
      <c r="AD310">
        <v>114.136985</v>
      </c>
      <c r="AE310" s="14">
        <v>0.94004748510023672</v>
      </c>
      <c r="AF310">
        <v>31.488</v>
      </c>
      <c r="AG310" s="14">
        <v>0.93733813592117399</v>
      </c>
      <c r="AH310">
        <v>26</v>
      </c>
      <c r="AJ310">
        <v>308</v>
      </c>
      <c r="AK310">
        <v>113.50533299999999</v>
      </c>
      <c r="AL310" s="14">
        <v>0.92227833257051905</v>
      </c>
      <c r="AM310">
        <v>31.356999999999999</v>
      </c>
      <c r="AN310" s="14">
        <v>0.91724682618615805</v>
      </c>
      <c r="AO310">
        <v>26</v>
      </c>
      <c r="AQ310">
        <v>308</v>
      </c>
      <c r="AR310">
        <v>112.303657</v>
      </c>
      <c r="AS310" s="14">
        <v>0.92173214899342082</v>
      </c>
      <c r="AT310">
        <v>31.064</v>
      </c>
      <c r="AU310" s="14">
        <v>0.91734341316481116</v>
      </c>
      <c r="AV310">
        <v>26</v>
      </c>
      <c r="AX310">
        <v>308</v>
      </c>
      <c r="AY310">
        <v>114.480276</v>
      </c>
      <c r="AZ310" s="14">
        <v>0.92604664191568697</v>
      </c>
      <c r="BA310">
        <v>31.693999999999999</v>
      </c>
      <c r="BB310" s="14">
        <v>0.92337722876121664</v>
      </c>
      <c r="BC310">
        <v>26</v>
      </c>
    </row>
    <row r="311" spans="15:55" x14ac:dyDescent="0.35">
      <c r="O311">
        <v>309</v>
      </c>
      <c r="P311">
        <v>114.402957</v>
      </c>
      <c r="Q311" s="14">
        <v>0.93253252650922147</v>
      </c>
      <c r="R311">
        <v>31.61</v>
      </c>
      <c r="S311" s="14">
        <v>0.9315141156362351</v>
      </c>
      <c r="T311">
        <v>26</v>
      </c>
      <c r="V311">
        <v>309</v>
      </c>
      <c r="W311">
        <v>114.782955</v>
      </c>
      <c r="X311" s="14">
        <v>0.93645835916012965</v>
      </c>
      <c r="Y311">
        <v>31.667999999999999</v>
      </c>
      <c r="Z311" s="14">
        <v>0.9347659247889486</v>
      </c>
      <c r="AA311">
        <v>26</v>
      </c>
      <c r="AC311">
        <v>309</v>
      </c>
      <c r="AD311">
        <v>114.132918</v>
      </c>
      <c r="AE311" s="14">
        <v>0.94001398874389008</v>
      </c>
      <c r="AF311">
        <v>31.484999999999999</v>
      </c>
      <c r="AG311" s="14">
        <v>0.93724883160182171</v>
      </c>
      <c r="AH311">
        <v>26</v>
      </c>
      <c r="AJ311">
        <v>309</v>
      </c>
      <c r="AK311">
        <v>113.425168</v>
      </c>
      <c r="AL311" s="14">
        <v>0.92162695839649222</v>
      </c>
      <c r="AM311">
        <v>31.338999999999999</v>
      </c>
      <c r="AN311" s="14">
        <v>0.91672029485754403</v>
      </c>
      <c r="AO311">
        <v>26</v>
      </c>
      <c r="AQ311">
        <v>309</v>
      </c>
      <c r="AR311">
        <v>112.262343</v>
      </c>
      <c r="AS311" s="14">
        <v>0.92139306438103352</v>
      </c>
      <c r="AT311">
        <v>31.052</v>
      </c>
      <c r="AU311" s="14">
        <v>0.91698904408941917</v>
      </c>
      <c r="AV311">
        <v>26</v>
      </c>
      <c r="AX311">
        <v>309</v>
      </c>
      <c r="AY311">
        <v>114.402687</v>
      </c>
      <c r="AZ311" s="14">
        <v>0.92541901386122982</v>
      </c>
      <c r="BA311">
        <v>31.677</v>
      </c>
      <c r="BB311" s="14">
        <v>0.92288194849085192</v>
      </c>
      <c r="BC311">
        <v>26</v>
      </c>
    </row>
    <row r="312" spans="15:55" x14ac:dyDescent="0.35">
      <c r="O312">
        <v>310</v>
      </c>
      <c r="P312">
        <v>114.375444</v>
      </c>
      <c r="Q312" s="14">
        <v>0.9323082598637199</v>
      </c>
      <c r="R312">
        <v>31.603000000000002</v>
      </c>
      <c r="S312" s="14">
        <v>0.93130783285200691</v>
      </c>
      <c r="T312">
        <v>26</v>
      </c>
      <c r="V312">
        <v>310</v>
      </c>
      <c r="W312">
        <v>114.711845</v>
      </c>
      <c r="X312" s="14">
        <v>0.93587820722102089</v>
      </c>
      <c r="Y312">
        <v>31.651</v>
      </c>
      <c r="Z312" s="14">
        <v>0.93426412421040206</v>
      </c>
      <c r="AA312">
        <v>26</v>
      </c>
      <c r="AC312">
        <v>310</v>
      </c>
      <c r="AD312">
        <v>114.075147</v>
      </c>
      <c r="AE312" s="14">
        <v>0.93953817905554293</v>
      </c>
      <c r="AF312">
        <v>31.471</v>
      </c>
      <c r="AG312" s="14">
        <v>0.93683207811151126</v>
      </c>
      <c r="AH312">
        <v>26</v>
      </c>
      <c r="AJ312">
        <v>310</v>
      </c>
      <c r="AK312">
        <v>113.394026</v>
      </c>
      <c r="AL312" s="14">
        <v>0.92137391661357515</v>
      </c>
      <c r="AM312">
        <v>31.329000000000001</v>
      </c>
      <c r="AN312" s="14">
        <v>0.9164277774527585</v>
      </c>
      <c r="AO312">
        <v>26</v>
      </c>
      <c r="AQ312">
        <v>310</v>
      </c>
      <c r="AR312">
        <v>112.188526</v>
      </c>
      <c r="AS312" s="14">
        <v>0.92078721142967102</v>
      </c>
      <c r="AT312">
        <v>31.035</v>
      </c>
      <c r="AU312" s="14">
        <v>0.91648702123261383</v>
      </c>
      <c r="AV312">
        <v>26</v>
      </c>
      <c r="AX312">
        <v>310</v>
      </c>
      <c r="AY312">
        <v>114.36690299999999</v>
      </c>
      <c r="AZ312" s="14">
        <v>0.92512955218108572</v>
      </c>
      <c r="BA312">
        <v>31.667999999999999</v>
      </c>
      <c r="BB312" s="14">
        <v>0.92261974128889412</v>
      </c>
      <c r="BC312">
        <v>26</v>
      </c>
    </row>
    <row r="313" spans="15:55" x14ac:dyDescent="0.35">
      <c r="O313">
        <v>311</v>
      </c>
      <c r="P313">
        <v>114.392605</v>
      </c>
      <c r="Q313" s="14">
        <v>0.93244814427848577</v>
      </c>
      <c r="R313">
        <v>31.605</v>
      </c>
      <c r="S313" s="14">
        <v>0.93136677079035779</v>
      </c>
      <c r="T313">
        <v>26</v>
      </c>
      <c r="V313">
        <v>311</v>
      </c>
      <c r="W313">
        <v>114.679778</v>
      </c>
      <c r="X313" s="14">
        <v>0.93561658814871884</v>
      </c>
      <c r="Y313">
        <v>31.641999999999999</v>
      </c>
      <c r="Z313" s="14">
        <v>0.93399846508058326</v>
      </c>
      <c r="AA313">
        <v>26</v>
      </c>
      <c r="AC313">
        <v>311</v>
      </c>
      <c r="AD313">
        <v>113.999584</v>
      </c>
      <c r="AE313" s="14">
        <v>0.93891583207382945</v>
      </c>
      <c r="AF313">
        <v>31.452000000000002</v>
      </c>
      <c r="AG313" s="14">
        <v>0.93626648408894708</v>
      </c>
      <c r="AH313">
        <v>26</v>
      </c>
      <c r="AJ313">
        <v>311</v>
      </c>
      <c r="AK313">
        <v>113.330994</v>
      </c>
      <c r="AL313" s="14">
        <v>0.92086175523470337</v>
      </c>
      <c r="AM313">
        <v>31.314</v>
      </c>
      <c r="AN313" s="14">
        <v>0.91598900134558003</v>
      </c>
      <c r="AO313">
        <v>26</v>
      </c>
      <c r="AQ313">
        <v>311</v>
      </c>
      <c r="AR313">
        <v>112.13736900000001</v>
      </c>
      <c r="AS313" s="14">
        <v>0.92036734040493628</v>
      </c>
      <c r="AT313">
        <v>31.021999999999998</v>
      </c>
      <c r="AU313" s="14">
        <v>0.91610312140093908</v>
      </c>
      <c r="AV313">
        <v>26</v>
      </c>
      <c r="AX313">
        <v>311</v>
      </c>
      <c r="AY313">
        <v>114.366652</v>
      </c>
      <c r="AZ313" s="14">
        <v>0.92512752180768665</v>
      </c>
      <c r="BA313">
        <v>31.664000000000001</v>
      </c>
      <c r="BB313" s="14">
        <v>0.92250320475469072</v>
      </c>
      <c r="BC313">
        <v>26</v>
      </c>
    </row>
    <row r="314" spans="15:55" x14ac:dyDescent="0.35">
      <c r="O314">
        <v>312</v>
      </c>
      <c r="P314">
        <v>114.391318</v>
      </c>
      <c r="Q314" s="14">
        <v>0.93243765355872565</v>
      </c>
      <c r="R314">
        <v>31.603000000000002</v>
      </c>
      <c r="S314" s="14">
        <v>0.93130783285200691</v>
      </c>
      <c r="T314">
        <v>26</v>
      </c>
      <c r="V314">
        <v>312</v>
      </c>
      <c r="W314">
        <v>114.693122</v>
      </c>
      <c r="X314" s="14">
        <v>0.93572545536114282</v>
      </c>
      <c r="Y314">
        <v>31.643000000000001</v>
      </c>
      <c r="Z314" s="14">
        <v>0.93402798276167431</v>
      </c>
      <c r="AA314">
        <v>26</v>
      </c>
      <c r="AC314">
        <v>312</v>
      </c>
      <c r="AD314">
        <v>113.96802700000001</v>
      </c>
      <c r="AE314" s="14">
        <v>0.93865592439808965</v>
      </c>
      <c r="AF314">
        <v>31.445</v>
      </c>
      <c r="AG314" s="14">
        <v>0.9360581073437918</v>
      </c>
      <c r="AH314">
        <v>26</v>
      </c>
      <c r="AJ314">
        <v>312</v>
      </c>
      <c r="AK314">
        <v>113.264199</v>
      </c>
      <c r="AL314" s="14">
        <v>0.92031901790601733</v>
      </c>
      <c r="AM314">
        <v>31.297000000000001</v>
      </c>
      <c r="AN314" s="14">
        <v>0.91549172175744453</v>
      </c>
      <c r="AO314">
        <v>26</v>
      </c>
      <c r="AQ314">
        <v>312</v>
      </c>
      <c r="AR314">
        <v>112.09538499999999</v>
      </c>
      <c r="AS314" s="14">
        <v>0.92002275676824008</v>
      </c>
      <c r="AT314">
        <v>31.010999999999999</v>
      </c>
      <c r="AU314" s="14">
        <v>0.91577828308182974</v>
      </c>
      <c r="AV314">
        <v>26</v>
      </c>
      <c r="AX314">
        <v>312</v>
      </c>
      <c r="AY314">
        <v>114.371146</v>
      </c>
      <c r="AZ314" s="14">
        <v>0.92516387438958259</v>
      </c>
      <c r="BA314">
        <v>31.663</v>
      </c>
      <c r="BB314" s="14">
        <v>0.92247407062113984</v>
      </c>
      <c r="BC314">
        <v>26</v>
      </c>
    </row>
    <row r="315" spans="15:55" x14ac:dyDescent="0.35">
      <c r="O315">
        <v>313</v>
      </c>
      <c r="P315">
        <v>114.35346199999999</v>
      </c>
      <c r="Q315" s="14">
        <v>0.93212907804416489</v>
      </c>
      <c r="R315">
        <v>31.593</v>
      </c>
      <c r="S315" s="14">
        <v>0.9310131431602523</v>
      </c>
      <c r="T315">
        <v>26</v>
      </c>
      <c r="V315">
        <v>313</v>
      </c>
      <c r="W315">
        <v>114.69679600000001</v>
      </c>
      <c r="X315" s="14">
        <v>0.93575542974202164</v>
      </c>
      <c r="Y315">
        <v>31.64</v>
      </c>
      <c r="Z315" s="14">
        <v>0.93393942971840138</v>
      </c>
      <c r="AA315">
        <v>26</v>
      </c>
      <c r="AC315">
        <v>313</v>
      </c>
      <c r="AD315">
        <v>113.984994</v>
      </c>
      <c r="AE315" s="14">
        <v>0.938795666881034</v>
      </c>
      <c r="AF315">
        <v>31.443999999999999</v>
      </c>
      <c r="AG315" s="14">
        <v>0.93602833923734097</v>
      </c>
      <c r="AH315">
        <v>26</v>
      </c>
      <c r="AJ315">
        <v>313</v>
      </c>
      <c r="AK315">
        <v>113.20935</v>
      </c>
      <c r="AL315" s="14">
        <v>0.91987334682672839</v>
      </c>
      <c r="AM315">
        <v>31.283000000000001</v>
      </c>
      <c r="AN315" s="14">
        <v>0.91508219739074481</v>
      </c>
      <c r="AO315">
        <v>26</v>
      </c>
      <c r="AQ315">
        <v>313</v>
      </c>
      <c r="AR315">
        <v>112.09418100000001</v>
      </c>
      <c r="AS315" s="14">
        <v>0.92001287493948203</v>
      </c>
      <c r="AT315">
        <v>31.007999999999999</v>
      </c>
      <c r="AU315" s="14">
        <v>0.91568969081298168</v>
      </c>
      <c r="AV315">
        <v>26</v>
      </c>
      <c r="AX315">
        <v>313</v>
      </c>
      <c r="AY315">
        <v>114.323742</v>
      </c>
      <c r="AZ315" s="14">
        <v>0.9247804169369348</v>
      </c>
      <c r="BA315">
        <v>31.649000000000001</v>
      </c>
      <c r="BB315" s="14">
        <v>0.92206619275142765</v>
      </c>
      <c r="BC315">
        <v>26</v>
      </c>
    </row>
    <row r="316" spans="15:55" x14ac:dyDescent="0.35">
      <c r="O316">
        <v>314</v>
      </c>
      <c r="P316">
        <v>114.298249</v>
      </c>
      <c r="Q316" s="14">
        <v>0.93167902046054718</v>
      </c>
      <c r="R316">
        <v>31.579000000000001</v>
      </c>
      <c r="S316" s="14">
        <v>0.93060057759179593</v>
      </c>
      <c r="T316">
        <v>26</v>
      </c>
      <c r="V316">
        <v>314</v>
      </c>
      <c r="W316">
        <v>114.65693</v>
      </c>
      <c r="X316" s="14">
        <v>0.93543018241809373</v>
      </c>
      <c r="Y316">
        <v>31.63</v>
      </c>
      <c r="Z316" s="14">
        <v>0.93364425290749153</v>
      </c>
      <c r="AA316">
        <v>26</v>
      </c>
      <c r="AC316">
        <v>314</v>
      </c>
      <c r="AD316">
        <v>113.992171</v>
      </c>
      <c r="AE316" s="14">
        <v>0.938854777613638</v>
      </c>
      <c r="AF316">
        <v>31.443999999999999</v>
      </c>
      <c r="AG316" s="14">
        <v>0.93602833923734097</v>
      </c>
      <c r="AH316">
        <v>26</v>
      </c>
      <c r="AJ316">
        <v>314</v>
      </c>
      <c r="AK316">
        <v>113.190766</v>
      </c>
      <c r="AL316" s="14">
        <v>0.91972234404933029</v>
      </c>
      <c r="AM316">
        <v>31.277999999999999</v>
      </c>
      <c r="AN316" s="14">
        <v>0.91493593868835188</v>
      </c>
      <c r="AO316">
        <v>26</v>
      </c>
      <c r="AQ316">
        <v>314</v>
      </c>
      <c r="AR316">
        <v>112.050236</v>
      </c>
      <c r="AS316" s="14">
        <v>0.91965219639730844</v>
      </c>
      <c r="AT316">
        <v>30.995000000000001</v>
      </c>
      <c r="AU316" s="14">
        <v>0.91530579098130704</v>
      </c>
      <c r="AV316">
        <v>26</v>
      </c>
      <c r="AX316">
        <v>314</v>
      </c>
      <c r="AY316">
        <v>114.242811</v>
      </c>
      <c r="AZ316" s="14">
        <v>0.92412575498646166</v>
      </c>
      <c r="BA316">
        <v>31.632000000000001</v>
      </c>
      <c r="BB316" s="14">
        <v>0.92157091248106293</v>
      </c>
      <c r="BC316">
        <v>26</v>
      </c>
    </row>
    <row r="317" spans="15:55" x14ac:dyDescent="0.35">
      <c r="O317">
        <v>315</v>
      </c>
      <c r="P317">
        <v>114.274455</v>
      </c>
      <c r="Q317" s="14">
        <v>0.93148506849009449</v>
      </c>
      <c r="R317">
        <v>31.571999999999999</v>
      </c>
      <c r="S317" s="14">
        <v>0.93039429480756763</v>
      </c>
      <c r="T317">
        <v>26</v>
      </c>
      <c r="V317">
        <v>315</v>
      </c>
      <c r="W317">
        <v>114.581226</v>
      </c>
      <c r="X317" s="14">
        <v>0.93481255026511545</v>
      </c>
      <c r="Y317">
        <v>31.613</v>
      </c>
      <c r="Z317" s="14">
        <v>0.93314245232894499</v>
      </c>
      <c r="AA317">
        <v>26</v>
      </c>
      <c r="AC317">
        <v>315</v>
      </c>
      <c r="AD317">
        <v>113.949293</v>
      </c>
      <c r="AE317" s="14">
        <v>0.93850162866664133</v>
      </c>
      <c r="AF317">
        <v>31.431999999999999</v>
      </c>
      <c r="AG317" s="14">
        <v>0.93567112195993196</v>
      </c>
      <c r="AH317">
        <v>26</v>
      </c>
      <c r="AJ317">
        <v>315</v>
      </c>
      <c r="AK317">
        <v>113.17644199999999</v>
      </c>
      <c r="AL317" s="14">
        <v>0.91960595555474078</v>
      </c>
      <c r="AM317">
        <v>31.271999999999998</v>
      </c>
      <c r="AN317" s="14">
        <v>0.91476042824548054</v>
      </c>
      <c r="AO317">
        <v>26</v>
      </c>
      <c r="AQ317">
        <v>315</v>
      </c>
      <c r="AR317">
        <v>111.978238</v>
      </c>
      <c r="AS317" s="14">
        <v>0.9190612728865698</v>
      </c>
      <c r="AT317">
        <v>30.98</v>
      </c>
      <c r="AU317" s="14">
        <v>0.914862829637067</v>
      </c>
      <c r="AV317">
        <v>26</v>
      </c>
      <c r="AX317">
        <v>315</v>
      </c>
      <c r="AY317">
        <v>114.193772</v>
      </c>
      <c r="AZ317" s="14">
        <v>0.92372907179473951</v>
      </c>
      <c r="BA317">
        <v>31.620999999999999</v>
      </c>
      <c r="BB317" s="14">
        <v>0.92125043701200326</v>
      </c>
      <c r="BC317">
        <v>26</v>
      </c>
    </row>
    <row r="318" spans="15:55" x14ac:dyDescent="0.35">
      <c r="O318">
        <v>316</v>
      </c>
      <c r="P318">
        <v>114.271221</v>
      </c>
      <c r="Q318" s="14">
        <v>0.93145870719428703</v>
      </c>
      <c r="R318">
        <v>31.57</v>
      </c>
      <c r="S318" s="14">
        <v>0.93033535686921676</v>
      </c>
      <c r="T318">
        <v>26</v>
      </c>
      <c r="V318">
        <v>316</v>
      </c>
      <c r="W318">
        <v>114.53851299999999</v>
      </c>
      <c r="X318" s="14">
        <v>0.93446407565148648</v>
      </c>
      <c r="Y318">
        <v>31.603000000000002</v>
      </c>
      <c r="Z318" s="14">
        <v>0.93284727551803537</v>
      </c>
      <c r="AA318">
        <v>26</v>
      </c>
      <c r="AC318">
        <v>316</v>
      </c>
      <c r="AD318">
        <v>113.85686800000001</v>
      </c>
      <c r="AE318" s="14">
        <v>0.93774040399603709</v>
      </c>
      <c r="AF318">
        <v>31.411999999999999</v>
      </c>
      <c r="AG318" s="14">
        <v>0.93507575983091706</v>
      </c>
      <c r="AH318">
        <v>26</v>
      </c>
      <c r="AJ318">
        <v>316</v>
      </c>
      <c r="AK318">
        <v>113.11075200000001</v>
      </c>
      <c r="AL318" s="14">
        <v>0.91907219681349694</v>
      </c>
      <c r="AM318">
        <v>31.254999999999999</v>
      </c>
      <c r="AN318" s="14">
        <v>0.91426314865734504</v>
      </c>
      <c r="AO318">
        <v>26</v>
      </c>
      <c r="AQ318">
        <v>316</v>
      </c>
      <c r="AR318">
        <v>111.933503</v>
      </c>
      <c r="AS318" s="14">
        <v>0.9186941104202111</v>
      </c>
      <c r="AT318">
        <v>30.966999999999999</v>
      </c>
      <c r="AU318" s="14">
        <v>0.91447892980539225</v>
      </c>
      <c r="AV318">
        <v>26</v>
      </c>
      <c r="AX318">
        <v>316</v>
      </c>
      <c r="AY318">
        <v>114.21224599999999</v>
      </c>
      <c r="AZ318" s="14">
        <v>0.92387851051257375</v>
      </c>
      <c r="BA318">
        <v>31.620999999999999</v>
      </c>
      <c r="BB318" s="14">
        <v>0.92125043701200326</v>
      </c>
      <c r="BC318">
        <v>26</v>
      </c>
    </row>
    <row r="319" spans="15:55" x14ac:dyDescent="0.35">
      <c r="O319">
        <v>317</v>
      </c>
      <c r="P319">
        <v>114.252509</v>
      </c>
      <c r="Q319" s="14">
        <v>0.9313061801172462</v>
      </c>
      <c r="R319">
        <v>31.562999999999999</v>
      </c>
      <c r="S319" s="14">
        <v>0.93012907408498857</v>
      </c>
      <c r="T319">
        <v>26</v>
      </c>
      <c r="V319">
        <v>317</v>
      </c>
      <c r="W319">
        <v>114.546725</v>
      </c>
      <c r="X319" s="14">
        <v>0.93453107336944408</v>
      </c>
      <c r="Y319">
        <v>31.602</v>
      </c>
      <c r="Z319" s="14">
        <v>0.93281775783694432</v>
      </c>
      <c r="AA319">
        <v>26</v>
      </c>
      <c r="AC319">
        <v>317</v>
      </c>
      <c r="AD319">
        <v>113.820177</v>
      </c>
      <c r="AE319" s="14">
        <v>0.93743821200913813</v>
      </c>
      <c r="AF319">
        <v>31.402999999999999</v>
      </c>
      <c r="AG319" s="14">
        <v>0.93480784687286023</v>
      </c>
      <c r="AH319">
        <v>26</v>
      </c>
      <c r="AJ319">
        <v>317</v>
      </c>
      <c r="AK319">
        <v>113.041438</v>
      </c>
      <c r="AL319" s="14">
        <v>0.91850899155561005</v>
      </c>
      <c r="AM319">
        <v>31.24</v>
      </c>
      <c r="AN319" s="14">
        <v>0.91382437255016669</v>
      </c>
      <c r="AO319">
        <v>26</v>
      </c>
      <c r="AQ319">
        <v>317</v>
      </c>
      <c r="AR319">
        <v>111.94235999999999</v>
      </c>
      <c r="AS319" s="14">
        <v>0.9187668042385756</v>
      </c>
      <c r="AT319">
        <v>30.966000000000001</v>
      </c>
      <c r="AU319" s="14">
        <v>0.91444939904910971</v>
      </c>
      <c r="AV319">
        <v>26</v>
      </c>
      <c r="AX319">
        <v>317</v>
      </c>
      <c r="AY319">
        <v>114.206919</v>
      </c>
      <c r="AZ319" s="14">
        <v>0.92383541967951632</v>
      </c>
      <c r="BA319">
        <v>31.617999999999999</v>
      </c>
      <c r="BB319" s="14">
        <v>0.92116303461135063</v>
      </c>
      <c r="BC319">
        <v>26</v>
      </c>
    </row>
    <row r="320" spans="15:55" x14ac:dyDescent="0.35">
      <c r="O320">
        <v>318</v>
      </c>
      <c r="P320">
        <v>114.192125</v>
      </c>
      <c r="Q320" s="14">
        <v>0.93081397217474748</v>
      </c>
      <c r="R320">
        <v>31.547999999999998</v>
      </c>
      <c r="S320" s="14">
        <v>0.92968703954735665</v>
      </c>
      <c r="T320">
        <v>26</v>
      </c>
      <c r="V320">
        <v>318</v>
      </c>
      <c r="W320">
        <v>114.555007</v>
      </c>
      <c r="X320" s="14">
        <v>0.93459864218339006</v>
      </c>
      <c r="Y320">
        <v>31.602</v>
      </c>
      <c r="Z320" s="14">
        <v>0.93281775783694432</v>
      </c>
      <c r="AA320">
        <v>26</v>
      </c>
      <c r="AC320">
        <v>318</v>
      </c>
      <c r="AD320">
        <v>113.833142</v>
      </c>
      <c r="AE320" s="14">
        <v>0.93754499348443565</v>
      </c>
      <c r="AF320">
        <v>31.402999999999999</v>
      </c>
      <c r="AG320" s="14">
        <v>0.93480784687286023</v>
      </c>
      <c r="AH320">
        <v>26</v>
      </c>
      <c r="AJ320">
        <v>318</v>
      </c>
      <c r="AK320">
        <v>113.023786</v>
      </c>
      <c r="AL320" s="14">
        <v>0.91836556166825378</v>
      </c>
      <c r="AM320">
        <v>31.233000000000001</v>
      </c>
      <c r="AN320" s="14">
        <v>0.91361961036681683</v>
      </c>
      <c r="AO320">
        <v>26</v>
      </c>
      <c r="AQ320">
        <v>318</v>
      </c>
      <c r="AR320">
        <v>111.94719600000001</v>
      </c>
      <c r="AS320" s="14">
        <v>0.91880649570358763</v>
      </c>
      <c r="AT320">
        <v>30.965</v>
      </c>
      <c r="AU320" s="14">
        <v>0.91441986829282695</v>
      </c>
      <c r="AV320">
        <v>26</v>
      </c>
      <c r="AX320">
        <v>318</v>
      </c>
      <c r="AY320">
        <v>114.18080500000001</v>
      </c>
      <c r="AZ320" s="14">
        <v>0.92362417995463153</v>
      </c>
      <c r="BA320">
        <v>31.61</v>
      </c>
      <c r="BB320" s="14">
        <v>0.92092996154294371</v>
      </c>
      <c r="BC320">
        <v>26</v>
      </c>
    </row>
    <row r="321" spans="15:55" x14ac:dyDescent="0.35">
      <c r="O321">
        <v>319</v>
      </c>
      <c r="P321">
        <v>114.13078299999999</v>
      </c>
      <c r="Q321" s="14">
        <v>0.93031395528933492</v>
      </c>
      <c r="R321">
        <v>31.533000000000001</v>
      </c>
      <c r="S321" s="14">
        <v>0.92924500500972484</v>
      </c>
      <c r="T321">
        <v>26</v>
      </c>
      <c r="V321">
        <v>319</v>
      </c>
      <c r="W321">
        <v>114.524202</v>
      </c>
      <c r="X321" s="14">
        <v>0.93434731915590807</v>
      </c>
      <c r="Y321">
        <v>31.593</v>
      </c>
      <c r="Z321" s="14">
        <v>0.93255209870712552</v>
      </c>
      <c r="AA321">
        <v>26</v>
      </c>
      <c r="AC321">
        <v>319</v>
      </c>
      <c r="AD321">
        <v>113.836933</v>
      </c>
      <c r="AE321" s="14">
        <v>0.9375762166678413</v>
      </c>
      <c r="AF321">
        <v>31.401</v>
      </c>
      <c r="AG321" s="14">
        <v>0.93474831065995878</v>
      </c>
      <c r="AH321">
        <v>26</v>
      </c>
      <c r="AJ321">
        <v>319</v>
      </c>
      <c r="AK321">
        <v>113.036181</v>
      </c>
      <c r="AL321" s="14">
        <v>0.91846627623055732</v>
      </c>
      <c r="AM321">
        <v>31.233000000000001</v>
      </c>
      <c r="AN321" s="14">
        <v>0.91361961036681683</v>
      </c>
      <c r="AO321">
        <v>26</v>
      </c>
      <c r="AQ321">
        <v>319</v>
      </c>
      <c r="AR321">
        <v>111.905142</v>
      </c>
      <c r="AS321" s="14">
        <v>0.91846133754196368</v>
      </c>
      <c r="AT321">
        <v>30.952999999999999</v>
      </c>
      <c r="AU321" s="14">
        <v>0.91406549921743496</v>
      </c>
      <c r="AV321">
        <v>26</v>
      </c>
      <c r="AX321">
        <v>319</v>
      </c>
      <c r="AY321">
        <v>114.126913</v>
      </c>
      <c r="AZ321" s="14">
        <v>0.92318824018081291</v>
      </c>
      <c r="BA321">
        <v>31.596</v>
      </c>
      <c r="BB321" s="14">
        <v>0.92052208367323163</v>
      </c>
      <c r="BC321">
        <v>26</v>
      </c>
    </row>
    <row r="322" spans="15:55" x14ac:dyDescent="0.35">
      <c r="O322">
        <v>320</v>
      </c>
      <c r="P322">
        <v>114.110325</v>
      </c>
      <c r="Q322" s="14">
        <v>0.93014719604702512</v>
      </c>
      <c r="R322">
        <v>31.527999999999999</v>
      </c>
      <c r="S322" s="14">
        <v>0.92909766016384754</v>
      </c>
      <c r="T322">
        <v>26</v>
      </c>
      <c r="V322">
        <v>320</v>
      </c>
      <c r="W322">
        <v>114.479196</v>
      </c>
      <c r="X322" s="14">
        <v>0.93398013706940097</v>
      </c>
      <c r="Y322">
        <v>31.581</v>
      </c>
      <c r="Z322" s="14">
        <v>0.9321978865340339</v>
      </c>
      <c r="AA322">
        <v>26</v>
      </c>
      <c r="AC322">
        <v>320</v>
      </c>
      <c r="AD322">
        <v>113.812787</v>
      </c>
      <c r="AE322" s="14">
        <v>0.93737734698002506</v>
      </c>
      <c r="AF322">
        <v>31.393999999999998</v>
      </c>
      <c r="AG322" s="14">
        <v>0.9345399339148035</v>
      </c>
      <c r="AH322">
        <v>26</v>
      </c>
      <c r="AJ322">
        <v>320</v>
      </c>
      <c r="AK322">
        <v>113.03082499999999</v>
      </c>
      <c r="AL322" s="14">
        <v>0.9184227564890729</v>
      </c>
      <c r="AM322">
        <v>31.228000000000002</v>
      </c>
      <c r="AN322" s="14">
        <v>0.91347335166442412</v>
      </c>
      <c r="AO322">
        <v>26</v>
      </c>
      <c r="AQ322">
        <v>320</v>
      </c>
      <c r="AR322">
        <v>111.815248</v>
      </c>
      <c r="AS322" s="14">
        <v>0.91772353262968354</v>
      </c>
      <c r="AT322">
        <v>30.933</v>
      </c>
      <c r="AU322" s="14">
        <v>0.91347488409178157</v>
      </c>
      <c r="AV322">
        <v>26</v>
      </c>
      <c r="AX322">
        <v>320</v>
      </c>
      <c r="AY322">
        <v>114.087694</v>
      </c>
      <c r="AZ322" s="14">
        <v>0.92287099231490732</v>
      </c>
      <c r="BA322">
        <v>31.585999999999999</v>
      </c>
      <c r="BB322" s="14">
        <v>0.92023074233772284</v>
      </c>
      <c r="BC322">
        <v>26</v>
      </c>
    </row>
    <row r="323" spans="15:55" x14ac:dyDescent="0.35">
      <c r="O323">
        <v>321</v>
      </c>
      <c r="P323">
        <v>114.10845399999999</v>
      </c>
      <c r="Q323" s="14">
        <v>0.9301319449695804</v>
      </c>
      <c r="R323">
        <v>31.526</v>
      </c>
      <c r="S323" s="14">
        <v>0.92903872222549666</v>
      </c>
      <c r="T323">
        <v>26</v>
      </c>
      <c r="V323">
        <v>321</v>
      </c>
      <c r="W323">
        <v>114.444228</v>
      </c>
      <c r="X323" s="14">
        <v>0.9336948501476352</v>
      </c>
      <c r="Y323">
        <v>31.573</v>
      </c>
      <c r="Z323" s="14">
        <v>0.93196174508530616</v>
      </c>
      <c r="AA323">
        <v>26</v>
      </c>
      <c r="AC323">
        <v>321</v>
      </c>
      <c r="AD323">
        <v>113.765972</v>
      </c>
      <c r="AE323" s="14">
        <v>0.93699177237408149</v>
      </c>
      <c r="AF323">
        <v>31.382999999999999</v>
      </c>
      <c r="AG323" s="14">
        <v>0.93421248474384533</v>
      </c>
      <c r="AH323">
        <v>26</v>
      </c>
      <c r="AJ323">
        <v>321</v>
      </c>
      <c r="AK323">
        <v>112.97182100000001</v>
      </c>
      <c r="AL323" s="14">
        <v>0.91794332429591796</v>
      </c>
      <c r="AM323">
        <v>31.213999999999999</v>
      </c>
      <c r="AN323" s="14">
        <v>0.91306382729772417</v>
      </c>
      <c r="AO323">
        <v>26</v>
      </c>
      <c r="AQ323">
        <v>321</v>
      </c>
      <c r="AR323">
        <v>111.76908400000001</v>
      </c>
      <c r="AS323" s="14">
        <v>0.9173446416472989</v>
      </c>
      <c r="AT323">
        <v>30.922000000000001</v>
      </c>
      <c r="AU323" s="14">
        <v>0.91315004577267223</v>
      </c>
      <c r="AV323">
        <v>26</v>
      </c>
      <c r="AX323">
        <v>321</v>
      </c>
      <c r="AY323">
        <v>114.074331</v>
      </c>
      <c r="AZ323" s="14">
        <v>0.92276289717652804</v>
      </c>
      <c r="BA323">
        <v>31.581</v>
      </c>
      <c r="BB323" s="14">
        <v>0.92008507166996856</v>
      </c>
      <c r="BC323">
        <v>26</v>
      </c>
    </row>
    <row r="324" spans="15:55" x14ac:dyDescent="0.35">
      <c r="O324">
        <v>322</v>
      </c>
      <c r="P324">
        <v>114.101304</v>
      </c>
      <c r="Q324" s="14">
        <v>0.93007366319313534</v>
      </c>
      <c r="R324">
        <v>31.521999999999998</v>
      </c>
      <c r="S324" s="14">
        <v>0.92892084634879479</v>
      </c>
      <c r="T324">
        <v>26</v>
      </c>
      <c r="V324">
        <v>322</v>
      </c>
      <c r="W324">
        <v>114.431989</v>
      </c>
      <c r="X324" s="14">
        <v>0.93359499809331448</v>
      </c>
      <c r="Y324">
        <v>31.568000000000001</v>
      </c>
      <c r="Z324" s="14">
        <v>0.93181415667985124</v>
      </c>
      <c r="AA324">
        <v>26</v>
      </c>
      <c r="AC324">
        <v>322</v>
      </c>
      <c r="AD324">
        <v>113.728369</v>
      </c>
      <c r="AE324" s="14">
        <v>0.93668206903311602</v>
      </c>
      <c r="AF324">
        <v>31.373000000000001</v>
      </c>
      <c r="AG324" s="14">
        <v>0.93391480367933788</v>
      </c>
      <c r="AH324">
        <v>26</v>
      </c>
      <c r="AJ324">
        <v>322</v>
      </c>
      <c r="AK324">
        <v>112.875112</v>
      </c>
      <c r="AL324" s="14">
        <v>0.91715752319823241</v>
      </c>
      <c r="AM324">
        <v>31.192</v>
      </c>
      <c r="AN324" s="14">
        <v>0.91242028900719596</v>
      </c>
      <c r="AO324">
        <v>26</v>
      </c>
      <c r="AQ324">
        <v>322</v>
      </c>
      <c r="AR324">
        <v>111.77915</v>
      </c>
      <c r="AS324" s="14">
        <v>0.91742725833191641</v>
      </c>
      <c r="AT324">
        <v>30.920999999999999</v>
      </c>
      <c r="AU324" s="14">
        <v>0.91312051501638958</v>
      </c>
      <c r="AV324">
        <v>26</v>
      </c>
      <c r="AX324">
        <v>322</v>
      </c>
      <c r="AY324">
        <v>114.067464</v>
      </c>
      <c r="AZ324" s="14">
        <v>0.92270734907241581</v>
      </c>
      <c r="BA324">
        <v>31.577000000000002</v>
      </c>
      <c r="BB324" s="14">
        <v>0.91996853513576515</v>
      </c>
      <c r="BC324">
        <v>26</v>
      </c>
    </row>
    <row r="325" spans="15:55" x14ac:dyDescent="0.35">
      <c r="O325">
        <v>323</v>
      </c>
      <c r="P325">
        <v>114.052374</v>
      </c>
      <c r="Q325" s="14">
        <v>0.92967482021111258</v>
      </c>
      <c r="R325">
        <v>31.509</v>
      </c>
      <c r="S325" s="14">
        <v>0.92853774974951386</v>
      </c>
      <c r="T325">
        <v>26</v>
      </c>
      <c r="V325">
        <v>323</v>
      </c>
      <c r="W325">
        <v>114.428673</v>
      </c>
      <c r="X325" s="14">
        <v>0.93356794446049096</v>
      </c>
      <c r="Y325">
        <v>31.565000000000001</v>
      </c>
      <c r="Z325" s="14">
        <v>0.9317256036365783</v>
      </c>
      <c r="AA325">
        <v>26</v>
      </c>
      <c r="AC325">
        <v>323</v>
      </c>
      <c r="AD325">
        <v>113.714198</v>
      </c>
      <c r="AE325" s="14">
        <v>0.93656535478040159</v>
      </c>
      <c r="AF325">
        <v>31.367000000000001</v>
      </c>
      <c r="AG325" s="14">
        <v>0.93373619504063343</v>
      </c>
      <c r="AH325">
        <v>26</v>
      </c>
      <c r="AJ325">
        <v>323</v>
      </c>
      <c r="AK325">
        <v>112.836459</v>
      </c>
      <c r="AL325" s="14">
        <v>0.91684345139696422</v>
      </c>
      <c r="AM325">
        <v>31.181999999999999</v>
      </c>
      <c r="AN325" s="14">
        <v>0.91212777160241032</v>
      </c>
      <c r="AO325">
        <v>26</v>
      </c>
      <c r="AQ325">
        <v>323</v>
      </c>
      <c r="AR325">
        <v>111.779529</v>
      </c>
      <c r="AS325" s="14">
        <v>0.91743036897402541</v>
      </c>
      <c r="AT325">
        <v>30.917999999999999</v>
      </c>
      <c r="AU325" s="14">
        <v>0.91303192274754152</v>
      </c>
      <c r="AV325">
        <v>26</v>
      </c>
      <c r="AX325">
        <v>323</v>
      </c>
      <c r="AY325">
        <v>114.023312</v>
      </c>
      <c r="AZ325" s="14">
        <v>0.92235019749344993</v>
      </c>
      <c r="BA325">
        <v>31.565999999999999</v>
      </c>
      <c r="BB325" s="14">
        <v>0.91964805966670549</v>
      </c>
      <c r="BC325">
        <v>26</v>
      </c>
    </row>
    <row r="326" spans="15:55" x14ac:dyDescent="0.35">
      <c r="O326">
        <v>324</v>
      </c>
      <c r="P326">
        <v>114.00052599999999</v>
      </c>
      <c r="Q326" s="14">
        <v>0.92925219174326223</v>
      </c>
      <c r="R326">
        <v>31.497</v>
      </c>
      <c r="S326" s="14">
        <v>0.92818412211940837</v>
      </c>
      <c r="T326">
        <v>26</v>
      </c>
      <c r="V326">
        <v>324</v>
      </c>
      <c r="W326">
        <v>114.382293</v>
      </c>
      <c r="X326" s="14">
        <v>0.93318955257558223</v>
      </c>
      <c r="Y326">
        <v>31.553000000000001</v>
      </c>
      <c r="Z326" s="14">
        <v>0.93137139146348669</v>
      </c>
      <c r="AA326">
        <v>26</v>
      </c>
      <c r="AC326">
        <v>324</v>
      </c>
      <c r="AD326">
        <v>113.71103600000001</v>
      </c>
      <c r="AE326" s="14">
        <v>0.93653931212518449</v>
      </c>
      <c r="AF326">
        <v>31.364999999999998</v>
      </c>
      <c r="AG326" s="14">
        <v>0.93367665882773188</v>
      </c>
      <c r="AH326">
        <v>26</v>
      </c>
      <c r="AJ326">
        <v>324</v>
      </c>
      <c r="AK326">
        <v>112.863941</v>
      </c>
      <c r="AL326" s="14">
        <v>0.9170667541481724</v>
      </c>
      <c r="AM326">
        <v>31.184999999999999</v>
      </c>
      <c r="AN326" s="14">
        <v>0.91221552682384599</v>
      </c>
      <c r="AO326">
        <v>26</v>
      </c>
      <c r="AQ326">
        <v>324</v>
      </c>
      <c r="AR326">
        <v>111.76192899999999</v>
      </c>
      <c r="AS326" s="14">
        <v>0.91728591699217876</v>
      </c>
      <c r="AT326">
        <v>30.911999999999999</v>
      </c>
      <c r="AU326" s="14">
        <v>0.91285473820984553</v>
      </c>
      <c r="AV326">
        <v>26</v>
      </c>
      <c r="AX326">
        <v>324</v>
      </c>
      <c r="AY326">
        <v>113.96045100000001</v>
      </c>
      <c r="AZ326" s="14">
        <v>0.92184170624944328</v>
      </c>
      <c r="BA326">
        <v>31.550999999999998</v>
      </c>
      <c r="BB326" s="14">
        <v>0.91921104766344253</v>
      </c>
      <c r="BC326">
        <v>26</v>
      </c>
    </row>
    <row r="327" spans="15:55" x14ac:dyDescent="0.35">
      <c r="O327">
        <v>325</v>
      </c>
      <c r="P327">
        <v>113.985598</v>
      </c>
      <c r="Q327" s="14">
        <v>0.92913050917560169</v>
      </c>
      <c r="R327">
        <v>31.492999999999999</v>
      </c>
      <c r="S327" s="14">
        <v>0.92806624624270651</v>
      </c>
      <c r="T327">
        <v>26</v>
      </c>
      <c r="V327">
        <v>325</v>
      </c>
      <c r="W327">
        <v>114.325237</v>
      </c>
      <c r="X327" s="14">
        <v>0.93272406039392297</v>
      </c>
      <c r="Y327">
        <v>31.54</v>
      </c>
      <c r="Z327" s="14">
        <v>0.93098766160930391</v>
      </c>
      <c r="AA327">
        <v>26</v>
      </c>
      <c r="AC327">
        <v>325</v>
      </c>
      <c r="AD327">
        <v>113.67225999999999</v>
      </c>
      <c r="AE327" s="14">
        <v>0.93621994779921891</v>
      </c>
      <c r="AF327">
        <v>31.355</v>
      </c>
      <c r="AG327" s="14">
        <v>0.93337897776322443</v>
      </c>
      <c r="AH327">
        <v>26</v>
      </c>
      <c r="AJ327">
        <v>325</v>
      </c>
      <c r="AK327">
        <v>112.861498</v>
      </c>
      <c r="AL327" s="14">
        <v>0.91704690375077769</v>
      </c>
      <c r="AM327">
        <v>31.181999999999999</v>
      </c>
      <c r="AN327" s="14">
        <v>0.91212777160241032</v>
      </c>
      <c r="AO327">
        <v>26</v>
      </c>
      <c r="AQ327">
        <v>325</v>
      </c>
      <c r="AR327">
        <v>111.718756</v>
      </c>
      <c r="AS327" s="14">
        <v>0.91693157463920894</v>
      </c>
      <c r="AT327">
        <v>30.9</v>
      </c>
      <c r="AU327" s="14">
        <v>0.91250036913445354</v>
      </c>
      <c r="AV327">
        <v>26</v>
      </c>
      <c r="AX327">
        <v>325</v>
      </c>
      <c r="AY327">
        <v>113.908091</v>
      </c>
      <c r="AZ327" s="14">
        <v>0.92141815903358304</v>
      </c>
      <c r="BA327">
        <v>31.538</v>
      </c>
      <c r="BB327" s="14">
        <v>0.91883230392728121</v>
      </c>
      <c r="BC327">
        <v>26</v>
      </c>
    </row>
    <row r="328" spans="15:55" x14ac:dyDescent="0.35">
      <c r="O328">
        <v>326</v>
      </c>
      <c r="P328">
        <v>113.989361</v>
      </c>
      <c r="Q328" s="14">
        <v>0.92916118250773638</v>
      </c>
      <c r="R328">
        <v>31.491</v>
      </c>
      <c r="S328" s="14">
        <v>0.92800730830435563</v>
      </c>
      <c r="T328">
        <v>26</v>
      </c>
      <c r="V328">
        <v>326</v>
      </c>
      <c r="W328">
        <v>114.271497</v>
      </c>
      <c r="X328" s="14">
        <v>0.93228562184508734</v>
      </c>
      <c r="Y328">
        <v>31.527999999999999</v>
      </c>
      <c r="Z328" s="14">
        <v>0.93063344943621229</v>
      </c>
      <c r="AA328">
        <v>26</v>
      </c>
      <c r="AC328">
        <v>326</v>
      </c>
      <c r="AD328">
        <v>113.60953600000001</v>
      </c>
      <c r="AE328" s="14">
        <v>0.93570334453993875</v>
      </c>
      <c r="AF328">
        <v>31.34</v>
      </c>
      <c r="AG328" s="14">
        <v>0.93293245616646314</v>
      </c>
      <c r="AH328">
        <v>26</v>
      </c>
      <c r="AJ328">
        <v>326</v>
      </c>
      <c r="AK328">
        <v>112.824887</v>
      </c>
      <c r="AL328" s="14">
        <v>0.91674942405408599</v>
      </c>
      <c r="AM328">
        <v>31.172000000000001</v>
      </c>
      <c r="AN328" s="14">
        <v>0.91183525419762479</v>
      </c>
      <c r="AO328">
        <v>26</v>
      </c>
      <c r="AQ328">
        <v>326</v>
      </c>
      <c r="AR328">
        <v>111.66995799999999</v>
      </c>
      <c r="AS328" s="14">
        <v>0.91653106510454097</v>
      </c>
      <c r="AT328">
        <v>30.887</v>
      </c>
      <c r="AU328" s="14">
        <v>0.9121164693027789</v>
      </c>
      <c r="AV328">
        <v>26</v>
      </c>
      <c r="AX328">
        <v>326</v>
      </c>
      <c r="AY328">
        <v>113.906505</v>
      </c>
      <c r="AZ328" s="14">
        <v>0.9214053296622241</v>
      </c>
      <c r="BA328">
        <v>31.536000000000001</v>
      </c>
      <c r="BB328" s="14">
        <v>0.91877403566017957</v>
      </c>
      <c r="BC328">
        <v>26</v>
      </c>
    </row>
    <row r="329" spans="15:55" x14ac:dyDescent="0.35">
      <c r="O329">
        <v>327</v>
      </c>
      <c r="P329">
        <v>113.992473</v>
      </c>
      <c r="Q329" s="14">
        <v>0.92918654934526057</v>
      </c>
      <c r="R329">
        <v>31.49</v>
      </c>
      <c r="S329" s="14">
        <v>0.92797783933518008</v>
      </c>
      <c r="T329">
        <v>26</v>
      </c>
      <c r="V329">
        <v>327</v>
      </c>
      <c r="W329">
        <v>114.27368199999999</v>
      </c>
      <c r="X329" s="14">
        <v>0.93230344819844058</v>
      </c>
      <c r="Y329">
        <v>31.526</v>
      </c>
      <c r="Z329" s="14">
        <v>0.9305744140740303</v>
      </c>
      <c r="AA329">
        <v>26</v>
      </c>
      <c r="AC329">
        <v>327</v>
      </c>
      <c r="AD329">
        <v>113.550676</v>
      </c>
      <c r="AE329" s="14">
        <v>0.93521856570183459</v>
      </c>
      <c r="AF329">
        <v>31.327000000000002</v>
      </c>
      <c r="AG329" s="14">
        <v>0.93254547078260352</v>
      </c>
      <c r="AH329">
        <v>26</v>
      </c>
      <c r="AJ329">
        <v>327</v>
      </c>
      <c r="AK329">
        <v>112.76888099999999</v>
      </c>
      <c r="AL329" s="14">
        <v>0.91629435186559283</v>
      </c>
      <c r="AM329">
        <v>31.157</v>
      </c>
      <c r="AN329" s="14">
        <v>0.91139647809044644</v>
      </c>
      <c r="AO329">
        <v>26</v>
      </c>
      <c r="AQ329">
        <v>327</v>
      </c>
      <c r="AR329">
        <v>111.64224</v>
      </c>
      <c r="AS329" s="14">
        <v>0.91630356964813031</v>
      </c>
      <c r="AT329">
        <v>30.88</v>
      </c>
      <c r="AU329" s="14">
        <v>0.91190975400880014</v>
      </c>
      <c r="AV329">
        <v>26</v>
      </c>
      <c r="AX329">
        <v>327</v>
      </c>
      <c r="AY329">
        <v>113.908531</v>
      </c>
      <c r="AZ329" s="14">
        <v>0.92142171825388441</v>
      </c>
      <c r="BA329">
        <v>31.535</v>
      </c>
      <c r="BB329" s="14">
        <v>0.91874490152662869</v>
      </c>
      <c r="BC329">
        <v>26</v>
      </c>
    </row>
    <row r="330" spans="15:55" x14ac:dyDescent="0.35">
      <c r="O330">
        <v>328</v>
      </c>
      <c r="P330">
        <v>113.959551</v>
      </c>
      <c r="Q330" s="14">
        <v>0.92891819233209583</v>
      </c>
      <c r="R330">
        <v>31.48</v>
      </c>
      <c r="S330" s="14">
        <v>0.92768314964342558</v>
      </c>
      <c r="T330">
        <v>26</v>
      </c>
      <c r="V330">
        <v>328</v>
      </c>
      <c r="W330">
        <v>114.275102</v>
      </c>
      <c r="X330" s="14">
        <v>0.93231503328849175</v>
      </c>
      <c r="Y330">
        <v>31.523</v>
      </c>
      <c r="Z330" s="14">
        <v>0.93048586103075737</v>
      </c>
      <c r="AA330">
        <v>26</v>
      </c>
      <c r="AC330">
        <v>328</v>
      </c>
      <c r="AD330">
        <v>113.555223</v>
      </c>
      <c r="AE330" s="14">
        <v>0.93525601540242687</v>
      </c>
      <c r="AF330">
        <v>31.324999999999999</v>
      </c>
      <c r="AG330" s="14">
        <v>0.93248593456970186</v>
      </c>
      <c r="AH330">
        <v>26</v>
      </c>
      <c r="AJ330">
        <v>328</v>
      </c>
      <c r="AK330">
        <v>112.735928</v>
      </c>
      <c r="AL330" s="14">
        <v>0.9160265949497729</v>
      </c>
      <c r="AM330">
        <v>31.148</v>
      </c>
      <c r="AN330" s="14">
        <v>0.91113321242613932</v>
      </c>
      <c r="AO330">
        <v>26</v>
      </c>
      <c r="AQ330">
        <v>328</v>
      </c>
      <c r="AR330">
        <v>111.63009599999999</v>
      </c>
      <c r="AS330" s="14">
        <v>0.91620389778065603</v>
      </c>
      <c r="AT330">
        <v>30.876000000000001</v>
      </c>
      <c r="AU330" s="14">
        <v>0.91179163098366955</v>
      </c>
      <c r="AV330">
        <v>26</v>
      </c>
      <c r="AX330">
        <v>328</v>
      </c>
      <c r="AY330">
        <v>113.87168800000001</v>
      </c>
      <c r="AZ330" s="14">
        <v>0.92112369017760609</v>
      </c>
      <c r="BA330">
        <v>31.523</v>
      </c>
      <c r="BB330" s="14">
        <v>0.91839529192401825</v>
      </c>
      <c r="BC330">
        <v>26</v>
      </c>
    </row>
    <row r="331" spans="15:55" x14ac:dyDescent="0.35">
      <c r="O331">
        <v>329</v>
      </c>
      <c r="P331">
        <v>113.91413</v>
      </c>
      <c r="Q331" s="14">
        <v>0.92854795225266684</v>
      </c>
      <c r="R331">
        <v>31.469000000000001</v>
      </c>
      <c r="S331" s="14">
        <v>0.92735899098249552</v>
      </c>
      <c r="T331">
        <v>26</v>
      </c>
      <c r="V331">
        <v>329</v>
      </c>
      <c r="W331">
        <v>114.253107</v>
      </c>
      <c r="X331" s="14">
        <v>0.93213558677041131</v>
      </c>
      <c r="Y331">
        <v>31.516999999999999</v>
      </c>
      <c r="Z331" s="14">
        <v>0.93030875494421161</v>
      </c>
      <c r="AA331">
        <v>26</v>
      </c>
      <c r="AC331">
        <v>329</v>
      </c>
      <c r="AD331">
        <v>113.558605</v>
      </c>
      <c r="AE331" s="14">
        <v>0.9352838700070899</v>
      </c>
      <c r="AF331">
        <v>31.324999999999999</v>
      </c>
      <c r="AG331" s="14">
        <v>0.93248593456970186</v>
      </c>
      <c r="AH331">
        <v>26</v>
      </c>
      <c r="AJ331">
        <v>329</v>
      </c>
      <c r="AK331">
        <v>112.724136</v>
      </c>
      <c r="AL331" s="14">
        <v>0.91593078001482475</v>
      </c>
      <c r="AM331">
        <v>31.143999999999998</v>
      </c>
      <c r="AN331" s="14">
        <v>0.91101620546422513</v>
      </c>
      <c r="AO331">
        <v>26</v>
      </c>
      <c r="AQ331">
        <v>329</v>
      </c>
      <c r="AR331">
        <v>111.60314700000001</v>
      </c>
      <c r="AS331" s="14">
        <v>0.91598271389095232</v>
      </c>
      <c r="AT331">
        <v>30.867000000000001</v>
      </c>
      <c r="AU331" s="14">
        <v>0.91152585417712551</v>
      </c>
      <c r="AV331">
        <v>26</v>
      </c>
      <c r="AX331">
        <v>329</v>
      </c>
      <c r="AY331">
        <v>113.820995</v>
      </c>
      <c r="AZ331" s="14">
        <v>0.92071362755320563</v>
      </c>
      <c r="BA331">
        <v>31.510999999999999</v>
      </c>
      <c r="BB331" s="14">
        <v>0.91804568232140782</v>
      </c>
      <c r="BC331">
        <v>26</v>
      </c>
    </row>
    <row r="332" spans="15:55" x14ac:dyDescent="0.35">
      <c r="O332">
        <v>330</v>
      </c>
      <c r="P332">
        <v>113.89014299999999</v>
      </c>
      <c r="Q332" s="14">
        <v>0.92835242708181509</v>
      </c>
      <c r="R332">
        <v>31.462</v>
      </c>
      <c r="S332" s="14">
        <v>0.92715270819826734</v>
      </c>
      <c r="T332">
        <v>26</v>
      </c>
      <c r="V332">
        <v>330</v>
      </c>
      <c r="W332">
        <v>114.19514599999999</v>
      </c>
      <c r="X332" s="14">
        <v>0.9316627111334731</v>
      </c>
      <c r="Y332">
        <v>31.504000000000001</v>
      </c>
      <c r="Z332" s="14">
        <v>0.92992502509002894</v>
      </c>
      <c r="AA332">
        <v>26</v>
      </c>
      <c r="AC332">
        <v>330</v>
      </c>
      <c r="AD332">
        <v>113.534508</v>
      </c>
      <c r="AE332" s="14">
        <v>0.93508540388983219</v>
      </c>
      <c r="AF332">
        <v>31.315999999999999</v>
      </c>
      <c r="AG332" s="14">
        <v>0.93221802161164513</v>
      </c>
      <c r="AH332">
        <v>26</v>
      </c>
      <c r="AJ332">
        <v>330</v>
      </c>
      <c r="AK332">
        <v>112.69996500000001</v>
      </c>
      <c r="AL332" s="14">
        <v>0.91573438052426892</v>
      </c>
      <c r="AM332">
        <v>31.137</v>
      </c>
      <c r="AN332" s="14">
        <v>0.91081144328087527</v>
      </c>
      <c r="AO332">
        <v>26</v>
      </c>
      <c r="AQ332">
        <v>330</v>
      </c>
      <c r="AR332">
        <v>111.547083</v>
      </c>
      <c r="AS332" s="14">
        <v>0.91552256866877879</v>
      </c>
      <c r="AT332">
        <v>30.853999999999999</v>
      </c>
      <c r="AU332" s="14">
        <v>0.91114195434545076</v>
      </c>
      <c r="AV332">
        <v>26</v>
      </c>
      <c r="AX332">
        <v>330</v>
      </c>
      <c r="AY332">
        <v>113.772317</v>
      </c>
      <c r="AZ332" s="14">
        <v>0.92031986453995818</v>
      </c>
      <c r="BA332">
        <v>31.5</v>
      </c>
      <c r="BB332" s="14">
        <v>0.91772520685234826</v>
      </c>
      <c r="BC332">
        <v>26</v>
      </c>
    </row>
    <row r="333" spans="15:55" x14ac:dyDescent="0.35">
      <c r="O333">
        <v>331</v>
      </c>
      <c r="P333">
        <v>113.901419</v>
      </c>
      <c r="Q333" s="14">
        <v>0.92844434111135299</v>
      </c>
      <c r="R333">
        <v>31.463999999999999</v>
      </c>
      <c r="S333" s="14">
        <v>0.92721164613661822</v>
      </c>
      <c r="T333">
        <v>26</v>
      </c>
      <c r="V333">
        <v>331</v>
      </c>
      <c r="W333">
        <v>114.15294900000001</v>
      </c>
      <c r="X333" s="14">
        <v>0.93131844631313043</v>
      </c>
      <c r="Y333">
        <v>31.492999999999999</v>
      </c>
      <c r="Z333" s="14">
        <v>0.92960033059802816</v>
      </c>
      <c r="AA333">
        <v>26</v>
      </c>
      <c r="AC333">
        <v>331</v>
      </c>
      <c r="AD333">
        <v>113.486767</v>
      </c>
      <c r="AE333" s="14">
        <v>0.93469220262394825</v>
      </c>
      <c r="AF333">
        <v>31.305</v>
      </c>
      <c r="AG333" s="14">
        <v>0.93189057244068696</v>
      </c>
      <c r="AH333">
        <v>26</v>
      </c>
      <c r="AJ333">
        <v>331</v>
      </c>
      <c r="AK333">
        <v>112.651813</v>
      </c>
      <c r="AL333" s="14">
        <v>0.91534312537267237</v>
      </c>
      <c r="AM333">
        <v>31.123999999999999</v>
      </c>
      <c r="AN333" s="14">
        <v>0.91043117065465395</v>
      </c>
      <c r="AO333">
        <v>26</v>
      </c>
      <c r="AQ333">
        <v>331</v>
      </c>
      <c r="AR333">
        <v>111.49596099999999</v>
      </c>
      <c r="AS333" s="14">
        <v>0.91510298490650777</v>
      </c>
      <c r="AT333">
        <v>30.84</v>
      </c>
      <c r="AU333" s="14">
        <v>0.91072852375749347</v>
      </c>
      <c r="AV333">
        <v>26</v>
      </c>
      <c r="AX333">
        <v>331</v>
      </c>
      <c r="AY333">
        <v>113.775831</v>
      </c>
      <c r="AZ333" s="14">
        <v>0.92034828976754657</v>
      </c>
      <c r="BA333">
        <v>31.498000000000001</v>
      </c>
      <c r="BB333" s="14">
        <v>0.91766693858524651</v>
      </c>
      <c r="BC333">
        <v>26</v>
      </c>
    </row>
    <row r="334" spans="15:55" x14ac:dyDescent="0.35">
      <c r="O334">
        <v>332</v>
      </c>
      <c r="P334">
        <v>113.906655</v>
      </c>
      <c r="Q334" s="14">
        <v>0.92848702130456506</v>
      </c>
      <c r="R334">
        <v>31.460999999999999</v>
      </c>
      <c r="S334" s="14">
        <v>0.92712323922909179</v>
      </c>
      <c r="T334">
        <v>26</v>
      </c>
      <c r="V334">
        <v>332</v>
      </c>
      <c r="W334">
        <v>114.161953</v>
      </c>
      <c r="X334" s="14">
        <v>0.93139190557427132</v>
      </c>
      <c r="Y334">
        <v>31.492999999999999</v>
      </c>
      <c r="Z334" s="14">
        <v>0.92960033059802816</v>
      </c>
      <c r="AA334">
        <v>26</v>
      </c>
      <c r="AC334">
        <v>332</v>
      </c>
      <c r="AD334">
        <v>113.43762</v>
      </c>
      <c r="AE334" s="14">
        <v>0.93428742135387854</v>
      </c>
      <c r="AF334">
        <v>31.292999999999999</v>
      </c>
      <c r="AG334" s="14">
        <v>0.93153335516327795</v>
      </c>
      <c r="AH334">
        <v>26</v>
      </c>
      <c r="AJ334">
        <v>332</v>
      </c>
      <c r="AK334">
        <v>112.594359</v>
      </c>
      <c r="AL334" s="14">
        <v>0.91487628757819173</v>
      </c>
      <c r="AM334">
        <v>31.11</v>
      </c>
      <c r="AN334" s="14">
        <v>0.91002164628795412</v>
      </c>
      <c r="AO334">
        <v>26</v>
      </c>
      <c r="AQ334">
        <v>332</v>
      </c>
      <c r="AR334">
        <v>111.477678</v>
      </c>
      <c r="AS334" s="14">
        <v>0.91495292720286558</v>
      </c>
      <c r="AT334">
        <v>30.834</v>
      </c>
      <c r="AU334" s="14">
        <v>0.91055133921979747</v>
      </c>
      <c r="AV334">
        <v>26</v>
      </c>
      <c r="AX334">
        <v>332</v>
      </c>
      <c r="AY334">
        <v>113.77948000000001</v>
      </c>
      <c r="AZ334" s="14">
        <v>0.9203778070286367</v>
      </c>
      <c r="BA334">
        <v>31.495999999999999</v>
      </c>
      <c r="BB334" s="14">
        <v>0.91760867031814475</v>
      </c>
      <c r="BC334">
        <v>26</v>
      </c>
    </row>
    <row r="335" spans="15:55" x14ac:dyDescent="0.35">
      <c r="O335">
        <v>333</v>
      </c>
      <c r="P335">
        <v>113.847517</v>
      </c>
      <c r="Q335" s="14">
        <v>0.9280049698786329</v>
      </c>
      <c r="R335">
        <v>31.448</v>
      </c>
      <c r="S335" s="14">
        <v>0.92674014262981086</v>
      </c>
      <c r="T335">
        <v>26</v>
      </c>
      <c r="V335">
        <v>333</v>
      </c>
      <c r="W335">
        <v>114.174012</v>
      </c>
      <c r="X335" s="14">
        <v>0.93149028909605047</v>
      </c>
      <c r="Y335">
        <v>31.492000000000001</v>
      </c>
      <c r="Z335" s="14">
        <v>0.92957081291693722</v>
      </c>
      <c r="AA335">
        <v>26</v>
      </c>
      <c r="AC335">
        <v>333</v>
      </c>
      <c r="AD335">
        <v>113.440313</v>
      </c>
      <c r="AE335" s="14">
        <v>0.93430960126232265</v>
      </c>
      <c r="AF335">
        <v>31.292000000000002</v>
      </c>
      <c r="AG335" s="14">
        <v>0.93150358705682723</v>
      </c>
      <c r="AH335">
        <v>26</v>
      </c>
      <c r="AJ335">
        <v>333</v>
      </c>
      <c r="AK335">
        <v>112.542179</v>
      </c>
      <c r="AL335" s="14">
        <v>0.91445230324087845</v>
      </c>
      <c r="AM335">
        <v>31.097999999999999</v>
      </c>
      <c r="AN335" s="14">
        <v>0.90967062540221144</v>
      </c>
      <c r="AO335">
        <v>26</v>
      </c>
      <c r="AQ335">
        <v>333</v>
      </c>
      <c r="AR335">
        <v>111.47554700000001</v>
      </c>
      <c r="AS335" s="14">
        <v>0.91493543702256364</v>
      </c>
      <c r="AT335">
        <v>30.832000000000001</v>
      </c>
      <c r="AU335" s="14">
        <v>0.91049227770723207</v>
      </c>
      <c r="AV335">
        <v>26</v>
      </c>
      <c r="AX335">
        <v>333</v>
      </c>
      <c r="AY335">
        <v>113.766572</v>
      </c>
      <c r="AZ335" s="14">
        <v>0.92027339244761441</v>
      </c>
      <c r="BA335">
        <v>31.491</v>
      </c>
      <c r="BB335" s="14">
        <v>0.91746299965039046</v>
      </c>
      <c r="BC335">
        <v>26</v>
      </c>
    </row>
    <row r="336" spans="15:55" x14ac:dyDescent="0.35">
      <c r="O336">
        <v>334</v>
      </c>
      <c r="P336">
        <v>113.781975</v>
      </c>
      <c r="Q336" s="14">
        <v>0.9274707175441198</v>
      </c>
      <c r="R336">
        <v>31.431999999999999</v>
      </c>
      <c r="S336" s="14">
        <v>0.9262686391230035</v>
      </c>
      <c r="T336">
        <v>26</v>
      </c>
      <c r="V336">
        <v>334</v>
      </c>
      <c r="W336">
        <v>114.156082</v>
      </c>
      <c r="X336" s="14">
        <v>0.93134400693786989</v>
      </c>
      <c r="Y336">
        <v>31.488</v>
      </c>
      <c r="Z336" s="14">
        <v>0.92945274219257334</v>
      </c>
      <c r="AA336">
        <v>26</v>
      </c>
      <c r="AC336">
        <v>334</v>
      </c>
      <c r="AD336">
        <v>113.45384199999999</v>
      </c>
      <c r="AE336" s="14">
        <v>0.93442102791710868</v>
      </c>
      <c r="AF336">
        <v>31.292000000000002</v>
      </c>
      <c r="AG336" s="14">
        <v>0.93150358705682723</v>
      </c>
      <c r="AH336">
        <v>26</v>
      </c>
      <c r="AJ336">
        <v>334</v>
      </c>
      <c r="AK336">
        <v>112.54034</v>
      </c>
      <c r="AL336" s="14">
        <v>0.91443736059625758</v>
      </c>
      <c r="AM336">
        <v>31.094999999999999</v>
      </c>
      <c r="AN336" s="14">
        <v>0.90958287018077577</v>
      </c>
      <c r="AO336">
        <v>26</v>
      </c>
      <c r="AQ336">
        <v>334</v>
      </c>
      <c r="AR336">
        <v>111.46309100000001</v>
      </c>
      <c r="AS336" s="14">
        <v>0.91483320441541116</v>
      </c>
      <c r="AT336">
        <v>30.826000000000001</v>
      </c>
      <c r="AU336" s="14">
        <v>0.91031509316953607</v>
      </c>
      <c r="AV336">
        <v>26</v>
      </c>
      <c r="AX336">
        <v>334</v>
      </c>
      <c r="AY336">
        <v>113.718254</v>
      </c>
      <c r="AZ336" s="14">
        <v>0.9198825415237043</v>
      </c>
      <c r="BA336">
        <v>31.478999999999999</v>
      </c>
      <c r="BB336" s="14">
        <v>0.91711339004778003</v>
      </c>
      <c r="BC336">
        <v>26</v>
      </c>
    </row>
    <row r="337" spans="15:55" x14ac:dyDescent="0.35">
      <c r="O337">
        <v>335</v>
      </c>
      <c r="P337">
        <v>113.76375899999999</v>
      </c>
      <c r="Q337" s="14">
        <v>0.92732223351059162</v>
      </c>
      <c r="R337">
        <v>31.427</v>
      </c>
      <c r="S337" s="14">
        <v>0.92612129427712619</v>
      </c>
      <c r="T337">
        <v>26</v>
      </c>
      <c r="V337">
        <v>335</v>
      </c>
      <c r="W337">
        <v>114.112791</v>
      </c>
      <c r="X337" s="14">
        <v>0.93099081670307937</v>
      </c>
      <c r="Y337">
        <v>31.475999999999999</v>
      </c>
      <c r="Z337" s="14">
        <v>0.92909853001948162</v>
      </c>
      <c r="AA337">
        <v>26</v>
      </c>
      <c r="AC337">
        <v>335</v>
      </c>
      <c r="AD337">
        <v>113.445548</v>
      </c>
      <c r="AE337" s="14">
        <v>0.93435271742300008</v>
      </c>
      <c r="AF337">
        <v>31.288</v>
      </c>
      <c r="AG337" s="14">
        <v>0.93138451463102423</v>
      </c>
      <c r="AH337">
        <v>26</v>
      </c>
      <c r="AJ337">
        <v>335</v>
      </c>
      <c r="AK337">
        <v>112.537246</v>
      </c>
      <c r="AL337" s="14">
        <v>0.91441222055141946</v>
      </c>
      <c r="AM337">
        <v>31.09</v>
      </c>
      <c r="AN337" s="14">
        <v>0.90943661147838295</v>
      </c>
      <c r="AO337">
        <v>26</v>
      </c>
      <c r="AQ337">
        <v>335</v>
      </c>
      <c r="AR337">
        <v>111.412075</v>
      </c>
      <c r="AS337" s="14">
        <v>0.91441449064803093</v>
      </c>
      <c r="AT337">
        <v>30.814</v>
      </c>
      <c r="AU337" s="14">
        <v>0.90996072409414408</v>
      </c>
      <c r="AV337">
        <v>26</v>
      </c>
      <c r="AX337">
        <v>335</v>
      </c>
      <c r="AY337">
        <v>113.671997</v>
      </c>
      <c r="AZ337" s="14">
        <v>0.91950836231125133</v>
      </c>
      <c r="BA337">
        <v>31.466999999999999</v>
      </c>
      <c r="BB337" s="14">
        <v>0.9167637804451696</v>
      </c>
      <c r="BC337">
        <v>26</v>
      </c>
    </row>
    <row r="338" spans="15:55" x14ac:dyDescent="0.35">
      <c r="O338">
        <v>336</v>
      </c>
      <c r="P338">
        <v>113.79874700000001</v>
      </c>
      <c r="Q338" s="14">
        <v>0.92760743110419508</v>
      </c>
      <c r="R338">
        <v>31.433</v>
      </c>
      <c r="S338" s="14">
        <v>0.92629810809217905</v>
      </c>
      <c r="T338">
        <v>26</v>
      </c>
      <c r="V338">
        <v>336</v>
      </c>
      <c r="W338">
        <v>114.074681</v>
      </c>
      <c r="X338" s="14">
        <v>0.93067989572994714</v>
      </c>
      <c r="Y338">
        <v>31.466999999999999</v>
      </c>
      <c r="Z338" s="14">
        <v>0.92883287088966282</v>
      </c>
      <c r="AA338">
        <v>26</v>
      </c>
      <c r="AC338">
        <v>336</v>
      </c>
      <c r="AD338">
        <v>113.402412</v>
      </c>
      <c r="AE338" s="14">
        <v>0.93399744355347136</v>
      </c>
      <c r="AF338">
        <v>31.277000000000001</v>
      </c>
      <c r="AG338" s="14">
        <v>0.93105706546006606</v>
      </c>
      <c r="AH338">
        <v>26</v>
      </c>
      <c r="AJ338">
        <v>336</v>
      </c>
      <c r="AK338">
        <v>112.517499</v>
      </c>
      <c r="AL338" s="14">
        <v>0.91425176791230633</v>
      </c>
      <c r="AM338">
        <v>31.085000000000001</v>
      </c>
      <c r="AN338" s="14">
        <v>0.90929035277599024</v>
      </c>
      <c r="AO338">
        <v>26</v>
      </c>
      <c r="AQ338">
        <v>336</v>
      </c>
      <c r="AR338">
        <v>111.350572</v>
      </c>
      <c r="AS338" s="14">
        <v>0.91390970483896738</v>
      </c>
      <c r="AT338">
        <v>30.8</v>
      </c>
      <c r="AU338" s="14">
        <v>0.90954729350618668</v>
      </c>
      <c r="AV338">
        <v>26</v>
      </c>
      <c r="AX338">
        <v>336</v>
      </c>
      <c r="AY338">
        <v>113.665216</v>
      </c>
      <c r="AZ338" s="14">
        <v>0.91945350987292529</v>
      </c>
      <c r="BA338">
        <v>31.463999999999999</v>
      </c>
      <c r="BB338" s="14">
        <v>0.91667637804451696</v>
      </c>
      <c r="BC338">
        <v>26</v>
      </c>
    </row>
    <row r="339" spans="15:55" x14ac:dyDescent="0.35">
      <c r="O339">
        <v>337</v>
      </c>
      <c r="P339">
        <v>113.801147</v>
      </c>
      <c r="Q339" s="14">
        <v>0.9276269942179669</v>
      </c>
      <c r="R339">
        <v>31.43</v>
      </c>
      <c r="S339" s="14">
        <v>0.92620970118465262</v>
      </c>
      <c r="T339">
        <v>26</v>
      </c>
      <c r="V339">
        <v>337</v>
      </c>
      <c r="W339">
        <v>114.068685</v>
      </c>
      <c r="X339" s="14">
        <v>0.93063097727928068</v>
      </c>
      <c r="Y339">
        <v>31.463999999999999</v>
      </c>
      <c r="Z339" s="14">
        <v>0.92874431784639</v>
      </c>
      <c r="AA339">
        <v>26</v>
      </c>
      <c r="AC339">
        <v>337</v>
      </c>
      <c r="AD339">
        <v>113.355154</v>
      </c>
      <c r="AE339" s="14">
        <v>0.9336082203402345</v>
      </c>
      <c r="AF339">
        <v>31.265999999999998</v>
      </c>
      <c r="AG339" s="14">
        <v>0.93072961628910766</v>
      </c>
      <c r="AH339">
        <v>26</v>
      </c>
      <c r="AJ339">
        <v>337</v>
      </c>
      <c r="AK339">
        <v>112.463167</v>
      </c>
      <c r="AL339" s="14">
        <v>0.91381029767438171</v>
      </c>
      <c r="AM339">
        <v>31.07</v>
      </c>
      <c r="AN339" s="14">
        <v>0.90885157666881178</v>
      </c>
      <c r="AO339">
        <v>26</v>
      </c>
      <c r="AQ339">
        <v>337</v>
      </c>
      <c r="AR339">
        <v>111.323656</v>
      </c>
      <c r="AS339" s="14">
        <v>0.91368879179672946</v>
      </c>
      <c r="AT339">
        <v>30.792000000000002</v>
      </c>
      <c r="AU339" s="14">
        <v>0.90931104745592539</v>
      </c>
      <c r="AV339">
        <v>26</v>
      </c>
      <c r="AX339">
        <v>337</v>
      </c>
      <c r="AY339">
        <v>113.683682</v>
      </c>
      <c r="AZ339" s="14">
        <v>0.9196028838776632</v>
      </c>
      <c r="BA339">
        <v>31.463999999999999</v>
      </c>
      <c r="BB339" s="14">
        <v>0.91667637804451696</v>
      </c>
      <c r="BC339">
        <v>26</v>
      </c>
    </row>
    <row r="340" spans="15:55" x14ac:dyDescent="0.35">
      <c r="O340">
        <v>338</v>
      </c>
      <c r="P340">
        <v>113.763621</v>
      </c>
      <c r="Q340" s="14">
        <v>0.92732110863154982</v>
      </c>
      <c r="R340">
        <v>31.420999999999999</v>
      </c>
      <c r="S340" s="14">
        <v>0.92594448046207345</v>
      </c>
      <c r="T340">
        <v>26</v>
      </c>
      <c r="V340">
        <v>338</v>
      </c>
      <c r="W340">
        <v>114.083901</v>
      </c>
      <c r="X340" s="14">
        <v>0.93075511723013815</v>
      </c>
      <c r="Y340">
        <v>31.463999999999999</v>
      </c>
      <c r="Z340" s="14">
        <v>0.92874431784639</v>
      </c>
      <c r="AA340">
        <v>26</v>
      </c>
      <c r="AC340">
        <v>338</v>
      </c>
      <c r="AD340">
        <v>113.344409</v>
      </c>
      <c r="AE340" s="14">
        <v>0.93351972308207232</v>
      </c>
      <c r="AF340">
        <v>31.262</v>
      </c>
      <c r="AG340" s="14">
        <v>0.93061054386330477</v>
      </c>
      <c r="AH340">
        <v>26</v>
      </c>
      <c r="AJ340">
        <v>338</v>
      </c>
      <c r="AK340">
        <v>112.39157400000001</v>
      </c>
      <c r="AL340" s="14">
        <v>0.91322857458773421</v>
      </c>
      <c r="AM340">
        <v>31.053999999999998</v>
      </c>
      <c r="AN340" s="14">
        <v>0.9083835488211548</v>
      </c>
      <c r="AO340">
        <v>26</v>
      </c>
      <c r="AQ340">
        <v>338</v>
      </c>
      <c r="AR340">
        <v>111.32887599999999</v>
      </c>
      <c r="AS340" s="14">
        <v>0.91373163494134535</v>
      </c>
      <c r="AT340">
        <v>30.79</v>
      </c>
      <c r="AU340" s="14">
        <v>0.90925198594335999</v>
      </c>
      <c r="AV340">
        <v>26</v>
      </c>
      <c r="AX340">
        <v>338</v>
      </c>
      <c r="AY340">
        <v>113.652671</v>
      </c>
      <c r="AZ340" s="14">
        <v>0.91935203164865165</v>
      </c>
      <c r="BA340">
        <v>31.456</v>
      </c>
      <c r="BB340" s="14">
        <v>0.91644330497611004</v>
      </c>
      <c r="BC340">
        <v>26</v>
      </c>
    </row>
    <row r="341" spans="15:55" x14ac:dyDescent="0.35">
      <c r="O341">
        <v>339</v>
      </c>
      <c r="P341">
        <v>113.704869</v>
      </c>
      <c r="Q341" s="14">
        <v>0.926842203606416</v>
      </c>
      <c r="R341">
        <v>31.405999999999999</v>
      </c>
      <c r="S341" s="14">
        <v>0.92550244592444164</v>
      </c>
      <c r="T341">
        <v>26</v>
      </c>
      <c r="V341">
        <v>339</v>
      </c>
      <c r="W341">
        <v>114.058559</v>
      </c>
      <c r="X341" s="14">
        <v>0.93054836416529652</v>
      </c>
      <c r="Y341">
        <v>31.457000000000001</v>
      </c>
      <c r="Z341" s="14">
        <v>0.9285376940787532</v>
      </c>
      <c r="AA341">
        <v>26</v>
      </c>
      <c r="AC341">
        <v>339</v>
      </c>
      <c r="AD341">
        <v>113.35787000000001</v>
      </c>
      <c r="AE341" s="14">
        <v>0.93363058967975698</v>
      </c>
      <c r="AF341">
        <v>31.262</v>
      </c>
      <c r="AG341" s="14">
        <v>0.93061054386330477</v>
      </c>
      <c r="AH341">
        <v>26</v>
      </c>
      <c r="AJ341">
        <v>339</v>
      </c>
      <c r="AK341">
        <v>112.387022</v>
      </c>
      <c r="AL341" s="14">
        <v>0.91319158768272368</v>
      </c>
      <c r="AM341">
        <v>31.05</v>
      </c>
      <c r="AN341" s="14">
        <v>0.90826654185924061</v>
      </c>
      <c r="AO341">
        <v>26</v>
      </c>
      <c r="AQ341">
        <v>339</v>
      </c>
      <c r="AR341">
        <v>111.325329</v>
      </c>
      <c r="AS341" s="14">
        <v>0.91370252294250387</v>
      </c>
      <c r="AT341">
        <v>30.786999999999999</v>
      </c>
      <c r="AU341" s="14">
        <v>0.90916339367451193</v>
      </c>
      <c r="AV341">
        <v>26</v>
      </c>
      <c r="AX341">
        <v>339</v>
      </c>
      <c r="AY341">
        <v>113.595265</v>
      </c>
      <c r="AZ341" s="14">
        <v>0.91888766664724464</v>
      </c>
      <c r="BA341">
        <v>31.442</v>
      </c>
      <c r="BB341" s="14">
        <v>0.91603542710639796</v>
      </c>
      <c r="BC341">
        <v>26</v>
      </c>
    </row>
    <row r="342" spans="15:55" x14ac:dyDescent="0.35">
      <c r="O342">
        <v>340</v>
      </c>
      <c r="P342">
        <v>113.68222900000001</v>
      </c>
      <c r="Q342" s="14">
        <v>0.9266576582331687</v>
      </c>
      <c r="R342">
        <v>31.401</v>
      </c>
      <c r="S342" s="14">
        <v>0.92535510107856433</v>
      </c>
      <c r="T342">
        <v>26</v>
      </c>
      <c r="V342">
        <v>340</v>
      </c>
      <c r="W342">
        <v>114.002482</v>
      </c>
      <c r="X342" s="14">
        <v>0.93009085916896128</v>
      </c>
      <c r="Y342">
        <v>31.443999999999999</v>
      </c>
      <c r="Z342" s="14">
        <v>0.92815396422457053</v>
      </c>
      <c r="AA342">
        <v>26</v>
      </c>
      <c r="AC342">
        <v>340</v>
      </c>
      <c r="AD342">
        <v>113.34371899999999</v>
      </c>
      <c r="AE342" s="14">
        <v>0.93351404014971939</v>
      </c>
      <c r="AF342">
        <v>31.257000000000001</v>
      </c>
      <c r="AG342" s="14">
        <v>0.93046170333105105</v>
      </c>
      <c r="AH342">
        <v>26</v>
      </c>
      <c r="AJ342">
        <v>340</v>
      </c>
      <c r="AK342">
        <v>112.391632</v>
      </c>
      <c r="AL342" s="14">
        <v>0.91322904586200715</v>
      </c>
      <c r="AM342">
        <v>31.05</v>
      </c>
      <c r="AN342" s="14">
        <v>0.90826654185924061</v>
      </c>
      <c r="AO342">
        <v>26</v>
      </c>
      <c r="AQ342">
        <v>340</v>
      </c>
      <c r="AR342">
        <v>111.294231</v>
      </c>
      <c r="AS342" s="14">
        <v>0.91344728613957948</v>
      </c>
      <c r="AT342">
        <v>30.777000000000001</v>
      </c>
      <c r="AU342" s="14">
        <v>0.90886808611168535</v>
      </c>
      <c r="AV342">
        <v>26</v>
      </c>
      <c r="AX342">
        <v>340</v>
      </c>
      <c r="AY342">
        <v>113.538827</v>
      </c>
      <c r="AZ342" s="14">
        <v>0.91843113193050063</v>
      </c>
      <c r="BA342">
        <v>31.428000000000001</v>
      </c>
      <c r="BB342" s="14">
        <v>0.91562754923668577</v>
      </c>
      <c r="BC342">
        <v>26</v>
      </c>
    </row>
    <row r="343" spans="15:55" x14ac:dyDescent="0.35">
      <c r="O343">
        <v>341</v>
      </c>
      <c r="P343">
        <v>113.70849800000001</v>
      </c>
      <c r="Q343" s="14">
        <v>0.92687178466469855</v>
      </c>
      <c r="R343">
        <v>31.405000000000001</v>
      </c>
      <c r="S343" s="14">
        <v>0.9254729769552662</v>
      </c>
      <c r="T343">
        <v>26</v>
      </c>
      <c r="V343">
        <v>341</v>
      </c>
      <c r="W343">
        <v>113.947879</v>
      </c>
      <c r="X343" s="14">
        <v>0.92964537982243955</v>
      </c>
      <c r="Y343">
        <v>31.431000000000001</v>
      </c>
      <c r="Z343" s="14">
        <v>0.92777023437038786</v>
      </c>
      <c r="AA343">
        <v>26</v>
      </c>
      <c r="AC343">
        <v>341</v>
      </c>
      <c r="AD343">
        <v>113.278013</v>
      </c>
      <c r="AE343" s="14">
        <v>0.93297287673931395</v>
      </c>
      <c r="AF343">
        <v>31.242000000000001</v>
      </c>
      <c r="AG343" s="14">
        <v>0.93001518173428976</v>
      </c>
      <c r="AH343">
        <v>26</v>
      </c>
      <c r="AJ343">
        <v>341</v>
      </c>
      <c r="AK343">
        <v>112.375826</v>
      </c>
      <c r="AL343" s="14">
        <v>0.91310061549720123</v>
      </c>
      <c r="AM343">
        <v>31.042999999999999</v>
      </c>
      <c r="AN343" s="14">
        <v>0.90806177967589075</v>
      </c>
      <c r="AO343">
        <v>26</v>
      </c>
      <c r="AQ343">
        <v>341</v>
      </c>
      <c r="AR343">
        <v>111.252554</v>
      </c>
      <c r="AS343" s="14">
        <v>0.91310522220506674</v>
      </c>
      <c r="AT343">
        <v>30.765999999999998</v>
      </c>
      <c r="AU343" s="14">
        <v>0.90854324779257589</v>
      </c>
      <c r="AV343">
        <v>26</v>
      </c>
      <c r="AX343">
        <v>341</v>
      </c>
      <c r="AY343">
        <v>113.546334</v>
      </c>
      <c r="AZ343" s="14">
        <v>0.91849185708232384</v>
      </c>
      <c r="BA343">
        <v>31.428000000000001</v>
      </c>
      <c r="BB343" s="14">
        <v>0.91562754923668577</v>
      </c>
      <c r="BC343">
        <v>26</v>
      </c>
    </row>
    <row r="344" spans="15:55" x14ac:dyDescent="0.35">
      <c r="O344">
        <v>342</v>
      </c>
      <c r="P344">
        <v>113.71843800000001</v>
      </c>
      <c r="Q344" s="14">
        <v>0.92695280856090345</v>
      </c>
      <c r="R344">
        <v>31.402999999999999</v>
      </c>
      <c r="S344" s="14">
        <v>0.92541403901691521</v>
      </c>
      <c r="T344">
        <v>26</v>
      </c>
      <c r="V344">
        <v>342</v>
      </c>
      <c r="W344">
        <v>113.957283</v>
      </c>
      <c r="X344" s="14">
        <v>0.92972210248922882</v>
      </c>
      <c r="Y344">
        <v>31.431000000000001</v>
      </c>
      <c r="Z344" s="14">
        <v>0.92777023437038786</v>
      </c>
      <c r="AA344">
        <v>26</v>
      </c>
      <c r="AC344">
        <v>342</v>
      </c>
      <c r="AD344">
        <v>113.229671</v>
      </c>
      <c r="AE344" s="14">
        <v>0.93257472555698928</v>
      </c>
      <c r="AF344">
        <v>31.231000000000002</v>
      </c>
      <c r="AG344" s="14">
        <v>0.92968773256333159</v>
      </c>
      <c r="AH344">
        <v>26</v>
      </c>
      <c r="AJ344">
        <v>342</v>
      </c>
      <c r="AK344">
        <v>112.329491</v>
      </c>
      <c r="AL344" s="14">
        <v>0.91272412423101856</v>
      </c>
      <c r="AM344">
        <v>31.030999999999999</v>
      </c>
      <c r="AN344" s="14">
        <v>0.90771075879014795</v>
      </c>
      <c r="AO344">
        <v>26</v>
      </c>
      <c r="AQ344">
        <v>342</v>
      </c>
      <c r="AR344">
        <v>111.21470100000001</v>
      </c>
      <c r="AS344" s="14">
        <v>0.91279454374660973</v>
      </c>
      <c r="AT344">
        <v>30.757000000000001</v>
      </c>
      <c r="AU344" s="14">
        <v>0.90827747098603195</v>
      </c>
      <c r="AV344">
        <v>26</v>
      </c>
      <c r="AX344">
        <v>342</v>
      </c>
      <c r="AY344">
        <v>113.56165799999999</v>
      </c>
      <c r="AZ344" s="14">
        <v>0.91861581501845524</v>
      </c>
      <c r="BA344">
        <v>31.428000000000001</v>
      </c>
      <c r="BB344" s="14">
        <v>0.91562754923668577</v>
      </c>
      <c r="BC344">
        <v>26</v>
      </c>
    </row>
    <row r="345" spans="15:55" x14ac:dyDescent="0.35">
      <c r="O345">
        <v>343</v>
      </c>
      <c r="P345">
        <v>113.661501</v>
      </c>
      <c r="Q345" s="14">
        <v>0.92648869814055945</v>
      </c>
      <c r="R345">
        <v>31.39</v>
      </c>
      <c r="S345" s="14">
        <v>0.92503094241763428</v>
      </c>
      <c r="T345">
        <v>26</v>
      </c>
      <c r="V345">
        <v>343</v>
      </c>
      <c r="W345">
        <v>113.974239</v>
      </c>
      <c r="X345" s="14">
        <v>0.92986043825465592</v>
      </c>
      <c r="Y345">
        <v>31.431999999999999</v>
      </c>
      <c r="Z345" s="14">
        <v>0.9277997520514788</v>
      </c>
      <c r="AA345">
        <v>26</v>
      </c>
      <c r="AC345">
        <v>343</v>
      </c>
      <c r="AD345">
        <v>113.22041299999999</v>
      </c>
      <c r="AE345" s="14">
        <v>0.93249847542985431</v>
      </c>
      <c r="AF345">
        <v>31.227</v>
      </c>
      <c r="AG345" s="14">
        <v>0.92956866013752859</v>
      </c>
      <c r="AH345">
        <v>26</v>
      </c>
      <c r="AJ345">
        <v>343</v>
      </c>
      <c r="AK345">
        <v>112.284093</v>
      </c>
      <c r="AL345" s="14">
        <v>0.91235524648197008</v>
      </c>
      <c r="AM345">
        <v>31.02</v>
      </c>
      <c r="AN345" s="14">
        <v>0.9073889896448839</v>
      </c>
      <c r="AO345">
        <v>26</v>
      </c>
      <c r="AQ345">
        <v>343</v>
      </c>
      <c r="AR345">
        <v>111.217609</v>
      </c>
      <c r="AS345" s="14">
        <v>0.91281841115361018</v>
      </c>
      <c r="AT345">
        <v>30.754000000000001</v>
      </c>
      <c r="AU345" s="14">
        <v>0.90818887871718401</v>
      </c>
      <c r="AV345">
        <v>26</v>
      </c>
      <c r="AX345">
        <v>343</v>
      </c>
      <c r="AY345">
        <v>113.553465</v>
      </c>
      <c r="AZ345" s="14">
        <v>0.91854954071861683</v>
      </c>
      <c r="BA345">
        <v>31.423999999999999</v>
      </c>
      <c r="BB345" s="14">
        <v>0.91551101270248225</v>
      </c>
      <c r="BC345">
        <v>26</v>
      </c>
    </row>
    <row r="346" spans="15:55" x14ac:dyDescent="0.35">
      <c r="O346">
        <v>344</v>
      </c>
      <c r="P346">
        <v>113.591746</v>
      </c>
      <c r="Q346" s="14">
        <v>0.92592010439007932</v>
      </c>
      <c r="R346">
        <v>31.373999999999999</v>
      </c>
      <c r="S346" s="14">
        <v>0.92455943891082693</v>
      </c>
      <c r="T346">
        <v>26</v>
      </c>
      <c r="V346">
        <v>344</v>
      </c>
      <c r="W346">
        <v>113.96872</v>
      </c>
      <c r="X346" s="14">
        <v>0.92981541141522495</v>
      </c>
      <c r="Y346">
        <v>31.428999999999998</v>
      </c>
      <c r="Z346" s="14">
        <v>0.92771119900820587</v>
      </c>
      <c r="AA346">
        <v>26</v>
      </c>
      <c r="AC346">
        <v>344</v>
      </c>
      <c r="AD346">
        <v>113.249456</v>
      </c>
      <c r="AE346" s="14">
        <v>0.93273767746510838</v>
      </c>
      <c r="AF346">
        <v>31.23</v>
      </c>
      <c r="AG346" s="14">
        <v>0.92965796445688076</v>
      </c>
      <c r="AH346">
        <v>26</v>
      </c>
      <c r="AJ346">
        <v>344</v>
      </c>
      <c r="AK346">
        <v>112.259243</v>
      </c>
      <c r="AL346" s="14">
        <v>0.91215332983225306</v>
      </c>
      <c r="AM346">
        <v>31.013000000000002</v>
      </c>
      <c r="AN346" s="14">
        <v>0.90718422746153404</v>
      </c>
      <c r="AO346">
        <v>26</v>
      </c>
      <c r="AQ346">
        <v>344</v>
      </c>
      <c r="AR346">
        <v>111.230772</v>
      </c>
      <c r="AS346" s="14">
        <v>0.9129264464625334</v>
      </c>
      <c r="AT346">
        <v>30.754000000000001</v>
      </c>
      <c r="AU346" s="14">
        <v>0.90818887871718401</v>
      </c>
      <c r="AV346">
        <v>26</v>
      </c>
      <c r="AX346">
        <v>344</v>
      </c>
      <c r="AY346">
        <v>113.499985</v>
      </c>
      <c r="AZ346" s="14">
        <v>0.91811693366926228</v>
      </c>
      <c r="BA346">
        <v>31.41</v>
      </c>
      <c r="BB346" s="14">
        <v>0.91510313483277017</v>
      </c>
      <c r="BC346">
        <v>26</v>
      </c>
    </row>
    <row r="347" spans="15:55" x14ac:dyDescent="0.35">
      <c r="O347">
        <v>345</v>
      </c>
      <c r="P347">
        <v>113.54286399999999</v>
      </c>
      <c r="Q347" s="14">
        <v>0.92552165267033193</v>
      </c>
      <c r="R347">
        <v>31.363</v>
      </c>
      <c r="S347" s="14">
        <v>0.92423528024989687</v>
      </c>
      <c r="T347">
        <v>26</v>
      </c>
      <c r="V347">
        <v>345</v>
      </c>
      <c r="W347">
        <v>113.92892399999999</v>
      </c>
      <c r="X347" s="14">
        <v>0.92949073518728553</v>
      </c>
      <c r="Y347">
        <v>31.417999999999999</v>
      </c>
      <c r="Z347" s="14">
        <v>0.92738650451620519</v>
      </c>
      <c r="AA347">
        <v>26</v>
      </c>
      <c r="AC347">
        <v>345</v>
      </c>
      <c r="AD347">
        <v>113.252561</v>
      </c>
      <c r="AE347" s="14">
        <v>0.93276325066069654</v>
      </c>
      <c r="AF347">
        <v>31.227</v>
      </c>
      <c r="AG347" s="14">
        <v>0.92956866013752859</v>
      </c>
      <c r="AH347">
        <v>26</v>
      </c>
      <c r="AJ347">
        <v>345</v>
      </c>
      <c r="AK347">
        <v>112.263972</v>
      </c>
      <c r="AL347" s="14">
        <v>0.91219175493633797</v>
      </c>
      <c r="AM347">
        <v>31.012</v>
      </c>
      <c r="AN347" s="14">
        <v>0.90715497572105541</v>
      </c>
      <c r="AO347">
        <v>26</v>
      </c>
      <c r="AQ347">
        <v>345</v>
      </c>
      <c r="AR347">
        <v>111.198808</v>
      </c>
      <c r="AS347" s="14">
        <v>0.91266410196550229</v>
      </c>
      <c r="AT347">
        <v>30.745000000000001</v>
      </c>
      <c r="AU347" s="14">
        <v>0.90792310191063996</v>
      </c>
      <c r="AV347">
        <v>26</v>
      </c>
      <c r="AX347">
        <v>345</v>
      </c>
      <c r="AY347">
        <v>113.44651399999999</v>
      </c>
      <c r="AZ347" s="14">
        <v>0.91768439942214119</v>
      </c>
      <c r="BA347">
        <v>31.398</v>
      </c>
      <c r="BB347" s="14">
        <v>0.91475352523015974</v>
      </c>
      <c r="BC347">
        <v>26</v>
      </c>
    </row>
    <row r="348" spans="15:55" x14ac:dyDescent="0.35">
      <c r="O348">
        <v>346</v>
      </c>
      <c r="P348">
        <v>113.52788200000001</v>
      </c>
      <c r="Q348" s="14">
        <v>0.92539952993261154</v>
      </c>
      <c r="R348">
        <v>31.356999999999999</v>
      </c>
      <c r="S348" s="14">
        <v>0.92405846643484413</v>
      </c>
      <c r="T348">
        <v>26</v>
      </c>
      <c r="V348">
        <v>346</v>
      </c>
      <c r="W348">
        <v>113.874771</v>
      </c>
      <c r="X348" s="14">
        <v>0.92904892717211807</v>
      </c>
      <c r="Y348">
        <v>31.405999999999999</v>
      </c>
      <c r="Z348" s="14">
        <v>0.92703229234311346</v>
      </c>
      <c r="AA348">
        <v>26</v>
      </c>
      <c r="AC348">
        <v>346</v>
      </c>
      <c r="AD348">
        <v>113.214709</v>
      </c>
      <c r="AE348" s="14">
        <v>0.93245149652240367</v>
      </c>
      <c r="AF348">
        <v>31.219000000000001</v>
      </c>
      <c r="AG348" s="14">
        <v>0.92933051528592259</v>
      </c>
      <c r="AH348">
        <v>26</v>
      </c>
      <c r="AJ348">
        <v>346</v>
      </c>
      <c r="AK348">
        <v>112.27502200000001</v>
      </c>
      <c r="AL348" s="14">
        <v>0.91228154081075952</v>
      </c>
      <c r="AM348">
        <v>31.01</v>
      </c>
      <c r="AN348" s="14">
        <v>0.90709647224009837</v>
      </c>
      <c r="AO348">
        <v>26</v>
      </c>
      <c r="AQ348">
        <v>346</v>
      </c>
      <c r="AR348">
        <v>111.13751600000001</v>
      </c>
      <c r="AS348" s="14">
        <v>0.9121610479387211</v>
      </c>
      <c r="AT348">
        <v>30.73</v>
      </c>
      <c r="AU348" s="14">
        <v>0.90748014056639992</v>
      </c>
      <c r="AV348">
        <v>26</v>
      </c>
      <c r="AX348">
        <v>346</v>
      </c>
      <c r="AY348">
        <v>113.43793100000001</v>
      </c>
      <c r="AZ348" s="14">
        <v>0.91761497035885387</v>
      </c>
      <c r="BA348">
        <v>31.393999999999998</v>
      </c>
      <c r="BB348" s="14">
        <v>0.91463698869595622</v>
      </c>
      <c r="BC348">
        <v>26</v>
      </c>
    </row>
    <row r="349" spans="15:55" x14ac:dyDescent="0.35">
      <c r="O349">
        <v>347</v>
      </c>
      <c r="P349">
        <v>113.50911499999999</v>
      </c>
      <c r="Q349" s="14">
        <v>0.92524655453421334</v>
      </c>
      <c r="R349">
        <v>31.352</v>
      </c>
      <c r="S349" s="14">
        <v>0.92391112158896693</v>
      </c>
      <c r="T349">
        <v>26</v>
      </c>
      <c r="V349">
        <v>347</v>
      </c>
      <c r="W349">
        <v>113.865246</v>
      </c>
      <c r="X349" s="14">
        <v>0.92897121732512034</v>
      </c>
      <c r="Y349">
        <v>31.402999999999999</v>
      </c>
      <c r="Z349" s="14">
        <v>0.92694373929984053</v>
      </c>
      <c r="AA349">
        <v>26</v>
      </c>
      <c r="AC349">
        <v>347</v>
      </c>
      <c r="AD349">
        <v>113.152736</v>
      </c>
      <c r="AE349" s="14">
        <v>0.93194107859964082</v>
      </c>
      <c r="AF349">
        <v>31.204999999999998</v>
      </c>
      <c r="AG349" s="14">
        <v>0.92891376179561203</v>
      </c>
      <c r="AH349">
        <v>26</v>
      </c>
      <c r="AJ349">
        <v>347</v>
      </c>
      <c r="AK349">
        <v>112.229078</v>
      </c>
      <c r="AL349" s="14">
        <v>0.91190822658321025</v>
      </c>
      <c r="AM349">
        <v>30.998999999999999</v>
      </c>
      <c r="AN349" s="14">
        <v>0.9067747030948341</v>
      </c>
      <c r="AO349">
        <v>26</v>
      </c>
      <c r="AQ349">
        <v>347</v>
      </c>
      <c r="AR349">
        <v>111.091347</v>
      </c>
      <c r="AS349" s="14">
        <v>0.9117821159188414</v>
      </c>
      <c r="AT349">
        <v>30.719000000000001</v>
      </c>
      <c r="AU349" s="14">
        <v>0.90715530224729057</v>
      </c>
      <c r="AV349">
        <v>26</v>
      </c>
      <c r="AX349">
        <v>347</v>
      </c>
      <c r="AY349">
        <v>113.45308900000001</v>
      </c>
      <c r="AZ349" s="14">
        <v>0.91773758549823525</v>
      </c>
      <c r="BA349">
        <v>31.393000000000001</v>
      </c>
      <c r="BB349" s="14">
        <v>0.91460785456240534</v>
      </c>
      <c r="BC349">
        <v>26</v>
      </c>
    </row>
    <row r="350" spans="15:55" x14ac:dyDescent="0.35">
      <c r="O350">
        <v>348</v>
      </c>
      <c r="P350">
        <v>113.47196099999999</v>
      </c>
      <c r="Q350" s="14">
        <v>0.92494370123043101</v>
      </c>
      <c r="R350">
        <v>31.341999999999999</v>
      </c>
      <c r="S350" s="14">
        <v>0.92361643189721232</v>
      </c>
      <c r="T350">
        <v>26</v>
      </c>
      <c r="V350">
        <v>348</v>
      </c>
      <c r="W350">
        <v>113.887158</v>
      </c>
      <c r="X350" s="14">
        <v>0.92914998668652882</v>
      </c>
      <c r="Y350">
        <v>31.404</v>
      </c>
      <c r="Z350" s="14">
        <v>0.92697325698093158</v>
      </c>
      <c r="AA350">
        <v>26</v>
      </c>
      <c r="AC350">
        <v>348</v>
      </c>
      <c r="AD350">
        <v>113.12672999999999</v>
      </c>
      <c r="AE350" s="14">
        <v>0.93172688970287332</v>
      </c>
      <c r="AF350">
        <v>31.196999999999999</v>
      </c>
      <c r="AG350" s="14">
        <v>0.92867561694400602</v>
      </c>
      <c r="AH350">
        <v>26</v>
      </c>
      <c r="AJ350">
        <v>348</v>
      </c>
      <c r="AK350">
        <v>112.158833</v>
      </c>
      <c r="AL350" s="14">
        <v>0.9113374565607002</v>
      </c>
      <c r="AM350">
        <v>30.981999999999999</v>
      </c>
      <c r="AN350" s="14">
        <v>0.9062774235066986</v>
      </c>
      <c r="AO350">
        <v>26</v>
      </c>
      <c r="AQ350">
        <v>348</v>
      </c>
      <c r="AR350">
        <v>111.107947</v>
      </c>
      <c r="AS350" s="14">
        <v>0.91191836040171959</v>
      </c>
      <c r="AT350">
        <v>30.721</v>
      </c>
      <c r="AU350" s="14">
        <v>0.90721436375985587</v>
      </c>
      <c r="AV350">
        <v>26</v>
      </c>
      <c r="AX350">
        <v>348</v>
      </c>
      <c r="AY350">
        <v>113.436176</v>
      </c>
      <c r="AZ350" s="14">
        <v>0.91760077392333372</v>
      </c>
      <c r="BA350">
        <v>31.388000000000002</v>
      </c>
      <c r="BB350" s="14">
        <v>0.91446218389465106</v>
      </c>
      <c r="BC350">
        <v>26</v>
      </c>
    </row>
    <row r="351" spans="15:55" x14ac:dyDescent="0.35">
      <c r="O351">
        <v>349</v>
      </c>
      <c r="P351">
        <v>113.41927099999999</v>
      </c>
      <c r="Q351" s="14">
        <v>0.92451420937016582</v>
      </c>
      <c r="R351">
        <v>31.329000000000001</v>
      </c>
      <c r="S351" s="14">
        <v>0.92323333529793139</v>
      </c>
      <c r="T351">
        <v>26</v>
      </c>
      <c r="V351">
        <v>349</v>
      </c>
      <c r="W351">
        <v>113.878294</v>
      </c>
      <c r="X351" s="14">
        <v>0.9290776696173646</v>
      </c>
      <c r="Y351">
        <v>31.4</v>
      </c>
      <c r="Z351" s="14">
        <v>0.9268551862565676</v>
      </c>
      <c r="AA351">
        <v>26</v>
      </c>
      <c r="AC351">
        <v>349</v>
      </c>
      <c r="AD351">
        <v>113.149361</v>
      </c>
      <c r="AE351" s="14">
        <v>0.93191328164791465</v>
      </c>
      <c r="AF351">
        <v>31.199000000000002</v>
      </c>
      <c r="AG351" s="14">
        <v>0.92873515315690769</v>
      </c>
      <c r="AH351">
        <v>26</v>
      </c>
      <c r="AJ351">
        <v>349</v>
      </c>
      <c r="AK351">
        <v>112.128888</v>
      </c>
      <c r="AL351" s="14">
        <v>0.91109414090372731</v>
      </c>
      <c r="AM351">
        <v>30.975000000000001</v>
      </c>
      <c r="AN351" s="14">
        <v>0.90607266132334874</v>
      </c>
      <c r="AO351">
        <v>26</v>
      </c>
      <c r="AQ351">
        <v>349</v>
      </c>
      <c r="AR351">
        <v>111.113212</v>
      </c>
      <c r="AS351" s="14">
        <v>0.9119615728837891</v>
      </c>
      <c r="AT351">
        <v>30.716999999999999</v>
      </c>
      <c r="AU351" s="14">
        <v>0.90709624073472517</v>
      </c>
      <c r="AV351">
        <v>26</v>
      </c>
      <c r="AX351">
        <v>349</v>
      </c>
      <c r="AY351">
        <v>113.37702299999999</v>
      </c>
      <c r="AZ351" s="14">
        <v>0.9171222771995029</v>
      </c>
      <c r="BA351">
        <v>31.373999999999999</v>
      </c>
      <c r="BB351" s="14">
        <v>0.91405430602493887</v>
      </c>
      <c r="BC351">
        <v>26</v>
      </c>
    </row>
    <row r="352" spans="15:55" x14ac:dyDescent="0.35">
      <c r="O352">
        <v>350</v>
      </c>
      <c r="P352">
        <v>113.36342999999999</v>
      </c>
      <c r="Q352" s="14">
        <v>0.9240590327717777</v>
      </c>
      <c r="R352">
        <v>31.315999999999999</v>
      </c>
      <c r="S352" s="14">
        <v>0.92285023869865035</v>
      </c>
      <c r="T352">
        <v>26</v>
      </c>
      <c r="V352">
        <v>350</v>
      </c>
      <c r="W352">
        <v>113.81645399999999</v>
      </c>
      <c r="X352" s="14">
        <v>0.92857314710415295</v>
      </c>
      <c r="Y352">
        <v>31.385000000000002</v>
      </c>
      <c r="Z352" s="14">
        <v>0.92641242104020316</v>
      </c>
      <c r="AA352">
        <v>26</v>
      </c>
      <c r="AC352">
        <v>350</v>
      </c>
      <c r="AD352">
        <v>113.16364400000001</v>
      </c>
      <c r="AE352" s="14">
        <v>0.93203091834761975</v>
      </c>
      <c r="AF352">
        <v>31.199000000000002</v>
      </c>
      <c r="AG352" s="14">
        <v>0.92873515315690769</v>
      </c>
      <c r="AH352">
        <v>26</v>
      </c>
      <c r="AJ352">
        <v>350</v>
      </c>
      <c r="AK352">
        <v>112.159779</v>
      </c>
      <c r="AL352" s="14">
        <v>0.91134514320660087</v>
      </c>
      <c r="AM352">
        <v>30.977</v>
      </c>
      <c r="AN352" s="14">
        <v>0.90613116480430589</v>
      </c>
      <c r="AO352">
        <v>26</v>
      </c>
      <c r="AQ352">
        <v>350</v>
      </c>
      <c r="AR352">
        <v>111.089116</v>
      </c>
      <c r="AS352" s="14">
        <v>0.91176380498864262</v>
      </c>
      <c r="AT352">
        <v>30.710999999999999</v>
      </c>
      <c r="AU352" s="14">
        <v>0.90691905619702917</v>
      </c>
      <c r="AV352">
        <v>26</v>
      </c>
      <c r="AX352">
        <v>350</v>
      </c>
      <c r="AY352">
        <v>113.305038</v>
      </c>
      <c r="AZ352" s="14">
        <v>0.91653998066906561</v>
      </c>
      <c r="BA352">
        <v>31.356999999999999</v>
      </c>
      <c r="BB352" s="14">
        <v>0.91355902575457404</v>
      </c>
      <c r="BC352">
        <v>26</v>
      </c>
    </row>
    <row r="353" spans="15:55" x14ac:dyDescent="0.35">
      <c r="O353">
        <v>351</v>
      </c>
      <c r="P353">
        <v>113.34218300000001</v>
      </c>
      <c r="Q353" s="14">
        <v>0.92388584215581537</v>
      </c>
      <c r="R353">
        <v>31.31</v>
      </c>
      <c r="S353" s="14">
        <v>0.9226734248835976</v>
      </c>
      <c r="T353">
        <v>26</v>
      </c>
      <c r="V353">
        <v>351</v>
      </c>
      <c r="W353">
        <v>113.753047</v>
      </c>
      <c r="X353" s="14">
        <v>0.92805584019931442</v>
      </c>
      <c r="Y353">
        <v>31.372</v>
      </c>
      <c r="Z353" s="14">
        <v>0.92602869118602038</v>
      </c>
      <c r="AA353">
        <v>26</v>
      </c>
      <c r="AC353">
        <v>351</v>
      </c>
      <c r="AD353">
        <v>113.10329299999999</v>
      </c>
      <c r="AE353" s="14">
        <v>0.93153385943395306</v>
      </c>
      <c r="AF353">
        <v>31.186</v>
      </c>
      <c r="AG353" s="14">
        <v>0.92834816777304785</v>
      </c>
      <c r="AH353">
        <v>26</v>
      </c>
      <c r="AJ353">
        <v>351</v>
      </c>
      <c r="AK353">
        <v>112.16346900000001</v>
      </c>
      <c r="AL353" s="14">
        <v>0.91137512600086479</v>
      </c>
      <c r="AM353">
        <v>30.975999999999999</v>
      </c>
      <c r="AN353" s="14">
        <v>0.90610191306382726</v>
      </c>
      <c r="AO353">
        <v>26</v>
      </c>
      <c r="AQ353">
        <v>351</v>
      </c>
      <c r="AR353">
        <v>111.026793</v>
      </c>
      <c r="AS353" s="14">
        <v>0.91125228903042477</v>
      </c>
      <c r="AT353">
        <v>30.696999999999999</v>
      </c>
      <c r="AU353" s="14">
        <v>0.90650562560907189</v>
      </c>
      <c r="AV353">
        <v>26</v>
      </c>
      <c r="AX353">
        <v>351</v>
      </c>
      <c r="AY353">
        <v>113.269786</v>
      </c>
      <c r="AZ353" s="14">
        <v>0.91625482240983136</v>
      </c>
      <c r="BA353">
        <v>31.349</v>
      </c>
      <c r="BB353" s="14">
        <v>0.91332595268616712</v>
      </c>
      <c r="BC353">
        <v>26</v>
      </c>
    </row>
    <row r="354" spans="15:55" x14ac:dyDescent="0.35">
      <c r="O354">
        <v>352</v>
      </c>
      <c r="P354">
        <v>113.34576800000001</v>
      </c>
      <c r="Q354" s="14">
        <v>0.92391506455701211</v>
      </c>
      <c r="R354">
        <v>31.309000000000001</v>
      </c>
      <c r="S354" s="14">
        <v>0.92264395591442216</v>
      </c>
      <c r="T354">
        <v>26</v>
      </c>
      <c r="V354">
        <v>352</v>
      </c>
      <c r="W354">
        <v>113.708044</v>
      </c>
      <c r="X354" s="14">
        <v>0.92768868258834969</v>
      </c>
      <c r="Y354">
        <v>31.36</v>
      </c>
      <c r="Z354" s="14">
        <v>0.92567447901292876</v>
      </c>
      <c r="AA354">
        <v>26</v>
      </c>
      <c r="AC354">
        <v>352</v>
      </c>
      <c r="AD354">
        <v>113.034916</v>
      </c>
      <c r="AE354" s="14">
        <v>0.93097069731004822</v>
      </c>
      <c r="AF354">
        <v>31.17</v>
      </c>
      <c r="AG354" s="14">
        <v>0.92787187806983595</v>
      </c>
      <c r="AH354">
        <v>26</v>
      </c>
      <c r="AJ354">
        <v>352</v>
      </c>
      <c r="AK354">
        <v>112.119349</v>
      </c>
      <c r="AL354" s="14">
        <v>0.91101663253665888</v>
      </c>
      <c r="AM354">
        <v>30.963000000000001</v>
      </c>
      <c r="AN354" s="14">
        <v>0.90572164043760606</v>
      </c>
      <c r="AO354">
        <v>26</v>
      </c>
      <c r="AQ354">
        <v>352</v>
      </c>
      <c r="AR354">
        <v>110.97859099999999</v>
      </c>
      <c r="AS354" s="14">
        <v>0.91085667116514202</v>
      </c>
      <c r="AT354">
        <v>30.684000000000001</v>
      </c>
      <c r="AU354" s="14">
        <v>0.90612172577739725</v>
      </c>
      <c r="AV354">
        <v>26</v>
      </c>
      <c r="AX354">
        <v>352</v>
      </c>
      <c r="AY354">
        <v>113.248876</v>
      </c>
      <c r="AZ354" s="14">
        <v>0.91608567855414702</v>
      </c>
      <c r="BA354">
        <v>31.341999999999999</v>
      </c>
      <c r="BB354" s="14">
        <v>0.91312201375131108</v>
      </c>
      <c r="BC354">
        <v>26</v>
      </c>
    </row>
    <row r="355" spans="15:55" x14ac:dyDescent="0.35">
      <c r="O355">
        <v>353</v>
      </c>
      <c r="P355">
        <v>113.335447</v>
      </c>
      <c r="Q355" s="14">
        <v>0.92383093501649582</v>
      </c>
      <c r="R355">
        <v>31.303999999999998</v>
      </c>
      <c r="S355" s="14">
        <v>0.92249661106854486</v>
      </c>
      <c r="T355">
        <v>26</v>
      </c>
      <c r="V355">
        <v>353</v>
      </c>
      <c r="W355">
        <v>113.69995</v>
      </c>
      <c r="X355" s="14">
        <v>0.92762264757505841</v>
      </c>
      <c r="Y355">
        <v>31.356000000000002</v>
      </c>
      <c r="Z355" s="14">
        <v>0.92555640828856489</v>
      </c>
      <c r="AA355">
        <v>26</v>
      </c>
      <c r="AC355">
        <v>353</v>
      </c>
      <c r="AD355">
        <v>112.984272</v>
      </c>
      <c r="AE355" s="14">
        <v>0.930553586547613</v>
      </c>
      <c r="AF355">
        <v>31.158999999999999</v>
      </c>
      <c r="AG355" s="14">
        <v>0.92754442889887756</v>
      </c>
      <c r="AH355">
        <v>26</v>
      </c>
      <c r="AJ355">
        <v>353</v>
      </c>
      <c r="AK355">
        <v>112.055604</v>
      </c>
      <c r="AL355" s="14">
        <v>0.91049867773439674</v>
      </c>
      <c r="AM355">
        <v>30.949000000000002</v>
      </c>
      <c r="AN355" s="14">
        <v>0.90531211607090623</v>
      </c>
      <c r="AO355">
        <v>26</v>
      </c>
      <c r="AQ355">
        <v>353</v>
      </c>
      <c r="AR355">
        <v>110.978797</v>
      </c>
      <c r="AS355" s="14">
        <v>0.91085836190992964</v>
      </c>
      <c r="AT355">
        <v>30.683</v>
      </c>
      <c r="AU355" s="14">
        <v>0.90609219502111449</v>
      </c>
      <c r="AV355">
        <v>26</v>
      </c>
      <c r="AX355">
        <v>353</v>
      </c>
      <c r="AY355">
        <v>113.235956</v>
      </c>
      <c r="AZ355" s="14">
        <v>0.91598116690348019</v>
      </c>
      <c r="BA355">
        <v>31.337</v>
      </c>
      <c r="BB355" s="14">
        <v>0.91297634308355669</v>
      </c>
      <c r="BC355">
        <v>26</v>
      </c>
    </row>
    <row r="356" spans="15:55" x14ac:dyDescent="0.35">
      <c r="O356">
        <v>354</v>
      </c>
      <c r="P356">
        <v>113.31348199999999</v>
      </c>
      <c r="Q356" s="14">
        <v>0.92365189176899676</v>
      </c>
      <c r="R356">
        <v>31.297999999999998</v>
      </c>
      <c r="S356" s="14">
        <v>0.92231979725349211</v>
      </c>
      <c r="T356">
        <v>26</v>
      </c>
      <c r="V356">
        <v>354</v>
      </c>
      <c r="W356">
        <v>113.68263899999999</v>
      </c>
      <c r="X356" s="14">
        <v>0.92748141553711838</v>
      </c>
      <c r="Y356">
        <v>31.350999999999999</v>
      </c>
      <c r="Z356" s="14">
        <v>0.92540881988310997</v>
      </c>
      <c r="AA356">
        <v>26</v>
      </c>
      <c r="AC356">
        <v>354</v>
      </c>
      <c r="AD356">
        <v>112.962176</v>
      </c>
      <c r="AE356" s="14">
        <v>0.93037160093417859</v>
      </c>
      <c r="AF356">
        <v>31.152999999999999</v>
      </c>
      <c r="AG356" s="14">
        <v>0.92736582026017311</v>
      </c>
      <c r="AH356">
        <v>26</v>
      </c>
      <c r="AJ356">
        <v>354</v>
      </c>
      <c r="AK356">
        <v>112.015901</v>
      </c>
      <c r="AL356" s="14">
        <v>0.91017607424370395</v>
      </c>
      <c r="AM356">
        <v>30.94</v>
      </c>
      <c r="AN356" s="14">
        <v>0.90504885040659921</v>
      </c>
      <c r="AO356">
        <v>26</v>
      </c>
      <c r="AQ356">
        <v>354</v>
      </c>
      <c r="AR356">
        <v>110.998178</v>
      </c>
      <c r="AS356" s="14">
        <v>0.9110174314474393</v>
      </c>
      <c r="AT356">
        <v>30.681999999999999</v>
      </c>
      <c r="AU356" s="14">
        <v>0.90606266426483184</v>
      </c>
      <c r="AV356">
        <v>26</v>
      </c>
      <c r="AX356">
        <v>354</v>
      </c>
      <c r="AY356">
        <v>113.182653</v>
      </c>
      <c r="AZ356" s="14">
        <v>0.91554999163138329</v>
      </c>
      <c r="BA356">
        <v>31.324000000000002</v>
      </c>
      <c r="BB356" s="14">
        <v>0.91259759934739548</v>
      </c>
      <c r="BC356">
        <v>26</v>
      </c>
    </row>
    <row r="357" spans="15:55" x14ac:dyDescent="0.35">
      <c r="O357">
        <v>355</v>
      </c>
      <c r="P357">
        <v>113.28242899999999</v>
      </c>
      <c r="Q357" s="14">
        <v>0.92339876953068178</v>
      </c>
      <c r="R357">
        <v>31.29</v>
      </c>
      <c r="S357" s="14">
        <v>0.92208404550008849</v>
      </c>
      <c r="T357">
        <v>26</v>
      </c>
      <c r="V357">
        <v>355</v>
      </c>
      <c r="W357">
        <v>113.641448</v>
      </c>
      <c r="X357" s="14">
        <v>0.92714535818198085</v>
      </c>
      <c r="Y357">
        <v>31.341000000000001</v>
      </c>
      <c r="Z357" s="14">
        <v>0.92511364307220023</v>
      </c>
      <c r="AA357">
        <v>26</v>
      </c>
      <c r="AC357">
        <v>355</v>
      </c>
      <c r="AD357">
        <v>112.948064</v>
      </c>
      <c r="AE357" s="14">
        <v>0.930255372613361</v>
      </c>
      <c r="AF357">
        <v>31.146999999999998</v>
      </c>
      <c r="AG357" s="14">
        <v>0.92718721162146867</v>
      </c>
      <c r="AH357">
        <v>26</v>
      </c>
      <c r="AJ357">
        <v>355</v>
      </c>
      <c r="AK357">
        <v>112.02858999999999</v>
      </c>
      <c r="AL357" s="14">
        <v>0.91027917767904631</v>
      </c>
      <c r="AM357">
        <v>30.937999999999999</v>
      </c>
      <c r="AN357" s="14">
        <v>0.90499034692564206</v>
      </c>
      <c r="AO357">
        <v>26</v>
      </c>
      <c r="AQ357">
        <v>355</v>
      </c>
      <c r="AR357">
        <v>110.98167100000001</v>
      </c>
      <c r="AS357" s="14">
        <v>0.91088195026196528</v>
      </c>
      <c r="AT357">
        <v>30.677</v>
      </c>
      <c r="AU357" s="14">
        <v>0.90591501048341849</v>
      </c>
      <c r="AV357">
        <v>26</v>
      </c>
      <c r="AX357">
        <v>355</v>
      </c>
      <c r="AY357">
        <v>113.142005</v>
      </c>
      <c r="AZ357" s="14">
        <v>0.91522118438863531</v>
      </c>
      <c r="BA357">
        <v>31.312999999999999</v>
      </c>
      <c r="BB357" s="14">
        <v>0.91227712387833593</v>
      </c>
      <c r="BC357">
        <v>26</v>
      </c>
    </row>
    <row r="358" spans="15:55" x14ac:dyDescent="0.35">
      <c r="O358">
        <v>356</v>
      </c>
      <c r="P358">
        <v>113.294348</v>
      </c>
      <c r="Q358" s="14">
        <v>0.92349592484445109</v>
      </c>
      <c r="R358">
        <v>31.291</v>
      </c>
      <c r="S358" s="14">
        <v>0.92211351446926393</v>
      </c>
      <c r="T358">
        <v>26</v>
      </c>
      <c r="V358">
        <v>356</v>
      </c>
      <c r="W358">
        <v>113.587836</v>
      </c>
      <c r="X358" s="14">
        <v>0.92670796392295263</v>
      </c>
      <c r="Y358">
        <v>31.327999999999999</v>
      </c>
      <c r="Z358" s="14">
        <v>0.92472991321801756</v>
      </c>
      <c r="AA358">
        <v>26</v>
      </c>
      <c r="AC358">
        <v>356</v>
      </c>
      <c r="AD358">
        <v>112.91963200000001</v>
      </c>
      <c r="AE358" s="14">
        <v>0.93002120285588608</v>
      </c>
      <c r="AF358">
        <v>31.138999999999999</v>
      </c>
      <c r="AG358" s="14">
        <v>0.92694906676986266</v>
      </c>
      <c r="AH358">
        <v>26</v>
      </c>
      <c r="AJ358">
        <v>356</v>
      </c>
      <c r="AK358">
        <v>112.04968100000001</v>
      </c>
      <c r="AL358" s="14">
        <v>0.91045055088062321</v>
      </c>
      <c r="AM358">
        <v>30.940999999999999</v>
      </c>
      <c r="AN358" s="14">
        <v>0.90507810214707773</v>
      </c>
      <c r="AO358">
        <v>26</v>
      </c>
      <c r="AQ358">
        <v>356</v>
      </c>
      <c r="AR358">
        <v>110.916653</v>
      </c>
      <c r="AS358" s="14">
        <v>0.91034831509402714</v>
      </c>
      <c r="AT358">
        <v>30.661000000000001</v>
      </c>
      <c r="AU358" s="14">
        <v>0.9054425183828958</v>
      </c>
      <c r="AV358">
        <v>26</v>
      </c>
      <c r="AX358">
        <v>356</v>
      </c>
      <c r="AY358">
        <v>113.069157</v>
      </c>
      <c r="AZ358" s="14">
        <v>0.91463190693292518</v>
      </c>
      <c r="BA358">
        <v>31.297000000000001</v>
      </c>
      <c r="BB358" s="14">
        <v>0.91181097774152209</v>
      </c>
      <c r="BC358">
        <v>26</v>
      </c>
    </row>
    <row r="359" spans="15:55" x14ac:dyDescent="0.35">
      <c r="O359">
        <v>357</v>
      </c>
      <c r="P359">
        <v>113.30638999999999</v>
      </c>
      <c r="Q359" s="14">
        <v>0.92359408276780108</v>
      </c>
      <c r="R359">
        <v>31.292000000000002</v>
      </c>
      <c r="S359" s="14">
        <v>0.92214298343843948</v>
      </c>
      <c r="T359">
        <v>26</v>
      </c>
      <c r="V359">
        <v>357</v>
      </c>
      <c r="W359">
        <v>113.532139</v>
      </c>
      <c r="X359" s="14">
        <v>0.92625355916198326</v>
      </c>
      <c r="Y359">
        <v>31.315000000000001</v>
      </c>
      <c r="Z359" s="14">
        <v>0.92434618336383501</v>
      </c>
      <c r="AA359">
        <v>26</v>
      </c>
      <c r="AC359">
        <v>357</v>
      </c>
      <c r="AD359">
        <v>112.86315</v>
      </c>
      <c r="AE359" s="14">
        <v>0.92955600954406492</v>
      </c>
      <c r="AF359">
        <v>31.126000000000001</v>
      </c>
      <c r="AG359" s="14">
        <v>0.92656208138600293</v>
      </c>
      <c r="AH359">
        <v>26</v>
      </c>
      <c r="AJ359">
        <v>357</v>
      </c>
      <c r="AK359">
        <v>112.005436</v>
      </c>
      <c r="AL359" s="14">
        <v>0.91009104173910482</v>
      </c>
      <c r="AM359">
        <v>30.927</v>
      </c>
      <c r="AN359" s="14">
        <v>0.9046685777803779</v>
      </c>
      <c r="AO359">
        <v>26</v>
      </c>
      <c r="AQ359">
        <v>357</v>
      </c>
      <c r="AR359">
        <v>110.843737</v>
      </c>
      <c r="AS359" s="14">
        <v>0.90974985709923539</v>
      </c>
      <c r="AT359">
        <v>30.645</v>
      </c>
      <c r="AU359" s="14">
        <v>0.90497002628237311</v>
      </c>
      <c r="AV359">
        <v>26</v>
      </c>
      <c r="AX359">
        <v>357</v>
      </c>
      <c r="AY359">
        <v>113.070173</v>
      </c>
      <c r="AZ359" s="14">
        <v>0.91464012549616647</v>
      </c>
      <c r="BA359">
        <v>31.294</v>
      </c>
      <c r="BB359" s="14">
        <v>0.91172357534086945</v>
      </c>
      <c r="BC359">
        <v>26</v>
      </c>
    </row>
    <row r="360" spans="15:55" x14ac:dyDescent="0.35">
      <c r="O360">
        <v>358</v>
      </c>
      <c r="P360">
        <v>113.269046</v>
      </c>
      <c r="Q360" s="14">
        <v>0.92328968071751183</v>
      </c>
      <c r="R360">
        <v>31.280999999999999</v>
      </c>
      <c r="S360" s="14">
        <v>0.92181882477750932</v>
      </c>
      <c r="T360">
        <v>26</v>
      </c>
      <c r="V360">
        <v>358</v>
      </c>
      <c r="W360">
        <v>113.525217</v>
      </c>
      <c r="X360" s="14">
        <v>0.92619708592724115</v>
      </c>
      <c r="Y360">
        <v>31.312000000000001</v>
      </c>
      <c r="Z360" s="14">
        <v>0.92425763032056207</v>
      </c>
      <c r="AA360">
        <v>26</v>
      </c>
      <c r="AC360">
        <v>358</v>
      </c>
      <c r="AD360">
        <v>112.80708300000001</v>
      </c>
      <c r="AE360" s="14">
        <v>0.92909423422778936</v>
      </c>
      <c r="AF360">
        <v>31.111999999999998</v>
      </c>
      <c r="AG360" s="14">
        <v>0.92614532789569237</v>
      </c>
      <c r="AH360">
        <v>26</v>
      </c>
      <c r="AJ360">
        <v>358</v>
      </c>
      <c r="AK360">
        <v>111.933626</v>
      </c>
      <c r="AL360" s="14">
        <v>0.90950755543664286</v>
      </c>
      <c r="AM360">
        <v>30.911999999999999</v>
      </c>
      <c r="AN360" s="14">
        <v>0.90422980167319955</v>
      </c>
      <c r="AO360">
        <v>26</v>
      </c>
      <c r="AQ360">
        <v>358</v>
      </c>
      <c r="AR360">
        <v>110.801637</v>
      </c>
      <c r="AS360" s="14">
        <v>0.90940432139265892</v>
      </c>
      <c r="AT360">
        <v>30.635000000000002</v>
      </c>
      <c r="AU360" s="14">
        <v>0.90467471871954641</v>
      </c>
      <c r="AV360">
        <v>26</v>
      </c>
      <c r="AX360">
        <v>358</v>
      </c>
      <c r="AY360">
        <v>113.06159700000001</v>
      </c>
      <c r="AZ360" s="14">
        <v>0.91457075305683844</v>
      </c>
      <c r="BA360">
        <v>31.29</v>
      </c>
      <c r="BB360" s="14">
        <v>0.91160703880666594</v>
      </c>
      <c r="BC360">
        <v>26</v>
      </c>
    </row>
    <row r="361" spans="15:55" x14ac:dyDescent="0.35">
      <c r="O361">
        <v>359</v>
      </c>
      <c r="P361">
        <v>113.223641</v>
      </c>
      <c r="Q361" s="14">
        <v>0.92291957105884137</v>
      </c>
      <c r="R361">
        <v>31.27</v>
      </c>
      <c r="S361" s="14">
        <v>0.92149466611657926</v>
      </c>
      <c r="T361">
        <v>26</v>
      </c>
      <c r="V361">
        <v>359</v>
      </c>
      <c r="W361">
        <v>113.521519</v>
      </c>
      <c r="X361" s="14">
        <v>0.92616691574202348</v>
      </c>
      <c r="Y361">
        <v>31.308</v>
      </c>
      <c r="Z361" s="14">
        <v>0.92413955959619809</v>
      </c>
      <c r="AA361">
        <v>26</v>
      </c>
      <c r="AC361">
        <v>359</v>
      </c>
      <c r="AD361">
        <v>112.777973</v>
      </c>
      <c r="AE361" s="14">
        <v>0.92885448037156759</v>
      </c>
      <c r="AF361">
        <v>31.106000000000002</v>
      </c>
      <c r="AG361" s="14">
        <v>0.92596671925698804</v>
      </c>
      <c r="AH361">
        <v>26</v>
      </c>
      <c r="AJ361">
        <v>359</v>
      </c>
      <c r="AK361">
        <v>111.863828</v>
      </c>
      <c r="AL361" s="14">
        <v>0.90894041747620213</v>
      </c>
      <c r="AM361">
        <v>30.895</v>
      </c>
      <c r="AN361" s="14">
        <v>0.90373252208506405</v>
      </c>
      <c r="AO361">
        <v>26</v>
      </c>
      <c r="AQ361">
        <v>359</v>
      </c>
      <c r="AR361">
        <v>110.774331</v>
      </c>
      <c r="AS361" s="14">
        <v>0.90918020742582328</v>
      </c>
      <c r="AT361">
        <v>30.628</v>
      </c>
      <c r="AU361" s="14">
        <v>0.90446800342556777</v>
      </c>
      <c r="AV361">
        <v>26</v>
      </c>
      <c r="AX361">
        <v>359</v>
      </c>
      <c r="AY361">
        <v>113.050068</v>
      </c>
      <c r="AZ361" s="14">
        <v>0.91447749339580608</v>
      </c>
      <c r="BA361">
        <v>31.286000000000001</v>
      </c>
      <c r="BB361" s="14">
        <v>0.91149050227246253</v>
      </c>
      <c r="BC361">
        <v>26</v>
      </c>
    </row>
    <row r="362" spans="15:55" x14ac:dyDescent="0.35">
      <c r="O362">
        <v>360</v>
      </c>
      <c r="P362">
        <v>113.15794699999999</v>
      </c>
      <c r="Q362" s="14">
        <v>0.92238407972712255</v>
      </c>
      <c r="R362">
        <v>31.254999999999999</v>
      </c>
      <c r="S362" s="14">
        <v>0.92105263157894746</v>
      </c>
      <c r="T362">
        <v>26</v>
      </c>
      <c r="V362">
        <v>360</v>
      </c>
      <c r="W362">
        <v>113.51039400000001</v>
      </c>
      <c r="X362" s="14">
        <v>0.92607615227243301</v>
      </c>
      <c r="Y362">
        <v>31.305</v>
      </c>
      <c r="Z362" s="14">
        <v>0.92405100655292516</v>
      </c>
      <c r="AA362">
        <v>26</v>
      </c>
      <c r="AC362">
        <v>360</v>
      </c>
      <c r="AD362">
        <v>112.79025900000001</v>
      </c>
      <c r="AE362" s="14">
        <v>0.92895566951198472</v>
      </c>
      <c r="AF362">
        <v>31.105</v>
      </c>
      <c r="AG362" s="14">
        <v>0.9259369511505372</v>
      </c>
      <c r="AH362">
        <v>26</v>
      </c>
      <c r="AJ362">
        <v>360</v>
      </c>
      <c r="AK362">
        <v>111.825779</v>
      </c>
      <c r="AL362" s="14">
        <v>0.90863125342770779</v>
      </c>
      <c r="AM362">
        <v>30.885999999999999</v>
      </c>
      <c r="AN362" s="14">
        <v>0.90346925642075704</v>
      </c>
      <c r="AO362">
        <v>26</v>
      </c>
      <c r="AQ362">
        <v>360</v>
      </c>
      <c r="AR362">
        <v>110.759021</v>
      </c>
      <c r="AS362" s="14">
        <v>0.90905455061661455</v>
      </c>
      <c r="AT362">
        <v>30.622</v>
      </c>
      <c r="AU362" s="14">
        <v>0.90429081888787177</v>
      </c>
      <c r="AV362">
        <v>26</v>
      </c>
      <c r="AX362">
        <v>360</v>
      </c>
      <c r="AY362">
        <v>113.018744</v>
      </c>
      <c r="AZ362" s="14">
        <v>0.91422410926689845</v>
      </c>
      <c r="BA362">
        <v>31.277000000000001</v>
      </c>
      <c r="BB362" s="14">
        <v>0.91122829507050473</v>
      </c>
      <c r="BC362">
        <v>26</v>
      </c>
    </row>
    <row r="363" spans="15:55" x14ac:dyDescent="0.35">
      <c r="O363">
        <v>361</v>
      </c>
      <c r="P363">
        <v>113.15480599999999</v>
      </c>
      <c r="Q363" s="14">
        <v>0.92235847650197367</v>
      </c>
      <c r="R363">
        <v>31.253</v>
      </c>
      <c r="S363" s="14">
        <v>0.92099369364059658</v>
      </c>
      <c r="T363">
        <v>26</v>
      </c>
      <c r="V363">
        <v>361</v>
      </c>
      <c r="W363">
        <v>113.486445</v>
      </c>
      <c r="X363" s="14">
        <v>0.9258807640177612</v>
      </c>
      <c r="Y363">
        <v>31.297999999999998</v>
      </c>
      <c r="Z363" s="14">
        <v>0.92384438278528835</v>
      </c>
      <c r="AA363">
        <v>26</v>
      </c>
      <c r="AC363">
        <v>361</v>
      </c>
      <c r="AD363">
        <v>112.775471</v>
      </c>
      <c r="AE363" s="14">
        <v>0.92883387356468794</v>
      </c>
      <c r="AF363">
        <v>31.1</v>
      </c>
      <c r="AG363" s="14">
        <v>0.92578811061828348</v>
      </c>
      <c r="AH363">
        <v>26</v>
      </c>
      <c r="AJ363">
        <v>361</v>
      </c>
      <c r="AK363">
        <v>111.803375</v>
      </c>
      <c r="AL363" s="14">
        <v>0.90844921155164104</v>
      </c>
      <c r="AM363">
        <v>30.879000000000001</v>
      </c>
      <c r="AN363" s="14">
        <v>0.90326449423740718</v>
      </c>
      <c r="AO363">
        <v>26</v>
      </c>
      <c r="AQ363">
        <v>361</v>
      </c>
      <c r="AR363">
        <v>110.71701400000001</v>
      </c>
      <c r="AS363" s="14">
        <v>0.90870977820744214</v>
      </c>
      <c r="AT363">
        <v>30.61</v>
      </c>
      <c r="AU363" s="14">
        <v>0.90393644981247967</v>
      </c>
      <c r="AV363">
        <v>26</v>
      </c>
      <c r="AX363">
        <v>361</v>
      </c>
      <c r="AY363">
        <v>112.99045599999999</v>
      </c>
      <c r="AZ363" s="14">
        <v>0.91399528375807004</v>
      </c>
      <c r="BA363">
        <v>31.268999999999998</v>
      </c>
      <c r="BB363" s="14">
        <v>0.9109952220020977</v>
      </c>
      <c r="BC363">
        <v>26</v>
      </c>
    </row>
    <row r="364" spans="15:55" x14ac:dyDescent="0.35">
      <c r="O364">
        <v>362</v>
      </c>
      <c r="P364">
        <v>113.15439600000001</v>
      </c>
      <c r="Q364" s="14">
        <v>0.92235513447003781</v>
      </c>
      <c r="R364">
        <v>31.251000000000001</v>
      </c>
      <c r="S364" s="14">
        <v>0.92093475570224559</v>
      </c>
      <c r="T364">
        <v>26</v>
      </c>
      <c r="V364">
        <v>362</v>
      </c>
      <c r="W364">
        <v>113.459909</v>
      </c>
      <c r="X364" s="14">
        <v>0.9256642696870595</v>
      </c>
      <c r="Y364">
        <v>31.29</v>
      </c>
      <c r="Z364" s="14">
        <v>0.92360824133656061</v>
      </c>
      <c r="AA364">
        <v>26</v>
      </c>
      <c r="AC364">
        <v>362</v>
      </c>
      <c r="AD364">
        <v>112.753131</v>
      </c>
      <c r="AE364" s="14">
        <v>0.92864987833459545</v>
      </c>
      <c r="AF364">
        <v>31.094000000000001</v>
      </c>
      <c r="AG364" s="14">
        <v>0.92560950197957903</v>
      </c>
      <c r="AH364">
        <v>26</v>
      </c>
      <c r="AJ364">
        <v>362</v>
      </c>
      <c r="AK364">
        <v>111.77991299999999</v>
      </c>
      <c r="AL364" s="14">
        <v>0.90825857298280144</v>
      </c>
      <c r="AM364">
        <v>30.870999999999999</v>
      </c>
      <c r="AN364" s="14">
        <v>0.90303048031357858</v>
      </c>
      <c r="AO364">
        <v>26</v>
      </c>
      <c r="AQ364">
        <v>362</v>
      </c>
      <c r="AR364">
        <v>110.683762</v>
      </c>
      <c r="AS364" s="14">
        <v>0.90843686245173949</v>
      </c>
      <c r="AT364">
        <v>30.602</v>
      </c>
      <c r="AU364" s="14">
        <v>0.90370020376221838</v>
      </c>
      <c r="AV364">
        <v>26</v>
      </c>
      <c r="AX364">
        <v>362</v>
      </c>
      <c r="AY364">
        <v>112.998107</v>
      </c>
      <c r="AZ364" s="14">
        <v>0.91405717374562834</v>
      </c>
      <c r="BA364">
        <v>31.268999999999998</v>
      </c>
      <c r="BB364" s="14">
        <v>0.9109952220020977</v>
      </c>
      <c r="BC364">
        <v>26</v>
      </c>
    </row>
    <row r="365" spans="15:55" x14ac:dyDescent="0.35">
      <c r="O365">
        <v>363</v>
      </c>
      <c r="P365">
        <v>113.104214</v>
      </c>
      <c r="Q365" s="14">
        <v>0.92194608606366402</v>
      </c>
      <c r="R365">
        <v>31.238</v>
      </c>
      <c r="S365" s="14">
        <v>0.92055165910296466</v>
      </c>
      <c r="T365">
        <v>26</v>
      </c>
      <c r="V365">
        <v>363</v>
      </c>
      <c r="W365">
        <v>113.4718</v>
      </c>
      <c r="X365" s="14">
        <v>0.92576128257846646</v>
      </c>
      <c r="Y365">
        <v>31.291</v>
      </c>
      <c r="Z365" s="14">
        <v>0.92363775901765155</v>
      </c>
      <c r="AA365">
        <v>26</v>
      </c>
      <c r="AC365">
        <v>363</v>
      </c>
      <c r="AD365">
        <v>112.724475</v>
      </c>
      <c r="AE365" s="14">
        <v>0.92841386368313927</v>
      </c>
      <c r="AF365">
        <v>31.085999999999999</v>
      </c>
      <c r="AG365" s="14">
        <v>0.92537135712797292</v>
      </c>
      <c r="AH365">
        <v>26</v>
      </c>
      <c r="AJ365">
        <v>363</v>
      </c>
      <c r="AK365">
        <v>111.73306700000001</v>
      </c>
      <c r="AL365" s="14">
        <v>0.90787792962776559</v>
      </c>
      <c r="AM365">
        <v>30.86</v>
      </c>
      <c r="AN365" s="14">
        <v>0.90270871116831453</v>
      </c>
      <c r="AO365">
        <v>26</v>
      </c>
      <c r="AQ365">
        <v>363</v>
      </c>
      <c r="AR365">
        <v>110.618537</v>
      </c>
      <c r="AS365" s="14">
        <v>0.90790152833151494</v>
      </c>
      <c r="AT365">
        <v>30.585999999999999</v>
      </c>
      <c r="AU365" s="14">
        <v>0.90322771166169558</v>
      </c>
      <c r="AV365">
        <v>26</v>
      </c>
      <c r="AX365">
        <v>363</v>
      </c>
      <c r="AY365">
        <v>113.00553499999999</v>
      </c>
      <c r="AZ365" s="14">
        <v>0.91411725985562453</v>
      </c>
      <c r="BA365">
        <v>31.266999999999999</v>
      </c>
      <c r="BB365" s="14">
        <v>0.91093695373499595</v>
      </c>
      <c r="BC365">
        <v>26</v>
      </c>
    </row>
    <row r="366" spans="15:55" x14ac:dyDescent="0.35">
      <c r="O366">
        <v>364</v>
      </c>
      <c r="P366">
        <v>113.049565</v>
      </c>
      <c r="Q366" s="14">
        <v>0.9215006258117826</v>
      </c>
      <c r="R366">
        <v>31.224</v>
      </c>
      <c r="S366" s="14">
        <v>0.92013909353450829</v>
      </c>
      <c r="T366">
        <v>26</v>
      </c>
      <c r="V366">
        <v>364</v>
      </c>
      <c r="W366">
        <v>113.479292</v>
      </c>
      <c r="X366" s="14">
        <v>0.92582240616625722</v>
      </c>
      <c r="Y366">
        <v>31.289000000000001</v>
      </c>
      <c r="Z366" s="14">
        <v>0.92357872365546967</v>
      </c>
      <c r="AA366">
        <v>26</v>
      </c>
      <c r="AC366">
        <v>364</v>
      </c>
      <c r="AD366">
        <v>112.724163</v>
      </c>
      <c r="AE366" s="14">
        <v>0.92841129400937972</v>
      </c>
      <c r="AF366">
        <v>31.084</v>
      </c>
      <c r="AG366" s="14">
        <v>0.92531182091507147</v>
      </c>
      <c r="AH366">
        <v>26</v>
      </c>
      <c r="AJ366">
        <v>364</v>
      </c>
      <c r="AK366">
        <v>111.68309000000001</v>
      </c>
      <c r="AL366" s="14">
        <v>0.90747184558740701</v>
      </c>
      <c r="AM366">
        <v>30.847000000000001</v>
      </c>
      <c r="AN366" s="14">
        <v>0.90232843854209333</v>
      </c>
      <c r="AO366">
        <v>26</v>
      </c>
      <c r="AQ366">
        <v>364</v>
      </c>
      <c r="AR366">
        <v>110.601772</v>
      </c>
      <c r="AS366" s="14">
        <v>0.90776392961130692</v>
      </c>
      <c r="AT366">
        <v>30.579000000000001</v>
      </c>
      <c r="AU366" s="14">
        <v>0.90302099636771704</v>
      </c>
      <c r="AV366">
        <v>26</v>
      </c>
      <c r="AX366">
        <v>364</v>
      </c>
      <c r="AY366">
        <v>112.95345</v>
      </c>
      <c r="AZ366" s="14">
        <v>0.91369593715245279</v>
      </c>
      <c r="BA366">
        <v>31.254999999999999</v>
      </c>
      <c r="BB366" s="14">
        <v>0.91058734413238551</v>
      </c>
      <c r="BC366">
        <v>26</v>
      </c>
    </row>
    <row r="367" spans="15:55" x14ac:dyDescent="0.35">
      <c r="O367">
        <v>365</v>
      </c>
      <c r="P367">
        <v>113.004029</v>
      </c>
      <c r="Q367" s="14">
        <v>0.92112944833315225</v>
      </c>
      <c r="R367">
        <v>31.215</v>
      </c>
      <c r="S367" s="14">
        <v>0.91987387281192912</v>
      </c>
      <c r="T367">
        <v>26</v>
      </c>
      <c r="V367">
        <v>365</v>
      </c>
      <c r="W367">
        <v>113.44148199999999</v>
      </c>
      <c r="X367" s="14">
        <v>0.92551393274736105</v>
      </c>
      <c r="Y367">
        <v>31.28</v>
      </c>
      <c r="Z367" s="14">
        <v>0.92331306452565087</v>
      </c>
      <c r="AA367">
        <v>26</v>
      </c>
      <c r="AC367">
        <v>365</v>
      </c>
      <c r="AD367">
        <v>112.738781</v>
      </c>
      <c r="AE367" s="14">
        <v>0.92853168981392276</v>
      </c>
      <c r="AF367">
        <v>31.084</v>
      </c>
      <c r="AG367" s="14">
        <v>0.92531182091507147</v>
      </c>
      <c r="AH367">
        <v>26</v>
      </c>
      <c r="AJ367">
        <v>365</v>
      </c>
      <c r="AK367">
        <v>111.62061199999999</v>
      </c>
      <c r="AL367" s="14">
        <v>0.90696418569038395</v>
      </c>
      <c r="AM367">
        <v>30.832999999999998</v>
      </c>
      <c r="AN367" s="14">
        <v>0.90191891417539338</v>
      </c>
      <c r="AO367">
        <v>26</v>
      </c>
      <c r="AQ367">
        <v>365</v>
      </c>
      <c r="AR367">
        <v>110.600404</v>
      </c>
      <c r="AS367" s="14">
        <v>0.90775270175271794</v>
      </c>
      <c r="AT367">
        <v>30.577999999999999</v>
      </c>
      <c r="AU367" s="14">
        <v>0.90299146561143429</v>
      </c>
      <c r="AV367">
        <v>26</v>
      </c>
      <c r="AX367">
        <v>365</v>
      </c>
      <c r="AY367">
        <v>112.911575</v>
      </c>
      <c r="AZ367" s="14">
        <v>0.9133572045385463</v>
      </c>
      <c r="BA367">
        <v>31.242999999999999</v>
      </c>
      <c r="BB367" s="14">
        <v>0.91023773452977508</v>
      </c>
      <c r="BC367">
        <v>26</v>
      </c>
    </row>
    <row r="368" spans="15:55" x14ac:dyDescent="0.35">
      <c r="O368">
        <v>366</v>
      </c>
      <c r="P368">
        <v>112.99358100000001</v>
      </c>
      <c r="Q368" s="14">
        <v>0.92104428357786561</v>
      </c>
      <c r="R368">
        <v>31.21</v>
      </c>
      <c r="S368" s="14">
        <v>0.91972652796605181</v>
      </c>
      <c r="T368">
        <v>26</v>
      </c>
      <c r="V368">
        <v>366</v>
      </c>
      <c r="W368">
        <v>113.402366</v>
      </c>
      <c r="X368" s="14">
        <v>0.92519480430902368</v>
      </c>
      <c r="Y368">
        <v>31.271000000000001</v>
      </c>
      <c r="Z368" s="14">
        <v>0.92304740539583208</v>
      </c>
      <c r="AA368">
        <v>26</v>
      </c>
      <c r="AC368">
        <v>366</v>
      </c>
      <c r="AD368">
        <v>112.72295800000001</v>
      </c>
      <c r="AE368" s="14">
        <v>0.92840136946809682</v>
      </c>
      <c r="AF368">
        <v>31.079000000000001</v>
      </c>
      <c r="AG368" s="14">
        <v>0.92516298038281775</v>
      </c>
      <c r="AH368">
        <v>26</v>
      </c>
      <c r="AJ368">
        <v>366</v>
      </c>
      <c r="AK368">
        <v>111.621916</v>
      </c>
      <c r="AL368" s="14">
        <v>0.90697478123610753</v>
      </c>
      <c r="AM368">
        <v>30.831</v>
      </c>
      <c r="AN368" s="14">
        <v>0.90186041069443634</v>
      </c>
      <c r="AO368">
        <v>26</v>
      </c>
      <c r="AQ368">
        <v>366</v>
      </c>
      <c r="AR368">
        <v>110.581937</v>
      </c>
      <c r="AS368" s="14">
        <v>0.90760113386926544</v>
      </c>
      <c r="AT368">
        <v>30.57</v>
      </c>
      <c r="AU368" s="14">
        <v>0.90275521956117299</v>
      </c>
      <c r="AV368">
        <v>26</v>
      </c>
      <c r="AX368">
        <v>366</v>
      </c>
      <c r="AY368">
        <v>112.847218</v>
      </c>
      <c r="AZ368" s="14">
        <v>0.91283661194551502</v>
      </c>
      <c r="BA368">
        <v>31.228999999999999</v>
      </c>
      <c r="BB368" s="14">
        <v>0.909829856660063</v>
      </c>
      <c r="BC368">
        <v>26</v>
      </c>
    </row>
    <row r="369" spans="15:55" x14ac:dyDescent="0.35">
      <c r="O369">
        <v>367</v>
      </c>
      <c r="P369">
        <v>112.99011299999999</v>
      </c>
      <c r="Q369" s="14">
        <v>0.92101601487846529</v>
      </c>
      <c r="R369">
        <v>31.207000000000001</v>
      </c>
      <c r="S369" s="14">
        <v>0.91963812105852549</v>
      </c>
      <c r="T369">
        <v>26</v>
      </c>
      <c r="V369">
        <v>367</v>
      </c>
      <c r="W369">
        <v>113.34054999999999</v>
      </c>
      <c r="X369" s="14">
        <v>0.92469047760015088</v>
      </c>
      <c r="Y369">
        <v>31.256</v>
      </c>
      <c r="Z369" s="14">
        <v>0.92260464017946753</v>
      </c>
      <c r="AA369">
        <v>26</v>
      </c>
      <c r="AC369">
        <v>367</v>
      </c>
      <c r="AD369">
        <v>112.661871</v>
      </c>
      <c r="AE369" s="14">
        <v>0.92789824875992044</v>
      </c>
      <c r="AF369">
        <v>31.065000000000001</v>
      </c>
      <c r="AG369" s="14">
        <v>0.92474622689250729</v>
      </c>
      <c r="AH369">
        <v>26</v>
      </c>
      <c r="AJ369">
        <v>367</v>
      </c>
      <c r="AK369">
        <v>111.611071</v>
      </c>
      <c r="AL369" s="14">
        <v>0.90688666107247851</v>
      </c>
      <c r="AM369">
        <v>30.824999999999999</v>
      </c>
      <c r="AN369" s="14">
        <v>0.901684900251565</v>
      </c>
      <c r="AO369">
        <v>26</v>
      </c>
      <c r="AQ369">
        <v>367</v>
      </c>
      <c r="AR369">
        <v>110.549064</v>
      </c>
      <c r="AS369" s="14">
        <v>0.90733132875567191</v>
      </c>
      <c r="AT369">
        <v>30.562999999999999</v>
      </c>
      <c r="AU369" s="14">
        <v>0.90254850426719424</v>
      </c>
      <c r="AV369">
        <v>26</v>
      </c>
      <c r="AX369">
        <v>367</v>
      </c>
      <c r="AY369">
        <v>112.84272799999999</v>
      </c>
      <c r="AZ369" s="14">
        <v>0.91280029172016719</v>
      </c>
      <c r="BA369">
        <v>31.225000000000001</v>
      </c>
      <c r="BB369" s="14">
        <v>0.90971332012585959</v>
      </c>
      <c r="BC369">
        <v>26</v>
      </c>
    </row>
    <row r="370" spans="15:55" x14ac:dyDescent="0.35">
      <c r="O370">
        <v>368</v>
      </c>
      <c r="P370">
        <v>112.911485</v>
      </c>
      <c r="Q370" s="14">
        <v>0.92037509466611134</v>
      </c>
      <c r="R370">
        <v>31.189</v>
      </c>
      <c r="S370" s="14">
        <v>0.91910767961336715</v>
      </c>
      <c r="T370">
        <v>26</v>
      </c>
      <c r="V370">
        <v>368</v>
      </c>
      <c r="W370">
        <v>113.33108300000001</v>
      </c>
      <c r="X370" s="14">
        <v>0.92461324094697217</v>
      </c>
      <c r="Y370">
        <v>31.251999999999999</v>
      </c>
      <c r="Z370" s="14">
        <v>0.92248656945510354</v>
      </c>
      <c r="AA370">
        <v>26</v>
      </c>
      <c r="AC370">
        <v>368</v>
      </c>
      <c r="AD370">
        <v>112.61818</v>
      </c>
      <c r="AE370" s="14">
        <v>0.92753840383610775</v>
      </c>
      <c r="AF370">
        <v>31.053999999999998</v>
      </c>
      <c r="AG370" s="14">
        <v>0.92441877772154901</v>
      </c>
      <c r="AH370">
        <v>26</v>
      </c>
      <c r="AJ370">
        <v>368</v>
      </c>
      <c r="AK370">
        <v>111.59323500000001</v>
      </c>
      <c r="AL370" s="14">
        <v>0.90674173610811837</v>
      </c>
      <c r="AM370">
        <v>30.818999999999999</v>
      </c>
      <c r="AN370" s="14">
        <v>0.90150938980869355</v>
      </c>
      <c r="AO370">
        <v>26</v>
      </c>
      <c r="AQ370">
        <v>368</v>
      </c>
      <c r="AR370">
        <v>110.52030999999999</v>
      </c>
      <c r="AS370" s="14">
        <v>0.90709533033032974</v>
      </c>
      <c r="AT370">
        <v>30.553999999999998</v>
      </c>
      <c r="AU370" s="14">
        <v>0.90228272746065019</v>
      </c>
      <c r="AV370">
        <v>26</v>
      </c>
      <c r="AX370">
        <v>368</v>
      </c>
      <c r="AY370">
        <v>112.837436</v>
      </c>
      <c r="AZ370" s="14">
        <v>0.91275748400690648</v>
      </c>
      <c r="BA370">
        <v>31.222000000000001</v>
      </c>
      <c r="BB370" s="14">
        <v>0.90962591772520696</v>
      </c>
      <c r="BC370">
        <v>26</v>
      </c>
    </row>
    <row r="371" spans="15:55" x14ac:dyDescent="0.35">
      <c r="O371">
        <v>369</v>
      </c>
      <c r="P371">
        <v>112.83747099999999</v>
      </c>
      <c r="Q371" s="14">
        <v>0.91977178453998354</v>
      </c>
      <c r="R371">
        <v>31.172000000000001</v>
      </c>
      <c r="S371" s="14">
        <v>0.91860670713738446</v>
      </c>
      <c r="T371">
        <v>26</v>
      </c>
      <c r="V371">
        <v>369</v>
      </c>
      <c r="W371">
        <v>113.334333</v>
      </c>
      <c r="X371" s="14">
        <v>0.92463975611786375</v>
      </c>
      <c r="Y371">
        <v>31.251000000000001</v>
      </c>
      <c r="Z371" s="14">
        <v>0.92245705177401272</v>
      </c>
      <c r="AA371">
        <v>26</v>
      </c>
      <c r="AC371">
        <v>369</v>
      </c>
      <c r="AD371">
        <v>112.583651</v>
      </c>
      <c r="AE371" s="14">
        <v>0.9272540183705813</v>
      </c>
      <c r="AF371">
        <v>31.045999999999999</v>
      </c>
      <c r="AG371" s="14">
        <v>0.92418063286994301</v>
      </c>
      <c r="AH371">
        <v>26</v>
      </c>
      <c r="AJ371">
        <v>369</v>
      </c>
      <c r="AK371">
        <v>111.555527</v>
      </c>
      <c r="AL371" s="14">
        <v>0.90643534282733229</v>
      </c>
      <c r="AM371">
        <v>30.81</v>
      </c>
      <c r="AN371" s="14">
        <v>0.90124612414438654</v>
      </c>
      <c r="AO371">
        <v>26</v>
      </c>
      <c r="AQ371">
        <v>369</v>
      </c>
      <c r="AR371">
        <v>110.521209</v>
      </c>
      <c r="AS371" s="14">
        <v>0.90710270887190247</v>
      </c>
      <c r="AT371">
        <v>30.550999999999998</v>
      </c>
      <c r="AU371" s="14">
        <v>0.90219413519180225</v>
      </c>
      <c r="AV371">
        <v>26</v>
      </c>
      <c r="AX371">
        <v>369</v>
      </c>
      <c r="AY371">
        <v>112.783326</v>
      </c>
      <c r="AZ371" s="14">
        <v>0.91231978080121146</v>
      </c>
      <c r="BA371">
        <v>31.209</v>
      </c>
      <c r="BB371" s="14">
        <v>0.90924717398904564</v>
      </c>
      <c r="BC371">
        <v>26</v>
      </c>
    </row>
    <row r="372" spans="15:55" x14ac:dyDescent="0.35">
      <c r="O372">
        <v>370</v>
      </c>
      <c r="P372">
        <v>112.765961</v>
      </c>
      <c r="Q372" s="14">
        <v>0.91918888526255782</v>
      </c>
      <c r="R372">
        <v>31.155999999999999</v>
      </c>
      <c r="S372" s="14">
        <v>0.91813520363057699</v>
      </c>
      <c r="T372">
        <v>26</v>
      </c>
      <c r="V372">
        <v>370</v>
      </c>
      <c r="W372">
        <v>113.28952200000001</v>
      </c>
      <c r="X372" s="14">
        <v>0.92427416494161008</v>
      </c>
      <c r="Y372">
        <v>31.24</v>
      </c>
      <c r="Z372" s="14">
        <v>0.92213235728201193</v>
      </c>
      <c r="AA372">
        <v>26</v>
      </c>
      <c r="AC372">
        <v>370</v>
      </c>
      <c r="AD372">
        <v>112.597353</v>
      </c>
      <c r="AE372" s="14">
        <v>0.9273668698765225</v>
      </c>
      <c r="AF372">
        <v>31.045000000000002</v>
      </c>
      <c r="AG372" s="14">
        <v>0.9241508647634924</v>
      </c>
      <c r="AH372">
        <v>26</v>
      </c>
      <c r="AJ372">
        <v>370</v>
      </c>
      <c r="AK372">
        <v>111.525946</v>
      </c>
      <c r="AL372" s="14">
        <v>0.90619498482269334</v>
      </c>
      <c r="AM372">
        <v>30.800999999999998</v>
      </c>
      <c r="AN372" s="14">
        <v>0.90098285848007953</v>
      </c>
      <c r="AO372">
        <v>26</v>
      </c>
      <c r="AQ372">
        <v>370</v>
      </c>
      <c r="AR372">
        <v>110.52959799999999</v>
      </c>
      <c r="AS372" s="14">
        <v>0.90717156158074974</v>
      </c>
      <c r="AT372">
        <v>30.550999999999998</v>
      </c>
      <c r="AU372" s="14">
        <v>0.90219413519180225</v>
      </c>
      <c r="AV372">
        <v>26</v>
      </c>
      <c r="AX372">
        <v>370</v>
      </c>
      <c r="AY372">
        <v>112.72797</v>
      </c>
      <c r="AZ372" s="14">
        <v>0.91187199853075385</v>
      </c>
      <c r="BA372">
        <v>31.195</v>
      </c>
      <c r="BB372" s="14">
        <v>0.90883929611933345</v>
      </c>
      <c r="BC372">
        <v>26</v>
      </c>
    </row>
    <row r="373" spans="15:55" x14ac:dyDescent="0.35">
      <c r="O373">
        <v>371</v>
      </c>
      <c r="P373">
        <v>112.769392</v>
      </c>
      <c r="Q373" s="14">
        <v>0.91921685236395412</v>
      </c>
      <c r="R373">
        <v>31.155999999999999</v>
      </c>
      <c r="S373" s="14">
        <v>0.91813520363057699</v>
      </c>
      <c r="T373">
        <v>26</v>
      </c>
      <c r="V373">
        <v>371</v>
      </c>
      <c r="W373">
        <v>113.233435</v>
      </c>
      <c r="X373" s="14">
        <v>0.92381657836013364</v>
      </c>
      <c r="Y373">
        <v>31.227</v>
      </c>
      <c r="Z373" s="14">
        <v>0.92174862742782926</v>
      </c>
      <c r="AA373">
        <v>26</v>
      </c>
      <c r="AC373">
        <v>371</v>
      </c>
      <c r="AD373">
        <v>112.576728</v>
      </c>
      <c r="AE373" s="14">
        <v>0.92719699961597379</v>
      </c>
      <c r="AF373">
        <v>31.039000000000001</v>
      </c>
      <c r="AG373" s="14">
        <v>0.92397225612478784</v>
      </c>
      <c r="AH373">
        <v>26</v>
      </c>
      <c r="AJ373">
        <v>371</v>
      </c>
      <c r="AK373">
        <v>111.540989</v>
      </c>
      <c r="AL373" s="14">
        <v>0.906317215493184</v>
      </c>
      <c r="AM373">
        <v>30.803000000000001</v>
      </c>
      <c r="AN373" s="14">
        <v>0.90104136196103668</v>
      </c>
      <c r="AO373">
        <v>26</v>
      </c>
      <c r="AQ373">
        <v>371</v>
      </c>
      <c r="AR373">
        <v>110.50713399999999</v>
      </c>
      <c r="AS373" s="14">
        <v>0.90698718832391989</v>
      </c>
      <c r="AT373">
        <v>30.542000000000002</v>
      </c>
      <c r="AU373" s="14">
        <v>0.90192835838525831</v>
      </c>
      <c r="AV373">
        <v>26</v>
      </c>
      <c r="AX373">
        <v>371</v>
      </c>
      <c r="AY373">
        <v>112.684737</v>
      </c>
      <c r="AZ373" s="14">
        <v>0.91152228086873543</v>
      </c>
      <c r="BA373">
        <v>31.184000000000001</v>
      </c>
      <c r="BB373" s="14">
        <v>0.9085188206502739</v>
      </c>
      <c r="BC373">
        <v>26</v>
      </c>
    </row>
    <row r="374" spans="15:55" x14ac:dyDescent="0.35">
      <c r="O374">
        <v>372</v>
      </c>
      <c r="P374">
        <v>112.794062</v>
      </c>
      <c r="Q374" s="14">
        <v>0.91941794487093342</v>
      </c>
      <c r="R374">
        <v>31.157</v>
      </c>
      <c r="S374" s="14">
        <v>0.91816467259975254</v>
      </c>
      <c r="T374">
        <v>26</v>
      </c>
      <c r="V374">
        <v>372</v>
      </c>
      <c r="W374">
        <v>113.186796</v>
      </c>
      <c r="X374" s="14">
        <v>0.92343607342006773</v>
      </c>
      <c r="Y374">
        <v>31.216000000000001</v>
      </c>
      <c r="Z374" s="14">
        <v>0.92142393293582858</v>
      </c>
      <c r="AA374">
        <v>26</v>
      </c>
      <c r="AC374">
        <v>372</v>
      </c>
      <c r="AD374">
        <v>112.501603</v>
      </c>
      <c r="AE374" s="14">
        <v>0.9265782600608844</v>
      </c>
      <c r="AF374">
        <v>31.023</v>
      </c>
      <c r="AG374" s="14">
        <v>0.92349596642157583</v>
      </c>
      <c r="AH374">
        <v>26</v>
      </c>
      <c r="AJ374">
        <v>372</v>
      </c>
      <c r="AK374">
        <v>111.54880900000001</v>
      </c>
      <c r="AL374" s="14">
        <v>0.90638075626585157</v>
      </c>
      <c r="AM374">
        <v>30.798999999999999</v>
      </c>
      <c r="AN374" s="14">
        <v>0.90092435499912249</v>
      </c>
      <c r="AO374">
        <v>26</v>
      </c>
      <c r="AQ374">
        <v>372</v>
      </c>
      <c r="AR374">
        <v>110.445088</v>
      </c>
      <c r="AS374" s="14">
        <v>0.90647794584291652</v>
      </c>
      <c r="AT374">
        <v>30.53</v>
      </c>
      <c r="AU374" s="14">
        <v>0.90157398930986632</v>
      </c>
      <c r="AV374">
        <v>26</v>
      </c>
      <c r="AX374">
        <v>372</v>
      </c>
      <c r="AY374">
        <v>112.66995199999999</v>
      </c>
      <c r="AZ374" s="14">
        <v>0.91140268297747318</v>
      </c>
      <c r="BA374">
        <v>31.18</v>
      </c>
      <c r="BB374" s="14">
        <v>0.90840228411607038</v>
      </c>
      <c r="BC374">
        <v>26</v>
      </c>
    </row>
    <row r="375" spans="15:55" x14ac:dyDescent="0.35">
      <c r="O375">
        <v>373</v>
      </c>
      <c r="P375">
        <v>112.77747100000001</v>
      </c>
      <c r="Q375" s="14">
        <v>0.91928270669568846</v>
      </c>
      <c r="R375">
        <v>31.152999999999999</v>
      </c>
      <c r="S375" s="14">
        <v>0.91804679672305067</v>
      </c>
      <c r="T375">
        <v>26</v>
      </c>
      <c r="V375">
        <v>373</v>
      </c>
      <c r="W375">
        <v>113.17317199999999</v>
      </c>
      <c r="X375" s="14">
        <v>0.92332492182368997</v>
      </c>
      <c r="Y375">
        <v>31.210999999999999</v>
      </c>
      <c r="Z375" s="14">
        <v>0.92127634453037366</v>
      </c>
      <c r="AA375">
        <v>26</v>
      </c>
      <c r="AC375">
        <v>373</v>
      </c>
      <c r="AD375">
        <v>112.45373499999999</v>
      </c>
      <c r="AE375" s="14">
        <v>0.92618401280600204</v>
      </c>
      <c r="AF375">
        <v>31.012</v>
      </c>
      <c r="AG375" s="14">
        <v>0.92316851725061766</v>
      </c>
      <c r="AH375">
        <v>26</v>
      </c>
      <c r="AJ375">
        <v>373</v>
      </c>
      <c r="AK375">
        <v>111.51115</v>
      </c>
      <c r="AL375" s="14">
        <v>0.90607476113057206</v>
      </c>
      <c r="AM375">
        <v>30.79</v>
      </c>
      <c r="AN375" s="14">
        <v>0.90066108933481537</v>
      </c>
      <c r="AO375">
        <v>26</v>
      </c>
      <c r="AQ375">
        <v>373</v>
      </c>
      <c r="AR375">
        <v>110.39369600000001</v>
      </c>
      <c r="AS375" s="14">
        <v>0.90605614605592411</v>
      </c>
      <c r="AT375">
        <v>30.516999999999999</v>
      </c>
      <c r="AU375" s="14">
        <v>0.90119008947819157</v>
      </c>
      <c r="AV375">
        <v>26</v>
      </c>
      <c r="AX375">
        <v>373</v>
      </c>
      <c r="AY375">
        <v>112.658986</v>
      </c>
      <c r="AZ375" s="14">
        <v>0.91131397750059917</v>
      </c>
      <c r="BA375">
        <v>31.173999999999999</v>
      </c>
      <c r="BB375" s="14">
        <v>0.90822747931476522</v>
      </c>
      <c r="BC375">
        <v>26</v>
      </c>
    </row>
    <row r="376" spans="15:55" x14ac:dyDescent="0.35">
      <c r="O376">
        <v>374</v>
      </c>
      <c r="P376">
        <v>112.724694</v>
      </c>
      <c r="Q376" s="14">
        <v>0.91885250567254906</v>
      </c>
      <c r="R376">
        <v>31.14</v>
      </c>
      <c r="S376" s="14">
        <v>0.91766370012376974</v>
      </c>
      <c r="T376">
        <v>26</v>
      </c>
      <c r="V376">
        <v>374</v>
      </c>
      <c r="W376">
        <v>113.167205</v>
      </c>
      <c r="X376" s="14">
        <v>0.92327623996993291</v>
      </c>
      <c r="Y376">
        <v>31.207000000000001</v>
      </c>
      <c r="Z376" s="14">
        <v>0.92115827380600979</v>
      </c>
      <c r="AA376">
        <v>26</v>
      </c>
      <c r="AC376">
        <v>374</v>
      </c>
      <c r="AD376">
        <v>112.42748400000001</v>
      </c>
      <c r="AE376" s="14">
        <v>0.92596780605644269</v>
      </c>
      <c r="AF376">
        <v>31.004999999999999</v>
      </c>
      <c r="AG376" s="14">
        <v>0.92296014050546227</v>
      </c>
      <c r="AH376">
        <v>26</v>
      </c>
      <c r="AJ376">
        <v>374</v>
      </c>
      <c r="AK376">
        <v>111.45843600000001</v>
      </c>
      <c r="AL376" s="14">
        <v>0.90564643781977994</v>
      </c>
      <c r="AM376">
        <v>30.776</v>
      </c>
      <c r="AN376" s="14">
        <v>0.90025156496811565</v>
      </c>
      <c r="AO376">
        <v>26</v>
      </c>
      <c r="AQ376">
        <v>374</v>
      </c>
      <c r="AR376">
        <v>110.364069</v>
      </c>
      <c r="AS376" s="14">
        <v>0.90581298248398245</v>
      </c>
      <c r="AT376">
        <v>30.509</v>
      </c>
      <c r="AU376" s="14">
        <v>0.90095384342793017</v>
      </c>
      <c r="AV376">
        <v>26</v>
      </c>
      <c r="AX376">
        <v>374</v>
      </c>
      <c r="AY376">
        <v>112.587692</v>
      </c>
      <c r="AZ376" s="14">
        <v>0.91073727056386244</v>
      </c>
      <c r="BA376">
        <v>31.158999999999999</v>
      </c>
      <c r="BB376" s="14">
        <v>0.90779046731150215</v>
      </c>
      <c r="BC376">
        <v>26</v>
      </c>
    </row>
    <row r="377" spans="15:55" x14ac:dyDescent="0.35">
      <c r="O377">
        <v>375</v>
      </c>
      <c r="P377">
        <v>112.685034</v>
      </c>
      <c r="Q377" s="14">
        <v>0.91852922521746994</v>
      </c>
      <c r="R377">
        <v>31.13</v>
      </c>
      <c r="S377" s="14">
        <v>0.91736901043201513</v>
      </c>
      <c r="T377">
        <v>26</v>
      </c>
      <c r="V377">
        <v>375</v>
      </c>
      <c r="W377">
        <v>113.10350200000001</v>
      </c>
      <c r="X377" s="14">
        <v>0.92275651814491488</v>
      </c>
      <c r="Y377">
        <v>31.193000000000001</v>
      </c>
      <c r="Z377" s="14">
        <v>0.92074502627073618</v>
      </c>
      <c r="AA377">
        <v>26</v>
      </c>
      <c r="AC377">
        <v>375</v>
      </c>
      <c r="AD377">
        <v>112.425895</v>
      </c>
      <c r="AE377" s="14">
        <v>0.92595471883976332</v>
      </c>
      <c r="AF377">
        <v>31.001999999999999</v>
      </c>
      <c r="AG377" s="14">
        <v>0.9228708361861101</v>
      </c>
      <c r="AH377">
        <v>26</v>
      </c>
      <c r="AJ377">
        <v>375</v>
      </c>
      <c r="AK377">
        <v>111.400201</v>
      </c>
      <c r="AL377" s="14">
        <v>0.90517325407345106</v>
      </c>
      <c r="AM377">
        <v>30.763999999999999</v>
      </c>
      <c r="AN377" s="14">
        <v>0.89990054408237286</v>
      </c>
      <c r="AO377">
        <v>26</v>
      </c>
      <c r="AQ377">
        <v>375</v>
      </c>
      <c r="AR377">
        <v>110.361637</v>
      </c>
      <c r="AS377" s="14">
        <v>0.90579302184649091</v>
      </c>
      <c r="AT377">
        <v>30.506</v>
      </c>
      <c r="AU377" s="14">
        <v>0.90086525115908223</v>
      </c>
      <c r="AV377">
        <v>26</v>
      </c>
      <c r="AX377">
        <v>375</v>
      </c>
      <c r="AY377">
        <v>112.51559899999999</v>
      </c>
      <c r="AZ377" s="14">
        <v>0.91015410040662392</v>
      </c>
      <c r="BA377">
        <v>31.143000000000001</v>
      </c>
      <c r="BB377" s="14">
        <v>0.90732432117468831</v>
      </c>
      <c r="BC377">
        <v>26</v>
      </c>
    </row>
    <row r="378" spans="15:55" x14ac:dyDescent="0.35">
      <c r="O378">
        <v>376</v>
      </c>
      <c r="P378">
        <v>112.72426400000001</v>
      </c>
      <c r="Q378" s="14">
        <v>0.9188490006146649</v>
      </c>
      <c r="R378">
        <v>31.132000000000001</v>
      </c>
      <c r="S378" s="14">
        <v>0.91742794837036612</v>
      </c>
      <c r="T378">
        <v>54</v>
      </c>
      <c r="V378">
        <v>376</v>
      </c>
      <c r="W378">
        <v>112.958433</v>
      </c>
      <c r="X378" s="14">
        <v>0.92157297065996813</v>
      </c>
      <c r="Y378">
        <v>31.155999999999999</v>
      </c>
      <c r="Z378" s="14">
        <v>0.91965287207037016</v>
      </c>
      <c r="AA378">
        <v>54</v>
      </c>
      <c r="AC378">
        <v>376</v>
      </c>
      <c r="AD378">
        <v>112.26603</v>
      </c>
      <c r="AE378" s="14">
        <v>0.9246380493026668</v>
      </c>
      <c r="AF378">
        <v>30.963000000000001</v>
      </c>
      <c r="AG378" s="14">
        <v>0.92170988003453092</v>
      </c>
      <c r="AH378">
        <v>54</v>
      </c>
      <c r="AJ378">
        <v>376</v>
      </c>
      <c r="AK378">
        <v>111.32061899999999</v>
      </c>
      <c r="AL378" s="14">
        <v>0.90452661701840953</v>
      </c>
      <c r="AM378">
        <v>30.736999999999998</v>
      </c>
      <c r="AN378" s="14">
        <v>0.89911074708945182</v>
      </c>
      <c r="AO378">
        <v>54</v>
      </c>
      <c r="AQ378">
        <v>376</v>
      </c>
      <c r="AR378">
        <v>110.16374999999999</v>
      </c>
      <c r="AS378" s="14">
        <v>0.90416886449809875</v>
      </c>
      <c r="AT378">
        <v>30.457000000000001</v>
      </c>
      <c r="AU378" s="14">
        <v>0.8994182441012315</v>
      </c>
      <c r="AV378">
        <v>54</v>
      </c>
      <c r="AX378">
        <v>376</v>
      </c>
      <c r="AY378">
        <v>112.452888</v>
      </c>
      <c r="AZ378" s="14">
        <v>0.90964682253317464</v>
      </c>
      <c r="BA378">
        <v>31.12</v>
      </c>
      <c r="BB378" s="14">
        <v>0.90665423610301843</v>
      </c>
      <c r="BC378">
        <v>54</v>
      </c>
    </row>
    <row r="379" spans="15:55" x14ac:dyDescent="0.35">
      <c r="O379">
        <v>377</v>
      </c>
      <c r="P379">
        <v>112.65558</v>
      </c>
      <c r="Q379" s="14">
        <v>0.91828913690370539</v>
      </c>
      <c r="R379">
        <v>31.114999999999998</v>
      </c>
      <c r="S379" s="14">
        <v>0.91692697589438321</v>
      </c>
      <c r="T379">
        <v>54</v>
      </c>
      <c r="V379">
        <v>377</v>
      </c>
      <c r="W379">
        <v>112.95372</v>
      </c>
      <c r="X379" s="14">
        <v>0.92153451958291821</v>
      </c>
      <c r="Y379">
        <v>31.152999999999999</v>
      </c>
      <c r="Z379" s="14">
        <v>0.91956431902709723</v>
      </c>
      <c r="AA379">
        <v>54</v>
      </c>
      <c r="AC379">
        <v>377</v>
      </c>
      <c r="AD379">
        <v>112.224824</v>
      </c>
      <c r="AE379" s="14">
        <v>0.92429867117145847</v>
      </c>
      <c r="AF379">
        <v>30.952999999999999</v>
      </c>
      <c r="AG379" s="14">
        <v>0.92141219897002336</v>
      </c>
      <c r="AH379">
        <v>54</v>
      </c>
      <c r="AJ379">
        <v>377</v>
      </c>
      <c r="AK379">
        <v>111.226708</v>
      </c>
      <c r="AL379" s="14">
        <v>0.90376355084168614</v>
      </c>
      <c r="AM379">
        <v>30.715</v>
      </c>
      <c r="AN379" s="14">
        <v>0.8984672087989235</v>
      </c>
      <c r="AO379">
        <v>54</v>
      </c>
      <c r="AQ379">
        <v>377</v>
      </c>
      <c r="AR379">
        <v>110.083933</v>
      </c>
      <c r="AS379" s="14">
        <v>0.90351376655292492</v>
      </c>
      <c r="AT379">
        <v>30.440999999999999</v>
      </c>
      <c r="AU379" s="14">
        <v>0.8989457520007087</v>
      </c>
      <c r="AV379">
        <v>54</v>
      </c>
      <c r="AX379">
        <v>377</v>
      </c>
      <c r="AY379">
        <v>112.452612</v>
      </c>
      <c r="AZ379" s="14">
        <v>0.90964458993134922</v>
      </c>
      <c r="BA379">
        <v>31.116</v>
      </c>
      <c r="BB379" s="14">
        <v>0.90653769956881491</v>
      </c>
      <c r="BC379">
        <v>54</v>
      </c>
    </row>
    <row r="380" spans="15:55" x14ac:dyDescent="0.35">
      <c r="O380">
        <v>378</v>
      </c>
      <c r="P380">
        <v>112.594234</v>
      </c>
      <c r="Q380" s="14">
        <v>0.91778908741310317</v>
      </c>
      <c r="R380">
        <v>31.1</v>
      </c>
      <c r="S380" s="14">
        <v>0.9164849413567514</v>
      </c>
      <c r="T380">
        <v>54</v>
      </c>
      <c r="V380">
        <v>378</v>
      </c>
      <c r="W380">
        <v>112.94802799999999</v>
      </c>
      <c r="X380" s="14">
        <v>0.92148808132054427</v>
      </c>
      <c r="Y380">
        <v>31.149000000000001</v>
      </c>
      <c r="Z380" s="14">
        <v>0.91944624830273336</v>
      </c>
      <c r="AA380">
        <v>54</v>
      </c>
      <c r="AC380">
        <v>378</v>
      </c>
      <c r="AD380">
        <v>112.203974</v>
      </c>
      <c r="AE380" s="14">
        <v>0.92412694778079474</v>
      </c>
      <c r="AF380">
        <v>30.945</v>
      </c>
      <c r="AG380" s="14">
        <v>0.92117405411841746</v>
      </c>
      <c r="AH380">
        <v>54</v>
      </c>
      <c r="AJ380">
        <v>378</v>
      </c>
      <c r="AK380">
        <v>111.13086300000001</v>
      </c>
      <c r="AL380" s="14">
        <v>0.90298477010558431</v>
      </c>
      <c r="AM380">
        <v>30.695</v>
      </c>
      <c r="AN380" s="14">
        <v>0.89788217398935233</v>
      </c>
      <c r="AO380">
        <v>54</v>
      </c>
      <c r="AQ380">
        <v>378</v>
      </c>
      <c r="AR380">
        <v>110.06100499999999</v>
      </c>
      <c r="AS380" s="14">
        <v>0.90332558501657367</v>
      </c>
      <c r="AT380">
        <v>30.433</v>
      </c>
      <c r="AU380" s="14">
        <v>0.89870950595044741</v>
      </c>
      <c r="AV380">
        <v>54</v>
      </c>
      <c r="AX380">
        <v>378</v>
      </c>
      <c r="AY380">
        <v>112.452231</v>
      </c>
      <c r="AZ380" s="14">
        <v>0.90964150797013377</v>
      </c>
      <c r="BA380">
        <v>31.113</v>
      </c>
      <c r="BB380" s="14">
        <v>0.90645029716816228</v>
      </c>
      <c r="BC380">
        <v>54</v>
      </c>
    </row>
    <row r="381" spans="15:55" x14ac:dyDescent="0.35">
      <c r="O381">
        <v>379</v>
      </c>
      <c r="P381">
        <v>112.5335</v>
      </c>
      <c r="Q381" s="14">
        <v>0.91729402651651282</v>
      </c>
      <c r="R381">
        <v>31.085000000000001</v>
      </c>
      <c r="S381" s="14">
        <v>0.9160429068191196</v>
      </c>
      <c r="T381">
        <v>54</v>
      </c>
      <c r="V381">
        <v>379</v>
      </c>
      <c r="W381">
        <v>112.93963100000001</v>
      </c>
      <c r="X381" s="14">
        <v>0.92141957427747456</v>
      </c>
      <c r="Y381">
        <v>31.143999999999998</v>
      </c>
      <c r="Z381" s="14">
        <v>0.91929865989727844</v>
      </c>
      <c r="AA381">
        <v>54</v>
      </c>
      <c r="AC381">
        <v>379</v>
      </c>
      <c r="AD381">
        <v>112.201983</v>
      </c>
      <c r="AE381" s="14">
        <v>0.92411054963830974</v>
      </c>
      <c r="AF381">
        <v>30.943000000000001</v>
      </c>
      <c r="AG381" s="14">
        <v>0.92111451790551602</v>
      </c>
      <c r="AH381">
        <v>54</v>
      </c>
      <c r="AJ381">
        <v>379</v>
      </c>
      <c r="AK381">
        <v>111.049443</v>
      </c>
      <c r="AL381" s="14">
        <v>0.90232319853134035</v>
      </c>
      <c r="AM381">
        <v>30.677</v>
      </c>
      <c r="AN381" s="14">
        <v>0.89735564266073831</v>
      </c>
      <c r="AO381">
        <v>54</v>
      </c>
      <c r="AQ381">
        <v>379</v>
      </c>
      <c r="AR381">
        <v>110.064345</v>
      </c>
      <c r="AS381" s="14">
        <v>0.90335299806312874</v>
      </c>
      <c r="AT381">
        <v>30.431000000000001</v>
      </c>
      <c r="AU381" s="14">
        <v>0.89865044443788211</v>
      </c>
      <c r="AV381">
        <v>54</v>
      </c>
      <c r="AX381">
        <v>379</v>
      </c>
      <c r="AY381">
        <v>112.395049</v>
      </c>
      <c r="AZ381" s="14">
        <v>0.90917895493542566</v>
      </c>
      <c r="BA381">
        <v>31.099</v>
      </c>
      <c r="BB381" s="14">
        <v>0.90604241929845009</v>
      </c>
      <c r="BC381">
        <v>54</v>
      </c>
    </row>
    <row r="382" spans="15:55" x14ac:dyDescent="0.35">
      <c r="O382">
        <v>380</v>
      </c>
      <c r="P382">
        <v>112.505582</v>
      </c>
      <c r="Q382" s="14">
        <v>0.91706645859556235</v>
      </c>
      <c r="R382">
        <v>31.077999999999999</v>
      </c>
      <c r="S382" s="14">
        <v>0.9158366240348913</v>
      </c>
      <c r="T382">
        <v>54</v>
      </c>
      <c r="V382">
        <v>380</v>
      </c>
      <c r="W382">
        <v>112.902812</v>
      </c>
      <c r="X382" s="14">
        <v>0.92111918594607178</v>
      </c>
      <c r="Y382">
        <v>31.135000000000002</v>
      </c>
      <c r="Z382" s="14">
        <v>0.91903300076745975</v>
      </c>
      <c r="AA382">
        <v>54</v>
      </c>
      <c r="AC382">
        <v>380</v>
      </c>
      <c r="AD382">
        <v>112.19734800000001</v>
      </c>
      <c r="AE382" s="14">
        <v>0.92407237515793927</v>
      </c>
      <c r="AF382">
        <v>30.939</v>
      </c>
      <c r="AG382" s="14">
        <v>0.9209954454797129</v>
      </c>
      <c r="AH382">
        <v>54</v>
      </c>
      <c r="AJ382">
        <v>380</v>
      </c>
      <c r="AK382">
        <v>111.05306899999999</v>
      </c>
      <c r="AL382" s="14">
        <v>0.90235266129882019</v>
      </c>
      <c r="AM382">
        <v>30.673999999999999</v>
      </c>
      <c r="AN382" s="14">
        <v>0.89726788743930264</v>
      </c>
      <c r="AO382">
        <v>54</v>
      </c>
      <c r="AQ382">
        <v>380</v>
      </c>
      <c r="AR382">
        <v>110.057785</v>
      </c>
      <c r="AS382" s="14">
        <v>0.90329915686989481</v>
      </c>
      <c r="AT382">
        <v>30.425000000000001</v>
      </c>
      <c r="AU382" s="14">
        <v>0.89847325990018612</v>
      </c>
      <c r="AV382">
        <v>54</v>
      </c>
      <c r="AX382">
        <v>380</v>
      </c>
      <c r="AY382">
        <v>112.354879</v>
      </c>
      <c r="AZ382" s="14">
        <v>0.90885401430018675</v>
      </c>
      <c r="BA382">
        <v>31.088999999999999</v>
      </c>
      <c r="BB382" s="14">
        <v>0.90575107796294141</v>
      </c>
      <c r="BC382">
        <v>54</v>
      </c>
    </row>
    <row r="383" spans="15:55" x14ac:dyDescent="0.35">
      <c r="O383">
        <v>381</v>
      </c>
      <c r="P383">
        <v>112.478416</v>
      </c>
      <c r="Q383" s="14">
        <v>0.91684502045026017</v>
      </c>
      <c r="R383">
        <v>31.07</v>
      </c>
      <c r="S383" s="14">
        <v>0.91560087228148768</v>
      </c>
      <c r="T383">
        <v>54</v>
      </c>
      <c r="V383">
        <v>381</v>
      </c>
      <c r="W383">
        <v>112.86161300000001</v>
      </c>
      <c r="X383" s="14">
        <v>0.92078306332282145</v>
      </c>
      <c r="Y383">
        <v>31.125</v>
      </c>
      <c r="Z383" s="14">
        <v>0.91873782395655001</v>
      </c>
      <c r="AA383">
        <v>54</v>
      </c>
      <c r="AC383">
        <v>381</v>
      </c>
      <c r="AD383">
        <v>112.175388</v>
      </c>
      <c r="AE383" s="14">
        <v>0.9238915096587077</v>
      </c>
      <c r="AF383">
        <v>30.933</v>
      </c>
      <c r="AG383" s="14">
        <v>0.92081683684100846</v>
      </c>
      <c r="AH383">
        <v>54</v>
      </c>
      <c r="AJ383">
        <v>381</v>
      </c>
      <c r="AK383">
        <v>111.060118</v>
      </c>
      <c r="AL383" s="14">
        <v>0.90240993737382447</v>
      </c>
      <c r="AM383">
        <v>30.672000000000001</v>
      </c>
      <c r="AN383" s="14">
        <v>0.89720938395834549</v>
      </c>
      <c r="AO383">
        <v>54</v>
      </c>
      <c r="AQ383">
        <v>381</v>
      </c>
      <c r="AR383">
        <v>110.000741</v>
      </c>
      <c r="AS383" s="14">
        <v>0.90283096829873222</v>
      </c>
      <c r="AT383">
        <v>30.413</v>
      </c>
      <c r="AU383" s="14">
        <v>0.89811889082479401</v>
      </c>
      <c r="AV383">
        <v>54</v>
      </c>
      <c r="AX383">
        <v>381</v>
      </c>
      <c r="AY383">
        <v>112.35539199999999</v>
      </c>
      <c r="AZ383" s="14">
        <v>0.90885816402749264</v>
      </c>
      <c r="BA383">
        <v>31.087</v>
      </c>
      <c r="BB383" s="14">
        <v>0.90569280969583965</v>
      </c>
      <c r="BC383">
        <v>54</v>
      </c>
    </row>
    <row r="384" spans="15:55" x14ac:dyDescent="0.35">
      <c r="O384">
        <v>382</v>
      </c>
      <c r="P384">
        <v>112.42735399999999</v>
      </c>
      <c r="Q384" s="14">
        <v>0.91642879890217022</v>
      </c>
      <c r="R384">
        <v>31.056999999999999</v>
      </c>
      <c r="S384" s="14">
        <v>0.91521777568220664</v>
      </c>
      <c r="T384">
        <v>54</v>
      </c>
      <c r="V384">
        <v>382</v>
      </c>
      <c r="W384">
        <v>112.86203500000001</v>
      </c>
      <c r="X384" s="14">
        <v>0.92078650621578029</v>
      </c>
      <c r="Y384">
        <v>31.122</v>
      </c>
      <c r="Z384" s="14">
        <v>0.91864927091327708</v>
      </c>
      <c r="AA384">
        <v>54</v>
      </c>
      <c r="AC384">
        <v>382</v>
      </c>
      <c r="AD384">
        <v>112.138356</v>
      </c>
      <c r="AE384" s="14">
        <v>0.9235865091501676</v>
      </c>
      <c r="AF384">
        <v>30.922999999999998</v>
      </c>
      <c r="AG384" s="14">
        <v>0.9205191557765009</v>
      </c>
      <c r="AH384">
        <v>54</v>
      </c>
      <c r="AJ384">
        <v>382</v>
      </c>
      <c r="AK384">
        <v>111.041983</v>
      </c>
      <c r="AL384" s="14">
        <v>0.90226258290933281</v>
      </c>
      <c r="AM384">
        <v>30.666</v>
      </c>
      <c r="AN384" s="14">
        <v>0.89703387351547414</v>
      </c>
      <c r="AO384">
        <v>54</v>
      </c>
      <c r="AQ384">
        <v>382</v>
      </c>
      <c r="AR384">
        <v>109.953683</v>
      </c>
      <c r="AS384" s="14">
        <v>0.90244473981226947</v>
      </c>
      <c r="AT384">
        <v>30.401</v>
      </c>
      <c r="AU384" s="14">
        <v>0.89776452174940202</v>
      </c>
      <c r="AV384">
        <v>54</v>
      </c>
      <c r="AX384">
        <v>382</v>
      </c>
      <c r="AY384">
        <v>112.35639</v>
      </c>
      <c r="AZ384" s="14">
        <v>0.90886623698626712</v>
      </c>
      <c r="BA384">
        <v>31.082999999999998</v>
      </c>
      <c r="BB384" s="14">
        <v>0.90557627316163614</v>
      </c>
      <c r="BC384">
        <v>54</v>
      </c>
    </row>
    <row r="385" spans="15:55" x14ac:dyDescent="0.35">
      <c r="O385">
        <v>383</v>
      </c>
      <c r="P385">
        <v>112.418353</v>
      </c>
      <c r="Q385" s="14">
        <v>0.91635542907422851</v>
      </c>
      <c r="R385">
        <v>31.053999999999998</v>
      </c>
      <c r="S385" s="14">
        <v>0.91512936877468032</v>
      </c>
      <c r="T385">
        <v>54</v>
      </c>
      <c r="V385">
        <v>383</v>
      </c>
      <c r="W385">
        <v>112.88077800000001</v>
      </c>
      <c r="X385" s="14">
        <v>0.92093942124594075</v>
      </c>
      <c r="Y385">
        <v>31.123999999999999</v>
      </c>
      <c r="Z385" s="14">
        <v>0.91870830627545896</v>
      </c>
      <c r="AA385">
        <v>54</v>
      </c>
      <c r="AC385">
        <v>383</v>
      </c>
      <c r="AD385">
        <v>112.109678</v>
      </c>
      <c r="AE385" s="14">
        <v>0.92335031330376693</v>
      </c>
      <c r="AF385">
        <v>30.914999999999999</v>
      </c>
      <c r="AG385" s="14">
        <v>0.92028101092489489</v>
      </c>
      <c r="AH385">
        <v>54</v>
      </c>
      <c r="AJ385">
        <v>383</v>
      </c>
      <c r="AK385">
        <v>110.980153</v>
      </c>
      <c r="AL385" s="14">
        <v>0.90176018828349758</v>
      </c>
      <c r="AM385">
        <v>30.652000000000001</v>
      </c>
      <c r="AN385" s="14">
        <v>0.89662434914877442</v>
      </c>
      <c r="AO385">
        <v>54</v>
      </c>
      <c r="AQ385">
        <v>383</v>
      </c>
      <c r="AR385">
        <v>109.92872800000001</v>
      </c>
      <c r="AS385" s="14">
        <v>0.90223992167550904</v>
      </c>
      <c r="AT385">
        <v>30.393000000000001</v>
      </c>
      <c r="AU385" s="14">
        <v>0.89752827569914073</v>
      </c>
      <c r="AV385">
        <v>54</v>
      </c>
      <c r="AX385">
        <v>383</v>
      </c>
      <c r="AY385">
        <v>112.29443499999999</v>
      </c>
      <c r="AZ385" s="14">
        <v>0.90836507450042636</v>
      </c>
      <c r="BA385">
        <v>31.068999999999999</v>
      </c>
      <c r="BB385" s="14">
        <v>0.90516839529192406</v>
      </c>
      <c r="BC385">
        <v>54</v>
      </c>
    </row>
    <row r="386" spans="15:55" x14ac:dyDescent="0.35">
      <c r="O386">
        <v>384</v>
      </c>
      <c r="P386">
        <v>112.365939</v>
      </c>
      <c r="Q386" s="14">
        <v>0.91592818697204703</v>
      </c>
      <c r="R386">
        <v>31.04</v>
      </c>
      <c r="S386" s="14">
        <v>0.91471680320622384</v>
      </c>
      <c r="T386">
        <v>54</v>
      </c>
      <c r="V386">
        <v>384</v>
      </c>
      <c r="W386">
        <v>112.823949</v>
      </c>
      <c r="X386" s="14">
        <v>0.92047578104698691</v>
      </c>
      <c r="Y386">
        <v>31.11</v>
      </c>
      <c r="Z386" s="14">
        <v>0.91829505874018535</v>
      </c>
      <c r="AA386">
        <v>54</v>
      </c>
      <c r="AC386">
        <v>384</v>
      </c>
      <c r="AD386">
        <v>112.145555</v>
      </c>
      <c r="AE386" s="14">
        <v>0.92364580107771621</v>
      </c>
      <c r="AF386">
        <v>30.919</v>
      </c>
      <c r="AG386" s="14">
        <v>0.92040008335069801</v>
      </c>
      <c r="AH386">
        <v>54</v>
      </c>
      <c r="AJ386">
        <v>384</v>
      </c>
      <c r="AK386">
        <v>110.92898</v>
      </c>
      <c r="AL386" s="14">
        <v>0.90134438624261337</v>
      </c>
      <c r="AM386">
        <v>30.638999999999999</v>
      </c>
      <c r="AN386" s="14">
        <v>0.89624407652255311</v>
      </c>
      <c r="AO386">
        <v>54</v>
      </c>
      <c r="AQ386">
        <v>384</v>
      </c>
      <c r="AR386">
        <v>109.933533</v>
      </c>
      <c r="AS386" s="14">
        <v>0.90227935870805287</v>
      </c>
      <c r="AT386">
        <v>30.390999999999998</v>
      </c>
      <c r="AU386" s="14">
        <v>0.89746921418657533</v>
      </c>
      <c r="AV386">
        <v>54</v>
      </c>
      <c r="AX386">
        <v>384</v>
      </c>
      <c r="AY386">
        <v>112.23872799999999</v>
      </c>
      <c r="AZ386" s="14">
        <v>0.90791445294286488</v>
      </c>
      <c r="BA386">
        <v>31.056000000000001</v>
      </c>
      <c r="BB386" s="14">
        <v>0.90478965155576285</v>
      </c>
      <c r="BC386">
        <v>54</v>
      </c>
    </row>
    <row r="387" spans="15:55" x14ac:dyDescent="0.35">
      <c r="O387">
        <v>385</v>
      </c>
      <c r="P387">
        <v>112.322717</v>
      </c>
      <c r="Q387" s="14">
        <v>0.9155758715956116</v>
      </c>
      <c r="R387">
        <v>31.03</v>
      </c>
      <c r="S387" s="14">
        <v>0.91442211351446934</v>
      </c>
      <c r="T387">
        <v>54</v>
      </c>
      <c r="V387">
        <v>385</v>
      </c>
      <c r="W387">
        <v>112.77120600000001</v>
      </c>
      <c r="X387" s="14">
        <v>0.92004547653672941</v>
      </c>
      <c r="Y387">
        <v>31.097999999999999</v>
      </c>
      <c r="Z387" s="14">
        <v>0.91794084656709363</v>
      </c>
      <c r="AA387">
        <v>54</v>
      </c>
      <c r="AC387">
        <v>385</v>
      </c>
      <c r="AD387">
        <v>112.116198</v>
      </c>
      <c r="AE387" s="14">
        <v>0.92340401289643492</v>
      </c>
      <c r="AF387">
        <v>30.911000000000001</v>
      </c>
      <c r="AG387" s="14">
        <v>0.920161938499092</v>
      </c>
      <c r="AH387">
        <v>54</v>
      </c>
      <c r="AJ387">
        <v>385</v>
      </c>
      <c r="AK387">
        <v>110.90633</v>
      </c>
      <c r="AL387" s="14">
        <v>0.9011603455135957</v>
      </c>
      <c r="AM387">
        <v>30.632000000000001</v>
      </c>
      <c r="AN387" s="14">
        <v>0.89603931433920325</v>
      </c>
      <c r="AO387">
        <v>54</v>
      </c>
      <c r="AQ387">
        <v>385</v>
      </c>
      <c r="AR387">
        <v>109.93313499999999</v>
      </c>
      <c r="AS387" s="14">
        <v>0.90227609212346338</v>
      </c>
      <c r="AT387">
        <v>30.388999999999999</v>
      </c>
      <c r="AU387" s="14">
        <v>0.89741015267400992</v>
      </c>
      <c r="AV387">
        <v>54</v>
      </c>
      <c r="AX387">
        <v>385</v>
      </c>
      <c r="AY387">
        <v>112.17841799999999</v>
      </c>
      <c r="AZ387" s="14">
        <v>0.90742659708746898</v>
      </c>
      <c r="BA387">
        <v>31.042000000000002</v>
      </c>
      <c r="BB387" s="14">
        <v>0.90438177368605066</v>
      </c>
      <c r="BC387">
        <v>54</v>
      </c>
    </row>
    <row r="388" spans="15:55" x14ac:dyDescent="0.35">
      <c r="O388">
        <v>386</v>
      </c>
      <c r="P388">
        <v>112.27260099999999</v>
      </c>
      <c r="Q388" s="14">
        <v>0.91516736117486663</v>
      </c>
      <c r="R388">
        <v>31.018000000000001</v>
      </c>
      <c r="S388" s="14">
        <v>0.91406848588436385</v>
      </c>
      <c r="T388">
        <v>54</v>
      </c>
      <c r="V388">
        <v>386</v>
      </c>
      <c r="W388">
        <v>112.722387</v>
      </c>
      <c r="X388" s="14">
        <v>0.91964718603588069</v>
      </c>
      <c r="Y388">
        <v>31.087</v>
      </c>
      <c r="Z388" s="14">
        <v>0.91761615207509295</v>
      </c>
      <c r="AA388">
        <v>54</v>
      </c>
      <c r="AC388">
        <v>386</v>
      </c>
      <c r="AD388">
        <v>112.053777</v>
      </c>
      <c r="AE388" s="14">
        <v>0.92288990518570957</v>
      </c>
      <c r="AF388">
        <v>30.896999999999998</v>
      </c>
      <c r="AG388" s="14">
        <v>0.91974518500878144</v>
      </c>
      <c r="AH388">
        <v>54</v>
      </c>
      <c r="AJ388">
        <v>386</v>
      </c>
      <c r="AK388">
        <v>110.92106699999999</v>
      </c>
      <c r="AL388" s="14">
        <v>0.90128008980602548</v>
      </c>
      <c r="AM388">
        <v>30.632999999999999</v>
      </c>
      <c r="AN388" s="14">
        <v>0.89606856607968177</v>
      </c>
      <c r="AO388">
        <v>54</v>
      </c>
      <c r="AQ388">
        <v>386</v>
      </c>
      <c r="AR388">
        <v>109.927098</v>
      </c>
      <c r="AS388" s="14">
        <v>0.90222654345219022</v>
      </c>
      <c r="AT388">
        <v>30.382999999999999</v>
      </c>
      <c r="AU388" s="14">
        <v>0.89723296813631392</v>
      </c>
      <c r="AV388">
        <v>54</v>
      </c>
      <c r="AX388">
        <v>386</v>
      </c>
      <c r="AY388">
        <v>112.14454499999999</v>
      </c>
      <c r="AZ388" s="14">
        <v>0.90715259374822466</v>
      </c>
      <c r="BA388">
        <v>31.033000000000001</v>
      </c>
      <c r="BB388" s="14">
        <v>0.90411956648409286</v>
      </c>
      <c r="BC388">
        <v>54</v>
      </c>
    </row>
    <row r="389" spans="15:55" x14ac:dyDescent="0.35">
      <c r="O389">
        <v>387</v>
      </c>
      <c r="P389">
        <v>112.21120999999999</v>
      </c>
      <c r="Q389" s="14">
        <v>0.91466694487588129</v>
      </c>
      <c r="R389">
        <v>31.003</v>
      </c>
      <c r="S389" s="14">
        <v>0.91362645134673193</v>
      </c>
      <c r="T389">
        <v>54</v>
      </c>
      <c r="V389">
        <v>387</v>
      </c>
      <c r="W389">
        <v>112.684972</v>
      </c>
      <c r="X389" s="14">
        <v>0.91934193523006225</v>
      </c>
      <c r="Y389">
        <v>31.076000000000001</v>
      </c>
      <c r="Z389" s="14">
        <v>0.91729145758309227</v>
      </c>
      <c r="AA389">
        <v>54</v>
      </c>
      <c r="AC389">
        <v>387</v>
      </c>
      <c r="AD389">
        <v>112.00276599999999</v>
      </c>
      <c r="AE389" s="14">
        <v>0.92246977176215317</v>
      </c>
      <c r="AF389">
        <v>30.885000000000002</v>
      </c>
      <c r="AG389" s="14">
        <v>0.91938796773137255</v>
      </c>
      <c r="AH389">
        <v>54</v>
      </c>
      <c r="AJ389">
        <v>387</v>
      </c>
      <c r="AK389">
        <v>110.919274</v>
      </c>
      <c r="AL389" s="14">
        <v>0.90126552093065559</v>
      </c>
      <c r="AM389">
        <v>30.629000000000001</v>
      </c>
      <c r="AN389" s="14">
        <v>0.89595155911776758</v>
      </c>
      <c r="AO389">
        <v>54</v>
      </c>
      <c r="AQ389">
        <v>387</v>
      </c>
      <c r="AR389">
        <v>109.881243</v>
      </c>
      <c r="AS389" s="14">
        <v>0.90185018858698673</v>
      </c>
      <c r="AT389">
        <v>30.373000000000001</v>
      </c>
      <c r="AU389" s="14">
        <v>0.89693766057348734</v>
      </c>
      <c r="AV389">
        <v>54</v>
      </c>
      <c r="AX389">
        <v>387</v>
      </c>
      <c r="AY389">
        <v>112.117177</v>
      </c>
      <c r="AZ389" s="14">
        <v>0.90693121024548096</v>
      </c>
      <c r="BA389">
        <v>31.024999999999999</v>
      </c>
      <c r="BB389" s="14">
        <v>0.90388649341568583</v>
      </c>
      <c r="BC389">
        <v>54</v>
      </c>
    </row>
    <row r="390" spans="15:55" x14ac:dyDescent="0.35">
      <c r="O390">
        <v>388</v>
      </c>
      <c r="P390">
        <v>112.205517</v>
      </c>
      <c r="Q390" s="14">
        <v>0.91462053953975508</v>
      </c>
      <c r="R390">
        <v>31.001000000000001</v>
      </c>
      <c r="S390" s="14">
        <v>0.91356751340838105</v>
      </c>
      <c r="T390">
        <v>54</v>
      </c>
      <c r="V390">
        <v>388</v>
      </c>
      <c r="W390">
        <v>112.654887</v>
      </c>
      <c r="X390" s="14">
        <v>0.9190964863327471</v>
      </c>
      <c r="Y390">
        <v>31.068999999999999</v>
      </c>
      <c r="Z390" s="14">
        <v>0.91708483381545547</v>
      </c>
      <c r="AA390">
        <v>54</v>
      </c>
      <c r="AC390">
        <v>388</v>
      </c>
      <c r="AD390">
        <v>111.949476</v>
      </c>
      <c r="AE390" s="14">
        <v>0.9220308681895647</v>
      </c>
      <c r="AF390">
        <v>30.873000000000001</v>
      </c>
      <c r="AG390" s="14">
        <v>0.91903075045396354</v>
      </c>
      <c r="AH390">
        <v>54</v>
      </c>
      <c r="AJ390">
        <v>388</v>
      </c>
      <c r="AK390">
        <v>110.908035</v>
      </c>
      <c r="AL390" s="14">
        <v>0.90117419935213761</v>
      </c>
      <c r="AM390">
        <v>30.623000000000001</v>
      </c>
      <c r="AN390" s="14">
        <v>0.89577604867489624</v>
      </c>
      <c r="AO390">
        <v>54</v>
      </c>
      <c r="AQ390">
        <v>388</v>
      </c>
      <c r="AR390">
        <v>109.84917900000001</v>
      </c>
      <c r="AS390" s="14">
        <v>0.9015870233400588</v>
      </c>
      <c r="AT390">
        <v>30.364000000000001</v>
      </c>
      <c r="AU390" s="14">
        <v>0.89667188376694329</v>
      </c>
      <c r="AV390">
        <v>54</v>
      </c>
      <c r="AX390">
        <v>388</v>
      </c>
      <c r="AY390">
        <v>112.07253300000001</v>
      </c>
      <c r="AZ390" s="14">
        <v>0.9065700788110872</v>
      </c>
      <c r="BA390">
        <v>31.013999999999999</v>
      </c>
      <c r="BB390" s="14">
        <v>0.90356601794662628</v>
      </c>
      <c r="BC390">
        <v>54</v>
      </c>
    </row>
    <row r="391" spans="15:55" x14ac:dyDescent="0.35">
      <c r="O391">
        <v>389</v>
      </c>
      <c r="P391">
        <v>112.143221</v>
      </c>
      <c r="Q391" s="14">
        <v>0.91411274631661821</v>
      </c>
      <c r="R391">
        <v>30.986999999999998</v>
      </c>
      <c r="S391" s="14">
        <v>0.91315494783992457</v>
      </c>
      <c r="T391">
        <v>54</v>
      </c>
      <c r="V391">
        <v>389</v>
      </c>
      <c r="W391">
        <v>112.625173</v>
      </c>
      <c r="X391" s="14">
        <v>0.9188540642441706</v>
      </c>
      <c r="Y391">
        <v>31.06</v>
      </c>
      <c r="Z391" s="14">
        <v>0.91681917468563667</v>
      </c>
      <c r="AA391">
        <v>54</v>
      </c>
      <c r="AC391">
        <v>389</v>
      </c>
      <c r="AD391">
        <v>111.91905</v>
      </c>
      <c r="AE391" s="14">
        <v>0.92178027558120312</v>
      </c>
      <c r="AF391">
        <v>30.864999999999998</v>
      </c>
      <c r="AG391" s="14">
        <v>0.91879260560235754</v>
      </c>
      <c r="AH391">
        <v>54</v>
      </c>
      <c r="AJ391">
        <v>389</v>
      </c>
      <c r="AK391">
        <v>110.871022</v>
      </c>
      <c r="AL391" s="14">
        <v>0.90087345323720902</v>
      </c>
      <c r="AM391">
        <v>30.614000000000001</v>
      </c>
      <c r="AN391" s="14">
        <v>0.89551278301058912</v>
      </c>
      <c r="AO391">
        <v>54</v>
      </c>
      <c r="AQ391">
        <v>389</v>
      </c>
      <c r="AR391">
        <v>109.854803</v>
      </c>
      <c r="AS391" s="14">
        <v>0.90163318231425793</v>
      </c>
      <c r="AT391">
        <v>30.363</v>
      </c>
      <c r="AU391" s="14">
        <v>0.89664235301066064</v>
      </c>
      <c r="AV391">
        <v>54</v>
      </c>
      <c r="AX391">
        <v>389</v>
      </c>
      <c r="AY391">
        <v>112.03898599999999</v>
      </c>
      <c r="AZ391" s="14">
        <v>0.90629871253052063</v>
      </c>
      <c r="BA391">
        <v>31.006</v>
      </c>
      <c r="BB391" s="14">
        <v>0.90333294487821936</v>
      </c>
      <c r="BC391">
        <v>54</v>
      </c>
    </row>
    <row r="392" spans="15:55" x14ac:dyDescent="0.35">
      <c r="O392">
        <v>390</v>
      </c>
      <c r="P392">
        <v>112.152771</v>
      </c>
      <c r="Q392" s="14">
        <v>0.91419059120683521</v>
      </c>
      <c r="R392">
        <v>30.986000000000001</v>
      </c>
      <c r="S392" s="14">
        <v>0.91312547887074924</v>
      </c>
      <c r="T392">
        <v>54</v>
      </c>
      <c r="V392">
        <v>390</v>
      </c>
      <c r="W392">
        <v>112.586545</v>
      </c>
      <c r="X392" s="14">
        <v>0.91853891716072389</v>
      </c>
      <c r="Y392">
        <v>31.052</v>
      </c>
      <c r="Z392" s="14">
        <v>0.91658303323690893</v>
      </c>
      <c r="AA392">
        <v>54</v>
      </c>
      <c r="AC392">
        <v>390</v>
      </c>
      <c r="AD392">
        <v>111.896378</v>
      </c>
      <c r="AE392" s="14">
        <v>0.92159354595467424</v>
      </c>
      <c r="AF392">
        <v>30.858000000000001</v>
      </c>
      <c r="AG392" s="14">
        <v>0.91858422885720237</v>
      </c>
      <c r="AH392">
        <v>54</v>
      </c>
      <c r="AJ392">
        <v>390</v>
      </c>
      <c r="AK392">
        <v>110.848387</v>
      </c>
      <c r="AL392" s="14">
        <v>0.90068953438946875</v>
      </c>
      <c r="AM392">
        <v>30.608000000000001</v>
      </c>
      <c r="AN392" s="14">
        <v>0.89533727256771778</v>
      </c>
      <c r="AO392">
        <v>54</v>
      </c>
      <c r="AQ392">
        <v>390</v>
      </c>
      <c r="AR392">
        <v>109.85597199999999</v>
      </c>
      <c r="AS392" s="14">
        <v>0.90164277688055217</v>
      </c>
      <c r="AT392">
        <v>30.359000000000002</v>
      </c>
      <c r="AU392" s="14">
        <v>0.89652422998552994</v>
      </c>
      <c r="AV392">
        <v>54</v>
      </c>
      <c r="AX392">
        <v>390</v>
      </c>
      <c r="AY392">
        <v>112.01336499999999</v>
      </c>
      <c r="AZ392" s="14">
        <v>0.90609146075020064</v>
      </c>
      <c r="BA392">
        <v>30.997</v>
      </c>
      <c r="BB392" s="14">
        <v>0.90307073767626156</v>
      </c>
      <c r="BC392">
        <v>54</v>
      </c>
    </row>
    <row r="393" spans="15:55" x14ac:dyDescent="0.35">
      <c r="O393">
        <v>391</v>
      </c>
      <c r="P393">
        <v>112.161226</v>
      </c>
      <c r="Q393" s="14">
        <v>0.91425951042639375</v>
      </c>
      <c r="R393">
        <v>30.986000000000001</v>
      </c>
      <c r="S393" s="14">
        <v>0.91312547887074924</v>
      </c>
      <c r="T393">
        <v>54</v>
      </c>
      <c r="V393">
        <v>391</v>
      </c>
      <c r="W393">
        <v>112.577687</v>
      </c>
      <c r="X393" s="14">
        <v>0.91846664904264452</v>
      </c>
      <c r="Y393">
        <v>31.045999999999999</v>
      </c>
      <c r="Z393" s="14">
        <v>0.91640592715036306</v>
      </c>
      <c r="AA393">
        <v>54</v>
      </c>
      <c r="AC393">
        <v>391</v>
      </c>
      <c r="AD393">
        <v>111.849605</v>
      </c>
      <c r="AE393" s="14">
        <v>0.92120831726635211</v>
      </c>
      <c r="AF393">
        <v>30.847000000000001</v>
      </c>
      <c r="AG393" s="14">
        <v>0.91825677968624408</v>
      </c>
      <c r="AH393">
        <v>54</v>
      </c>
      <c r="AJ393">
        <v>391</v>
      </c>
      <c r="AK393">
        <v>110.873695</v>
      </c>
      <c r="AL393" s="14">
        <v>0.9008951724808586</v>
      </c>
      <c r="AM393">
        <v>30.608000000000001</v>
      </c>
      <c r="AN393" s="14">
        <v>0.89533727256771778</v>
      </c>
      <c r="AO393">
        <v>54</v>
      </c>
      <c r="AQ393">
        <v>391</v>
      </c>
      <c r="AR393">
        <v>109.784609</v>
      </c>
      <c r="AS393" s="14">
        <v>0.90105706513165862</v>
      </c>
      <c r="AT393">
        <v>30.344000000000001</v>
      </c>
      <c r="AU393" s="14">
        <v>0.8960812686412899</v>
      </c>
      <c r="AV393">
        <v>54</v>
      </c>
      <c r="AX393">
        <v>391</v>
      </c>
      <c r="AY393">
        <v>111.95482699999999</v>
      </c>
      <c r="AZ393" s="14">
        <v>0.90561793884565467</v>
      </c>
      <c r="BA393">
        <v>30.984999999999999</v>
      </c>
      <c r="BB393" s="14">
        <v>0.90272112807365112</v>
      </c>
      <c r="BC393">
        <v>54</v>
      </c>
    </row>
    <row r="394" spans="15:55" x14ac:dyDescent="0.35">
      <c r="O394">
        <v>392</v>
      </c>
      <c r="P394">
        <v>112.132192</v>
      </c>
      <c r="Q394" s="14">
        <v>0.91402284565753944</v>
      </c>
      <c r="R394">
        <v>30.978000000000002</v>
      </c>
      <c r="S394" s="14">
        <v>0.91288972711734551</v>
      </c>
      <c r="T394">
        <v>54</v>
      </c>
      <c r="V394">
        <v>392</v>
      </c>
      <c r="W394">
        <v>112.510795</v>
      </c>
      <c r="X394" s="14">
        <v>0.91792090971609608</v>
      </c>
      <c r="Y394">
        <v>31.033000000000001</v>
      </c>
      <c r="Z394" s="14">
        <v>0.9160221972961804</v>
      </c>
      <c r="AA394">
        <v>54</v>
      </c>
      <c r="AC394">
        <v>392</v>
      </c>
      <c r="AD394">
        <v>111.84584700000001</v>
      </c>
      <c r="AE394" s="14">
        <v>0.92117736587536347</v>
      </c>
      <c r="AF394">
        <v>30.844000000000001</v>
      </c>
      <c r="AG394" s="14">
        <v>0.91816747536689181</v>
      </c>
      <c r="AH394">
        <v>54</v>
      </c>
      <c r="AJ394">
        <v>392</v>
      </c>
      <c r="AK394">
        <v>110.84584099999999</v>
      </c>
      <c r="AL394" s="14">
        <v>0.90066884707396855</v>
      </c>
      <c r="AM394">
        <v>30.6</v>
      </c>
      <c r="AN394" s="14">
        <v>0.8951032586438894</v>
      </c>
      <c r="AO394">
        <v>54</v>
      </c>
      <c r="AQ394">
        <v>392</v>
      </c>
      <c r="AR394">
        <v>109.738547</v>
      </c>
      <c r="AS394" s="14">
        <v>0.90067901131416861</v>
      </c>
      <c r="AT394">
        <v>30.332000000000001</v>
      </c>
      <c r="AU394" s="14">
        <v>0.8957268995658979</v>
      </c>
      <c r="AV394">
        <v>54</v>
      </c>
      <c r="AX394">
        <v>392</v>
      </c>
      <c r="AY394">
        <v>111.907083</v>
      </c>
      <c r="AZ394" s="14">
        <v>0.90523173108641053</v>
      </c>
      <c r="BA394">
        <v>30.972999999999999</v>
      </c>
      <c r="BB394" s="14">
        <v>0.90237151847104069</v>
      </c>
      <c r="BC394">
        <v>54</v>
      </c>
    </row>
    <row r="395" spans="15:55" x14ac:dyDescent="0.35">
      <c r="O395">
        <v>393</v>
      </c>
      <c r="P395">
        <v>112.046105</v>
      </c>
      <c r="Q395" s="14">
        <v>0.91332112491784201</v>
      </c>
      <c r="R395">
        <v>30.957999999999998</v>
      </c>
      <c r="S395" s="14">
        <v>0.91230034773383628</v>
      </c>
      <c r="T395">
        <v>54</v>
      </c>
      <c r="V395">
        <v>393</v>
      </c>
      <c r="W395">
        <v>112.474293</v>
      </c>
      <c r="X395" s="14">
        <v>0.91762310763366961</v>
      </c>
      <c r="Y395">
        <v>31.024000000000001</v>
      </c>
      <c r="Z395" s="14">
        <v>0.91575653816636171</v>
      </c>
      <c r="AA395">
        <v>54</v>
      </c>
      <c r="AC395">
        <v>393</v>
      </c>
      <c r="AD395">
        <v>111.786123</v>
      </c>
      <c r="AE395" s="14">
        <v>0.92068547101761744</v>
      </c>
      <c r="AF395">
        <v>30.831</v>
      </c>
      <c r="AG395" s="14">
        <v>0.91778048998303208</v>
      </c>
      <c r="AH395">
        <v>54</v>
      </c>
      <c r="AJ395">
        <v>393</v>
      </c>
      <c r="AK395">
        <v>110.76630900000001</v>
      </c>
      <c r="AL395" s="14">
        <v>0.90002261628985214</v>
      </c>
      <c r="AM395">
        <v>30.582000000000001</v>
      </c>
      <c r="AN395" s="14">
        <v>0.89457672731527527</v>
      </c>
      <c r="AO395">
        <v>54</v>
      </c>
      <c r="AQ395">
        <v>393</v>
      </c>
      <c r="AR395">
        <v>109.68359599999999</v>
      </c>
      <c r="AS395" s="14">
        <v>0.90022800103834699</v>
      </c>
      <c r="AT395">
        <v>30.318999999999999</v>
      </c>
      <c r="AU395" s="14">
        <v>0.89534299973422315</v>
      </c>
      <c r="AV395">
        <v>54</v>
      </c>
      <c r="AX395">
        <v>393</v>
      </c>
      <c r="AY395">
        <v>111.862409</v>
      </c>
      <c r="AZ395" s="14">
        <v>0.90487035697790519</v>
      </c>
      <c r="BA395">
        <v>30.962</v>
      </c>
      <c r="BB395" s="14">
        <v>0.90205104300198113</v>
      </c>
      <c r="BC395">
        <v>54</v>
      </c>
    </row>
    <row r="396" spans="15:55" x14ac:dyDescent="0.35">
      <c r="O396">
        <v>394</v>
      </c>
      <c r="P396">
        <v>111.997018</v>
      </c>
      <c r="Q396" s="14">
        <v>0.9129210021821268</v>
      </c>
      <c r="R396">
        <v>30.948</v>
      </c>
      <c r="S396" s="14">
        <v>0.91200565804208178</v>
      </c>
      <c r="T396">
        <v>54</v>
      </c>
      <c r="V396">
        <v>394</v>
      </c>
      <c r="W396">
        <v>112.430089</v>
      </c>
      <c r="X396" s="14">
        <v>0.917262468675487</v>
      </c>
      <c r="Y396">
        <v>31.012</v>
      </c>
      <c r="Z396" s="14">
        <v>0.91540232599326998</v>
      </c>
      <c r="AA396">
        <v>54</v>
      </c>
      <c r="AC396">
        <v>394</v>
      </c>
      <c r="AD396">
        <v>111.746385</v>
      </c>
      <c r="AE396" s="14">
        <v>0.92035818353089338</v>
      </c>
      <c r="AF396">
        <v>30.821000000000002</v>
      </c>
      <c r="AG396" s="14">
        <v>0.91748280891852463</v>
      </c>
      <c r="AH396">
        <v>54</v>
      </c>
      <c r="AJ396">
        <v>394</v>
      </c>
      <c r="AK396">
        <v>110.704609</v>
      </c>
      <c r="AL396" s="14">
        <v>0.89952127796842185</v>
      </c>
      <c r="AM396">
        <v>30.568000000000001</v>
      </c>
      <c r="AN396" s="14">
        <v>0.89416720294857543</v>
      </c>
      <c r="AO396">
        <v>54</v>
      </c>
      <c r="AQ396">
        <v>394</v>
      </c>
      <c r="AR396">
        <v>109.659201</v>
      </c>
      <c r="AS396" s="14">
        <v>0.90002777910100895</v>
      </c>
      <c r="AT396">
        <v>30.312999999999999</v>
      </c>
      <c r="AU396" s="14">
        <v>0.89516581519652716</v>
      </c>
      <c r="AV396">
        <v>54</v>
      </c>
      <c r="AX396">
        <v>394</v>
      </c>
      <c r="AY396">
        <v>111.828056</v>
      </c>
      <c r="AZ396" s="14">
        <v>0.90459247085287764</v>
      </c>
      <c r="BA396">
        <v>30.952999999999999</v>
      </c>
      <c r="BB396" s="14">
        <v>0.90178883580002334</v>
      </c>
      <c r="BC396">
        <v>54</v>
      </c>
    </row>
    <row r="397" spans="15:55" x14ac:dyDescent="0.35">
      <c r="O397">
        <v>395</v>
      </c>
      <c r="P397">
        <v>112.035117</v>
      </c>
      <c r="Q397" s="14">
        <v>0.9132315584619568</v>
      </c>
      <c r="R397">
        <v>30.952000000000002</v>
      </c>
      <c r="S397" s="14">
        <v>0.91212353391878365</v>
      </c>
      <c r="T397">
        <v>54</v>
      </c>
      <c r="V397">
        <v>395</v>
      </c>
      <c r="W397">
        <v>112.383849</v>
      </c>
      <c r="X397" s="14">
        <v>0.91688521898255515</v>
      </c>
      <c r="Y397">
        <v>31.001999999999999</v>
      </c>
      <c r="Z397" s="14">
        <v>0.91510714918236025</v>
      </c>
      <c r="AA397">
        <v>54</v>
      </c>
      <c r="AC397">
        <v>395</v>
      </c>
      <c r="AD397">
        <v>111.698617</v>
      </c>
      <c r="AE397" s="14">
        <v>0.91996475988939563</v>
      </c>
      <c r="AF397">
        <v>30.809000000000001</v>
      </c>
      <c r="AG397" s="14">
        <v>0.91712559164111562</v>
      </c>
      <c r="AH397">
        <v>54</v>
      </c>
      <c r="AJ397">
        <v>395</v>
      </c>
      <c r="AK397">
        <v>110.65807700000001</v>
      </c>
      <c r="AL397" s="14">
        <v>0.8991431859947947</v>
      </c>
      <c r="AM397">
        <v>30.558</v>
      </c>
      <c r="AN397" s="14">
        <v>0.8938746855437899</v>
      </c>
      <c r="AO397">
        <v>54</v>
      </c>
      <c r="AQ397">
        <v>395</v>
      </c>
      <c r="AR397">
        <v>109.631987</v>
      </c>
      <c r="AS397" s="14">
        <v>0.89980442022407847</v>
      </c>
      <c r="AT397">
        <v>30.303999999999998</v>
      </c>
      <c r="AU397" s="14">
        <v>0.89490003838998311</v>
      </c>
      <c r="AV397">
        <v>54</v>
      </c>
      <c r="AX397">
        <v>395</v>
      </c>
      <c r="AY397">
        <v>111.789778</v>
      </c>
      <c r="AZ397" s="14">
        <v>0.90428283486493455</v>
      </c>
      <c r="BA397">
        <v>30.943000000000001</v>
      </c>
      <c r="BB397" s="14">
        <v>0.90149749446451477</v>
      </c>
      <c r="BC397">
        <v>54</v>
      </c>
    </row>
    <row r="398" spans="15:55" x14ac:dyDescent="0.35">
      <c r="O398">
        <v>396</v>
      </c>
      <c r="P398">
        <v>112.04610700000001</v>
      </c>
      <c r="Q398" s="14">
        <v>0.91332114122043695</v>
      </c>
      <c r="R398">
        <v>30.954000000000001</v>
      </c>
      <c r="S398" s="14">
        <v>0.91218247185713452</v>
      </c>
      <c r="T398">
        <v>54</v>
      </c>
      <c r="V398">
        <v>396</v>
      </c>
      <c r="W398">
        <v>112.37220499999999</v>
      </c>
      <c r="X398" s="14">
        <v>0.91679022124413601</v>
      </c>
      <c r="Y398">
        <v>30.997</v>
      </c>
      <c r="Z398" s="14">
        <v>0.91495956077690532</v>
      </c>
      <c r="AA398">
        <v>54</v>
      </c>
      <c r="AC398">
        <v>396</v>
      </c>
      <c r="AD398">
        <v>111.647065</v>
      </c>
      <c r="AE398" s="14">
        <v>0.91954017071742933</v>
      </c>
      <c r="AF398">
        <v>30.797999999999998</v>
      </c>
      <c r="AG398" s="14">
        <v>0.91679814247015734</v>
      </c>
      <c r="AH398">
        <v>54</v>
      </c>
      <c r="AJ398">
        <v>396</v>
      </c>
      <c r="AK398">
        <v>110.635451</v>
      </c>
      <c r="AL398" s="14">
        <v>0.89895934027582092</v>
      </c>
      <c r="AM398">
        <v>30.55</v>
      </c>
      <c r="AN398" s="14">
        <v>0.89364067161996141</v>
      </c>
      <c r="AO398">
        <v>54</v>
      </c>
      <c r="AQ398">
        <v>396</v>
      </c>
      <c r="AR398">
        <v>109.583185</v>
      </c>
      <c r="AS398" s="14">
        <v>0.89940387785941467</v>
      </c>
      <c r="AT398">
        <v>30.292000000000002</v>
      </c>
      <c r="AU398" s="14">
        <v>0.89454566931459123</v>
      </c>
      <c r="AV398">
        <v>54</v>
      </c>
      <c r="AX398">
        <v>396</v>
      </c>
      <c r="AY398">
        <v>111.773329</v>
      </c>
      <c r="AZ398" s="14">
        <v>0.90414977664962359</v>
      </c>
      <c r="BA398">
        <v>30.937999999999999</v>
      </c>
      <c r="BB398" s="14">
        <v>0.90135182379676027</v>
      </c>
      <c r="BC398">
        <v>54</v>
      </c>
    </row>
    <row r="399" spans="15:55" x14ac:dyDescent="0.35">
      <c r="O399">
        <v>397</v>
      </c>
      <c r="P399">
        <v>112.04209</v>
      </c>
      <c r="Q399" s="14">
        <v>0.91328839745876134</v>
      </c>
      <c r="R399">
        <v>30.95</v>
      </c>
      <c r="S399" s="14">
        <v>0.91206459598043266</v>
      </c>
      <c r="T399">
        <v>54</v>
      </c>
      <c r="V399">
        <v>397</v>
      </c>
      <c r="W399">
        <v>112.334014</v>
      </c>
      <c r="X399" s="14">
        <v>0.9164786394313601</v>
      </c>
      <c r="Y399">
        <v>30.988</v>
      </c>
      <c r="Z399" s="14">
        <v>0.91469390164708664</v>
      </c>
      <c r="AA399">
        <v>54</v>
      </c>
      <c r="AC399">
        <v>397</v>
      </c>
      <c r="AD399">
        <v>111.641659</v>
      </c>
      <c r="AE399" s="14">
        <v>0.91949564617786439</v>
      </c>
      <c r="AF399">
        <v>30.795000000000002</v>
      </c>
      <c r="AG399" s="14">
        <v>0.91670883815080517</v>
      </c>
      <c r="AH399">
        <v>54</v>
      </c>
      <c r="AJ399">
        <v>397</v>
      </c>
      <c r="AK399">
        <v>110.612731</v>
      </c>
      <c r="AL399" s="14">
        <v>0.89877473076750813</v>
      </c>
      <c r="AM399">
        <v>30.542999999999999</v>
      </c>
      <c r="AN399" s="14">
        <v>0.89343590943661144</v>
      </c>
      <c r="AO399">
        <v>54</v>
      </c>
      <c r="AQ399">
        <v>397</v>
      </c>
      <c r="AR399">
        <v>109.560805</v>
      </c>
      <c r="AS399" s="14">
        <v>0.8992201940324982</v>
      </c>
      <c r="AT399">
        <v>30.285</v>
      </c>
      <c r="AU399" s="14">
        <v>0.89433895402061248</v>
      </c>
      <c r="AV399">
        <v>54</v>
      </c>
      <c r="AX399">
        <v>397</v>
      </c>
      <c r="AY399">
        <v>111.777427</v>
      </c>
      <c r="AZ399" s="14">
        <v>0.90418292593324845</v>
      </c>
      <c r="BA399">
        <v>30.934999999999999</v>
      </c>
      <c r="BB399" s="14">
        <v>0.90126442139610774</v>
      </c>
      <c r="BC399">
        <v>54</v>
      </c>
    </row>
    <row r="400" spans="15:55" x14ac:dyDescent="0.35">
      <c r="O400">
        <v>398</v>
      </c>
      <c r="P400">
        <v>111.95589099999999</v>
      </c>
      <c r="Q400" s="14">
        <v>0.91258576377375455</v>
      </c>
      <c r="R400">
        <v>30.931000000000001</v>
      </c>
      <c r="S400" s="14">
        <v>0.91150468556609898</v>
      </c>
      <c r="T400">
        <v>54</v>
      </c>
      <c r="V400">
        <v>398</v>
      </c>
      <c r="W400">
        <v>112.349645</v>
      </c>
      <c r="X400" s="14">
        <v>0.91660616516557758</v>
      </c>
      <c r="Y400">
        <v>30.988</v>
      </c>
      <c r="Z400" s="14">
        <v>0.91469390164708664</v>
      </c>
      <c r="AA400">
        <v>54</v>
      </c>
      <c r="AC400">
        <v>398</v>
      </c>
      <c r="AD400">
        <v>111.582747</v>
      </c>
      <c r="AE400" s="14">
        <v>0.91901043906080038</v>
      </c>
      <c r="AF400">
        <v>30.780999999999999</v>
      </c>
      <c r="AG400" s="14">
        <v>0.91629208466049461</v>
      </c>
      <c r="AH400">
        <v>54</v>
      </c>
      <c r="AJ400">
        <v>398</v>
      </c>
      <c r="AK400">
        <v>110.55991400000001</v>
      </c>
      <c r="AL400" s="14">
        <v>0.89834557053861064</v>
      </c>
      <c r="AM400">
        <v>30.53</v>
      </c>
      <c r="AN400" s="14">
        <v>0.89305563681039024</v>
      </c>
      <c r="AO400">
        <v>54</v>
      </c>
      <c r="AQ400">
        <v>398</v>
      </c>
      <c r="AR400">
        <v>109.546902</v>
      </c>
      <c r="AS400" s="14">
        <v>0.89910608517433821</v>
      </c>
      <c r="AT400">
        <v>30.279</v>
      </c>
      <c r="AU400" s="14">
        <v>0.89416176948291648</v>
      </c>
      <c r="AV400">
        <v>54</v>
      </c>
      <c r="AX400">
        <v>398</v>
      </c>
      <c r="AY400">
        <v>111.755668</v>
      </c>
      <c r="AZ400" s="14">
        <v>0.90400691440020975</v>
      </c>
      <c r="BA400">
        <v>30.928999999999998</v>
      </c>
      <c r="BB400" s="14">
        <v>0.90108961659480247</v>
      </c>
      <c r="BC400">
        <v>54</v>
      </c>
    </row>
    <row r="401" spans="15:55" x14ac:dyDescent="0.35">
      <c r="O401">
        <v>399</v>
      </c>
      <c r="P401">
        <v>111.88685</v>
      </c>
      <c r="Q401" s="14">
        <v>0.91202299004962162</v>
      </c>
      <c r="R401">
        <v>30.914999999999999</v>
      </c>
      <c r="S401" s="14">
        <v>0.91103318205929162</v>
      </c>
      <c r="T401">
        <v>54</v>
      </c>
      <c r="V401">
        <v>399</v>
      </c>
      <c r="W401">
        <v>112.33596799999999</v>
      </c>
      <c r="X401" s="14">
        <v>0.91649458116795146</v>
      </c>
      <c r="Y401">
        <v>30.984000000000002</v>
      </c>
      <c r="Z401" s="14">
        <v>0.91457583092272277</v>
      </c>
      <c r="AA401">
        <v>54</v>
      </c>
      <c r="AC401">
        <v>399</v>
      </c>
      <c r="AD401">
        <v>111.58427</v>
      </c>
      <c r="AE401" s="14">
        <v>0.91902298269264604</v>
      </c>
      <c r="AF401">
        <v>30.779</v>
      </c>
      <c r="AG401" s="14">
        <v>0.91623254844759316</v>
      </c>
      <c r="AH401">
        <v>54</v>
      </c>
      <c r="AJ401">
        <v>399</v>
      </c>
      <c r="AK401">
        <v>110.54669800000001</v>
      </c>
      <c r="AL401" s="14">
        <v>0.8982381850077189</v>
      </c>
      <c r="AM401">
        <v>30.526</v>
      </c>
      <c r="AN401" s="14">
        <v>0.89293862984847594</v>
      </c>
      <c r="AO401">
        <v>54</v>
      </c>
      <c r="AQ401">
        <v>399</v>
      </c>
      <c r="AR401">
        <v>109.46400199999999</v>
      </c>
      <c r="AS401" s="14">
        <v>0.8984256835098442</v>
      </c>
      <c r="AT401">
        <v>30.262</v>
      </c>
      <c r="AU401" s="14">
        <v>0.89365974662611114</v>
      </c>
      <c r="AV401">
        <v>54</v>
      </c>
      <c r="AX401">
        <v>399</v>
      </c>
      <c r="AY401">
        <v>111.686213</v>
      </c>
      <c r="AZ401" s="14">
        <v>0.9034450833865052</v>
      </c>
      <c r="BA401">
        <v>30.913</v>
      </c>
      <c r="BB401" s="14">
        <v>0.90062347045798863</v>
      </c>
      <c r="BC401">
        <v>54</v>
      </c>
    </row>
    <row r="402" spans="15:55" x14ac:dyDescent="0.35">
      <c r="O402">
        <v>400</v>
      </c>
      <c r="P402">
        <v>111.898703</v>
      </c>
      <c r="Q402" s="14">
        <v>0.9121196073777621</v>
      </c>
      <c r="R402">
        <v>30.917000000000002</v>
      </c>
      <c r="S402" s="14">
        <v>0.91109211999764261</v>
      </c>
      <c r="T402">
        <v>54</v>
      </c>
      <c r="V402">
        <v>400</v>
      </c>
      <c r="W402">
        <v>112.28003699999999</v>
      </c>
      <c r="X402" s="14">
        <v>0.91603826731467786</v>
      </c>
      <c r="Y402">
        <v>30.972000000000001</v>
      </c>
      <c r="Z402" s="14">
        <v>0.91422161874963104</v>
      </c>
      <c r="AA402">
        <v>54</v>
      </c>
      <c r="AC402">
        <v>400</v>
      </c>
      <c r="AD402">
        <v>111.593288</v>
      </c>
      <c r="AE402" s="14">
        <v>0.91909725614765825</v>
      </c>
      <c r="AF402">
        <v>30.779</v>
      </c>
      <c r="AG402" s="14">
        <v>0.91623254844759316</v>
      </c>
      <c r="AH402">
        <v>54</v>
      </c>
      <c r="AJ402">
        <v>400</v>
      </c>
      <c r="AK402">
        <v>110.50828799999999</v>
      </c>
      <c r="AL402" s="14">
        <v>0.89792608768314608</v>
      </c>
      <c r="AM402">
        <v>30.515000000000001</v>
      </c>
      <c r="AN402" s="14">
        <v>0.89261686070321189</v>
      </c>
      <c r="AO402">
        <v>54</v>
      </c>
      <c r="AQ402">
        <v>400</v>
      </c>
      <c r="AR402">
        <v>109.43248199999999</v>
      </c>
      <c r="AS402" s="14">
        <v>0.8981669831423551</v>
      </c>
      <c r="AT402">
        <v>30.251999999999999</v>
      </c>
      <c r="AU402" s="14">
        <v>0.89336443906328444</v>
      </c>
      <c r="AV402">
        <v>54</v>
      </c>
      <c r="AX402">
        <v>400</v>
      </c>
      <c r="AY402">
        <v>111.622016</v>
      </c>
      <c r="AZ402" s="14">
        <v>0.90292578505540189</v>
      </c>
      <c r="BA402">
        <v>30.898</v>
      </c>
      <c r="BB402" s="14">
        <v>0.90018645845472556</v>
      </c>
      <c r="BC402">
        <v>54</v>
      </c>
    </row>
    <row r="403" spans="15:55" x14ac:dyDescent="0.35">
      <c r="O403">
        <v>401</v>
      </c>
      <c r="P403">
        <v>111.913149</v>
      </c>
      <c r="Q403" s="14">
        <v>0.91223736102007358</v>
      </c>
      <c r="R403">
        <v>30.917000000000002</v>
      </c>
      <c r="S403" s="14">
        <v>0.91109211999764261</v>
      </c>
      <c r="T403">
        <v>54</v>
      </c>
      <c r="V403">
        <v>401</v>
      </c>
      <c r="W403">
        <v>112.21124399999999</v>
      </c>
      <c r="X403" s="14">
        <v>0.9154770186527863</v>
      </c>
      <c r="Y403">
        <v>30.956</v>
      </c>
      <c r="Z403" s="14">
        <v>0.91374933585217544</v>
      </c>
      <c r="AA403">
        <v>54</v>
      </c>
      <c r="AC403">
        <v>401</v>
      </c>
      <c r="AD403">
        <v>111.57403499999999</v>
      </c>
      <c r="AE403" s="14">
        <v>0.91893868586274463</v>
      </c>
      <c r="AF403">
        <v>30.771999999999998</v>
      </c>
      <c r="AG403" s="14">
        <v>0.91602417170243788</v>
      </c>
      <c r="AH403">
        <v>54</v>
      </c>
      <c r="AJ403">
        <v>401</v>
      </c>
      <c r="AK403">
        <v>110.43888099999999</v>
      </c>
      <c r="AL403" s="14">
        <v>0.89736212676133886</v>
      </c>
      <c r="AM403">
        <v>30.5</v>
      </c>
      <c r="AN403" s="14">
        <v>0.89217808459603343</v>
      </c>
      <c r="AO403">
        <v>54</v>
      </c>
      <c r="AQ403">
        <v>401</v>
      </c>
      <c r="AR403">
        <v>109.401025</v>
      </c>
      <c r="AS403" s="14">
        <v>0.8979087998473011</v>
      </c>
      <c r="AT403">
        <v>30.244</v>
      </c>
      <c r="AU403" s="14">
        <v>0.89312819301302304</v>
      </c>
      <c r="AV403">
        <v>54</v>
      </c>
      <c r="AX403">
        <v>401</v>
      </c>
      <c r="AY403">
        <v>111.630045</v>
      </c>
      <c r="AZ403" s="14">
        <v>0.90299073273676433</v>
      </c>
      <c r="BA403">
        <v>30.898</v>
      </c>
      <c r="BB403" s="14">
        <v>0.90018645845472556</v>
      </c>
      <c r="BC403">
        <v>54</v>
      </c>
    </row>
    <row r="404" spans="15:55" x14ac:dyDescent="0.35">
      <c r="O404">
        <v>402</v>
      </c>
      <c r="P404">
        <v>111.896371</v>
      </c>
      <c r="Q404" s="14">
        <v>0.91210059855221381</v>
      </c>
      <c r="R404">
        <v>30.911000000000001</v>
      </c>
      <c r="S404" s="14">
        <v>0.91091530618258987</v>
      </c>
      <c r="T404">
        <v>54</v>
      </c>
      <c r="V404">
        <v>402</v>
      </c>
      <c r="W404">
        <v>112.204662</v>
      </c>
      <c r="X404" s="14">
        <v>0.91542331931284526</v>
      </c>
      <c r="Y404">
        <v>30.952999999999999</v>
      </c>
      <c r="Z404" s="14">
        <v>0.91366078280890251</v>
      </c>
      <c r="AA404">
        <v>54</v>
      </c>
      <c r="AC404">
        <v>402</v>
      </c>
      <c r="AD404">
        <v>111.485867</v>
      </c>
      <c r="AE404" s="14">
        <v>0.9182125224139176</v>
      </c>
      <c r="AF404">
        <v>30.754999999999999</v>
      </c>
      <c r="AG404" s="14">
        <v>0.91551811389277515</v>
      </c>
      <c r="AH404">
        <v>54</v>
      </c>
      <c r="AJ404">
        <v>402</v>
      </c>
      <c r="AK404">
        <v>110.37398899999999</v>
      </c>
      <c r="AL404" s="14">
        <v>0.89683485210405756</v>
      </c>
      <c r="AM404">
        <v>30.484999999999999</v>
      </c>
      <c r="AN404" s="14">
        <v>0.89173930848885508</v>
      </c>
      <c r="AO404">
        <v>54</v>
      </c>
      <c r="AQ404">
        <v>402</v>
      </c>
      <c r="AR404">
        <v>109.341915</v>
      </c>
      <c r="AS404" s="14">
        <v>0.89742365458326923</v>
      </c>
      <c r="AT404">
        <v>30.23</v>
      </c>
      <c r="AU404" s="14">
        <v>0.89271476242506576</v>
      </c>
      <c r="AV404">
        <v>54</v>
      </c>
      <c r="AX404">
        <v>402</v>
      </c>
      <c r="AY404">
        <v>111.640574</v>
      </c>
      <c r="AZ404" s="14">
        <v>0.90307590326074816</v>
      </c>
      <c r="BA404">
        <v>30.896000000000001</v>
      </c>
      <c r="BB404" s="14">
        <v>0.90012819018762391</v>
      </c>
      <c r="BC404">
        <v>54</v>
      </c>
    </row>
    <row r="405" spans="15:55" x14ac:dyDescent="0.35">
      <c r="O405">
        <v>403</v>
      </c>
      <c r="P405">
        <v>111.778857</v>
      </c>
      <c r="Q405" s="14">
        <v>0.91114270698897215</v>
      </c>
      <c r="R405">
        <v>30.885999999999999</v>
      </c>
      <c r="S405" s="14">
        <v>0.91017858195320334</v>
      </c>
      <c r="T405">
        <v>54</v>
      </c>
      <c r="V405">
        <v>403</v>
      </c>
      <c r="W405">
        <v>112.22323900000001</v>
      </c>
      <c r="X405" s="14">
        <v>0.91557488002966181</v>
      </c>
      <c r="Y405">
        <v>30.954000000000001</v>
      </c>
      <c r="Z405" s="14">
        <v>0.91369030048999356</v>
      </c>
      <c r="AA405">
        <v>54</v>
      </c>
      <c r="AC405">
        <v>403</v>
      </c>
      <c r="AD405">
        <v>111.42927299999999</v>
      </c>
      <c r="AE405" s="14">
        <v>0.91774640665510576</v>
      </c>
      <c r="AF405">
        <v>30.741</v>
      </c>
      <c r="AG405" s="14">
        <v>0.9151013604024647</v>
      </c>
      <c r="AH405">
        <v>54</v>
      </c>
      <c r="AJ405">
        <v>403</v>
      </c>
      <c r="AK405">
        <v>110.334211</v>
      </c>
      <c r="AL405" s="14">
        <v>0.8965116392069773</v>
      </c>
      <c r="AM405">
        <v>30.474</v>
      </c>
      <c r="AN405" s="14">
        <v>0.89141753934359091</v>
      </c>
      <c r="AO405">
        <v>54</v>
      </c>
      <c r="AQ405">
        <v>403</v>
      </c>
      <c r="AR405">
        <v>109.337846</v>
      </c>
      <c r="AS405" s="14">
        <v>0.89739025826996621</v>
      </c>
      <c r="AT405">
        <v>30.225999999999999</v>
      </c>
      <c r="AU405" s="14">
        <v>0.89259663939993505</v>
      </c>
      <c r="AV405">
        <v>54</v>
      </c>
      <c r="AX405">
        <v>403</v>
      </c>
      <c r="AY405">
        <v>111.644536</v>
      </c>
      <c r="AZ405" s="14">
        <v>0.90310795242173436</v>
      </c>
      <c r="BA405">
        <v>30.893999999999998</v>
      </c>
      <c r="BB405" s="14">
        <v>0.90006992192052204</v>
      </c>
      <c r="BC405">
        <v>54</v>
      </c>
    </row>
    <row r="406" spans="15:55" x14ac:dyDescent="0.35">
      <c r="O406">
        <v>404</v>
      </c>
      <c r="P406">
        <v>111.670896</v>
      </c>
      <c r="Q406" s="14">
        <v>0.91026268476983963</v>
      </c>
      <c r="R406">
        <v>30.863</v>
      </c>
      <c r="S406" s="14">
        <v>0.90950079566216779</v>
      </c>
      <c r="T406">
        <v>54</v>
      </c>
      <c r="V406">
        <v>404</v>
      </c>
      <c r="W406">
        <v>112.239632</v>
      </c>
      <c r="X406" s="14">
        <v>0.9157086225516391</v>
      </c>
      <c r="Y406">
        <v>30.954000000000001</v>
      </c>
      <c r="Z406" s="14">
        <v>0.91369030048999356</v>
      </c>
      <c r="AA406">
        <v>54</v>
      </c>
      <c r="AC406">
        <v>404</v>
      </c>
      <c r="AD406">
        <v>111.46189200000001</v>
      </c>
      <c r="AE406" s="14">
        <v>0.91801506110498898</v>
      </c>
      <c r="AF406">
        <v>30.745000000000001</v>
      </c>
      <c r="AG406" s="14">
        <v>0.9152204328282677</v>
      </c>
      <c r="AH406">
        <v>54</v>
      </c>
      <c r="AJ406">
        <v>404</v>
      </c>
      <c r="AK406">
        <v>110.31050399999999</v>
      </c>
      <c r="AL406" s="14">
        <v>0.89631900991060542</v>
      </c>
      <c r="AM406">
        <v>30.466999999999999</v>
      </c>
      <c r="AN406" s="14">
        <v>0.89121277716024105</v>
      </c>
      <c r="AO406">
        <v>54</v>
      </c>
      <c r="AQ406">
        <v>404</v>
      </c>
      <c r="AR406">
        <v>109.29098399999999</v>
      </c>
      <c r="AS406" s="14">
        <v>0.89700563845330128</v>
      </c>
      <c r="AT406">
        <v>30.216000000000001</v>
      </c>
      <c r="AU406" s="14">
        <v>0.89230133183710836</v>
      </c>
      <c r="AV406">
        <v>54</v>
      </c>
      <c r="AX406">
        <v>404</v>
      </c>
      <c r="AY406">
        <v>111.589398</v>
      </c>
      <c r="AZ406" s="14">
        <v>0.90266193358315339</v>
      </c>
      <c r="BA406">
        <v>30.882000000000001</v>
      </c>
      <c r="BB406" s="14">
        <v>0.89972031231791172</v>
      </c>
      <c r="BC406">
        <v>54</v>
      </c>
    </row>
    <row r="407" spans="15:55" x14ac:dyDescent="0.35">
      <c r="O407">
        <v>405</v>
      </c>
      <c r="P407">
        <v>111.73651700000001</v>
      </c>
      <c r="Q407" s="14">
        <v>0.91079758105684794</v>
      </c>
      <c r="R407">
        <v>30.873999999999999</v>
      </c>
      <c r="S407" s="14">
        <v>0.90982495432309785</v>
      </c>
      <c r="T407">
        <v>54</v>
      </c>
      <c r="V407">
        <v>405</v>
      </c>
      <c r="W407">
        <v>112.201083</v>
      </c>
      <c r="X407" s="14">
        <v>0.915394119990808</v>
      </c>
      <c r="Y407">
        <v>30.946000000000002</v>
      </c>
      <c r="Z407" s="14">
        <v>0.91345415904126581</v>
      </c>
      <c r="AA407">
        <v>54</v>
      </c>
      <c r="AC407">
        <v>405</v>
      </c>
      <c r="AD407">
        <v>111.481922</v>
      </c>
      <c r="AE407" s="14">
        <v>0.91818003086589994</v>
      </c>
      <c r="AF407">
        <v>30.745999999999999</v>
      </c>
      <c r="AG407" s="14">
        <v>0.91525020093471843</v>
      </c>
      <c r="AH407">
        <v>54</v>
      </c>
      <c r="AJ407">
        <v>405</v>
      </c>
      <c r="AK407">
        <v>110.27773999999999</v>
      </c>
      <c r="AL407" s="14">
        <v>0.89605278869888194</v>
      </c>
      <c r="AM407">
        <v>30.459</v>
      </c>
      <c r="AN407" s="14">
        <v>0.89097876323641256</v>
      </c>
      <c r="AO407">
        <v>54</v>
      </c>
      <c r="AQ407">
        <v>405</v>
      </c>
      <c r="AR407">
        <v>109.29847700000001</v>
      </c>
      <c r="AS407" s="14">
        <v>0.89706713724307285</v>
      </c>
      <c r="AT407">
        <v>30.213999999999999</v>
      </c>
      <c r="AU407" s="14">
        <v>0.89224227032454295</v>
      </c>
      <c r="AV407">
        <v>54</v>
      </c>
      <c r="AX407">
        <v>405</v>
      </c>
      <c r="AY407">
        <v>111.505499</v>
      </c>
      <c r="AZ407" s="14">
        <v>0.90198326307392018</v>
      </c>
      <c r="BA407">
        <v>30.864000000000001</v>
      </c>
      <c r="BB407" s="14">
        <v>0.89919589791399612</v>
      </c>
      <c r="BC407">
        <v>54</v>
      </c>
    </row>
    <row r="408" spans="15:55" x14ac:dyDescent="0.35">
      <c r="O408">
        <v>406</v>
      </c>
      <c r="P408">
        <v>111.777292</v>
      </c>
      <c r="Q408" s="14">
        <v>0.91112995020853349</v>
      </c>
      <c r="R408">
        <v>30.88</v>
      </c>
      <c r="S408" s="14">
        <v>0.91000176813815059</v>
      </c>
      <c r="T408">
        <v>54</v>
      </c>
      <c r="V408">
        <v>406</v>
      </c>
      <c r="W408">
        <v>112.11113</v>
      </c>
      <c r="X408" s="14">
        <v>0.91466023717012679</v>
      </c>
      <c r="Y408">
        <v>30.927</v>
      </c>
      <c r="Z408" s="14">
        <v>0.91289332310053717</v>
      </c>
      <c r="AA408">
        <v>54</v>
      </c>
      <c r="AC408">
        <v>406</v>
      </c>
      <c r="AD408">
        <v>111.483884</v>
      </c>
      <c r="AE408" s="14">
        <v>0.91819619016050347</v>
      </c>
      <c r="AF408">
        <v>30.745000000000001</v>
      </c>
      <c r="AG408" s="14">
        <v>0.9152204328282677</v>
      </c>
      <c r="AH408">
        <v>54</v>
      </c>
      <c r="AJ408">
        <v>406</v>
      </c>
      <c r="AK408">
        <v>110.252883</v>
      </c>
      <c r="AL408" s="14">
        <v>0.89585081517123544</v>
      </c>
      <c r="AM408">
        <v>30.451000000000001</v>
      </c>
      <c r="AN408" s="14">
        <v>0.89074474931258407</v>
      </c>
      <c r="AO408">
        <v>54</v>
      </c>
      <c r="AQ408">
        <v>406</v>
      </c>
      <c r="AR408">
        <v>109.283584</v>
      </c>
      <c r="AS408" s="14">
        <v>0.89694490296093399</v>
      </c>
      <c r="AT408">
        <v>30.209</v>
      </c>
      <c r="AU408" s="14">
        <v>0.89209461654312971</v>
      </c>
      <c r="AV408">
        <v>54</v>
      </c>
      <c r="AX408">
        <v>406</v>
      </c>
      <c r="AY408">
        <v>111.496274</v>
      </c>
      <c r="AZ408" s="14">
        <v>0.90190864078464761</v>
      </c>
      <c r="BA408">
        <v>30.859000000000002</v>
      </c>
      <c r="BB408" s="14">
        <v>0.89905022724624184</v>
      </c>
      <c r="BC408">
        <v>54</v>
      </c>
    </row>
    <row r="409" spans="15:55" x14ac:dyDescent="0.35">
      <c r="O409">
        <v>407</v>
      </c>
      <c r="P409">
        <v>111.773408</v>
      </c>
      <c r="Q409" s="14">
        <v>0.91109829056941272</v>
      </c>
      <c r="R409">
        <v>30.878</v>
      </c>
      <c r="S409" s="14">
        <v>0.90994283019979971</v>
      </c>
      <c r="T409">
        <v>54</v>
      </c>
      <c r="V409">
        <v>407</v>
      </c>
      <c r="W409">
        <v>112.088662</v>
      </c>
      <c r="X409" s="14">
        <v>0.91447693167486732</v>
      </c>
      <c r="Y409">
        <v>30.92</v>
      </c>
      <c r="Z409" s="14">
        <v>0.91268669933290048</v>
      </c>
      <c r="AA409">
        <v>54</v>
      </c>
      <c r="AC409">
        <v>407</v>
      </c>
      <c r="AD409">
        <v>111.406841</v>
      </c>
      <c r="AE409" s="14">
        <v>0.91756165370069964</v>
      </c>
      <c r="AF409">
        <v>30.728000000000002</v>
      </c>
      <c r="AG409" s="14">
        <v>0.91471437501860497</v>
      </c>
      <c r="AH409">
        <v>54</v>
      </c>
      <c r="AJ409">
        <v>407</v>
      </c>
      <c r="AK409">
        <v>110.268765</v>
      </c>
      <c r="AL409" s="14">
        <v>0.89597986306784738</v>
      </c>
      <c r="AM409">
        <v>30.452000000000002</v>
      </c>
      <c r="AN409" s="14">
        <v>0.8907740010530627</v>
      </c>
      <c r="AO409">
        <v>54</v>
      </c>
      <c r="AQ409">
        <v>407</v>
      </c>
      <c r="AR409">
        <v>109.219267</v>
      </c>
      <c r="AS409" s="14">
        <v>0.89641702124977296</v>
      </c>
      <c r="AT409">
        <v>30.195</v>
      </c>
      <c r="AU409" s="14">
        <v>0.89168118595517232</v>
      </c>
      <c r="AV409">
        <v>54</v>
      </c>
      <c r="AX409">
        <v>407</v>
      </c>
      <c r="AY409">
        <v>111.49454</v>
      </c>
      <c r="AZ409" s="14">
        <v>0.90189461422100548</v>
      </c>
      <c r="BA409">
        <v>30.856000000000002</v>
      </c>
      <c r="BB409" s="14">
        <v>0.8989628248455892</v>
      </c>
      <c r="BC409">
        <v>54</v>
      </c>
    </row>
    <row r="410" spans="15:55" x14ac:dyDescent="0.35">
      <c r="O410">
        <v>408</v>
      </c>
      <c r="P410">
        <v>111.765197</v>
      </c>
      <c r="Q410" s="14">
        <v>0.91103136026642095</v>
      </c>
      <c r="R410">
        <v>30.873999999999999</v>
      </c>
      <c r="S410" s="14">
        <v>0.90982495432309785</v>
      </c>
      <c r="T410">
        <v>54</v>
      </c>
      <c r="V410">
        <v>408</v>
      </c>
      <c r="W410">
        <v>112.098615</v>
      </c>
      <c r="X410" s="14">
        <v>0.91455813336590863</v>
      </c>
      <c r="Y410">
        <v>30.919</v>
      </c>
      <c r="Z410" s="14">
        <v>0.91265718165180942</v>
      </c>
      <c r="AA410">
        <v>54</v>
      </c>
      <c r="AC410">
        <v>408</v>
      </c>
      <c r="AD410">
        <v>111.32390700000001</v>
      </c>
      <c r="AE410" s="14">
        <v>0.91687859817641626</v>
      </c>
      <c r="AF410">
        <v>30.71</v>
      </c>
      <c r="AG410" s="14">
        <v>0.91417854910249152</v>
      </c>
      <c r="AH410">
        <v>54</v>
      </c>
      <c r="AJ410">
        <v>408</v>
      </c>
      <c r="AK410">
        <v>110.251892</v>
      </c>
      <c r="AL410" s="14">
        <v>0.89584276288150222</v>
      </c>
      <c r="AM410">
        <v>30.445</v>
      </c>
      <c r="AN410" s="14">
        <v>0.89056923886971273</v>
      </c>
      <c r="AO410">
        <v>54</v>
      </c>
      <c r="AQ410">
        <v>408</v>
      </c>
      <c r="AR410">
        <v>109.14807399999999</v>
      </c>
      <c r="AS410" s="14">
        <v>0.89583270477570387</v>
      </c>
      <c r="AT410">
        <v>30.178999999999998</v>
      </c>
      <c r="AU410" s="14">
        <v>0.89120869385464963</v>
      </c>
      <c r="AV410">
        <v>54</v>
      </c>
      <c r="AX410">
        <v>408</v>
      </c>
      <c r="AY410">
        <v>111.491241</v>
      </c>
      <c r="AZ410" s="14">
        <v>0.90186792815788241</v>
      </c>
      <c r="BA410">
        <v>30.853000000000002</v>
      </c>
      <c r="BB410" s="14">
        <v>0.89887542244493657</v>
      </c>
      <c r="BC410">
        <v>54</v>
      </c>
    </row>
    <row r="411" spans="15:55" x14ac:dyDescent="0.35">
      <c r="O411">
        <v>409</v>
      </c>
      <c r="P411">
        <v>111.720626</v>
      </c>
      <c r="Q411" s="14">
        <v>0.91066804878978624</v>
      </c>
      <c r="R411">
        <v>30.863</v>
      </c>
      <c r="S411" s="14">
        <v>0.90950079566216779</v>
      </c>
      <c r="T411">
        <v>54</v>
      </c>
      <c r="V411">
        <v>409</v>
      </c>
      <c r="W411">
        <v>112.10261199999999</v>
      </c>
      <c r="X411" s="14">
        <v>0.91459074294684828</v>
      </c>
      <c r="Y411">
        <v>30.917999999999999</v>
      </c>
      <c r="Z411" s="14">
        <v>0.91262766397071848</v>
      </c>
      <c r="AA411">
        <v>54</v>
      </c>
      <c r="AC411">
        <v>409</v>
      </c>
      <c r="AD411">
        <v>111.324854</v>
      </c>
      <c r="AE411" s="14">
        <v>0.91688639779516723</v>
      </c>
      <c r="AF411">
        <v>30.707999999999998</v>
      </c>
      <c r="AG411" s="14">
        <v>0.91411901288958997</v>
      </c>
      <c r="AH411">
        <v>54</v>
      </c>
      <c r="AJ411">
        <v>409</v>
      </c>
      <c r="AK411">
        <v>110.16158299999999</v>
      </c>
      <c r="AL411" s="14">
        <v>0.89510896446221455</v>
      </c>
      <c r="AM411">
        <v>30.425000000000001</v>
      </c>
      <c r="AN411" s="14">
        <v>0.88998420406014156</v>
      </c>
      <c r="AO411">
        <v>54</v>
      </c>
      <c r="AQ411">
        <v>409</v>
      </c>
      <c r="AR411">
        <v>109.118979</v>
      </c>
      <c r="AS411" s="14">
        <v>0.89559390759321356</v>
      </c>
      <c r="AT411">
        <v>30.170999999999999</v>
      </c>
      <c r="AU411" s="14">
        <v>0.89097244780438822</v>
      </c>
      <c r="AV411">
        <v>54</v>
      </c>
      <c r="AX411">
        <v>409</v>
      </c>
      <c r="AY411">
        <v>111.432385</v>
      </c>
      <c r="AZ411" s="14">
        <v>0.90139183390775512</v>
      </c>
      <c r="BA411">
        <v>30.84</v>
      </c>
      <c r="BB411" s="14">
        <v>0.89849667870877525</v>
      </c>
      <c r="BC411">
        <v>54</v>
      </c>
    </row>
    <row r="412" spans="15:55" x14ac:dyDescent="0.35">
      <c r="O412">
        <v>410</v>
      </c>
      <c r="P412">
        <v>111.71640600000001</v>
      </c>
      <c r="Q412" s="14">
        <v>0.91063365031473753</v>
      </c>
      <c r="R412">
        <v>30.861999999999998</v>
      </c>
      <c r="S412" s="14">
        <v>0.90947132669299224</v>
      </c>
      <c r="T412">
        <v>54</v>
      </c>
      <c r="V412">
        <v>410</v>
      </c>
      <c r="W412">
        <v>112.054469</v>
      </c>
      <c r="X412" s="14">
        <v>0.91419796760154515</v>
      </c>
      <c r="Y412">
        <v>30.907</v>
      </c>
      <c r="Z412" s="14">
        <v>0.9123029694787177</v>
      </c>
      <c r="AA412">
        <v>54</v>
      </c>
      <c r="AC412">
        <v>410</v>
      </c>
      <c r="AD412">
        <v>111.340801</v>
      </c>
      <c r="AE412" s="14">
        <v>0.91701773942159004</v>
      </c>
      <c r="AF412">
        <v>30.709</v>
      </c>
      <c r="AG412" s="14">
        <v>0.91414878099604069</v>
      </c>
      <c r="AH412">
        <v>54</v>
      </c>
      <c r="AJ412">
        <v>410</v>
      </c>
      <c r="AK412">
        <v>110.084042</v>
      </c>
      <c r="AL412" s="14">
        <v>0.89447891138633095</v>
      </c>
      <c r="AM412">
        <v>30.408999999999999</v>
      </c>
      <c r="AN412" s="14">
        <v>0.88951617621248458</v>
      </c>
      <c r="AO412">
        <v>54</v>
      </c>
      <c r="AQ412">
        <v>410</v>
      </c>
      <c r="AR412">
        <v>109.15372600000001</v>
      </c>
      <c r="AS412" s="14">
        <v>0.89587909355987427</v>
      </c>
      <c r="AT412">
        <v>30.173999999999999</v>
      </c>
      <c r="AU412" s="14">
        <v>0.89106104007323628</v>
      </c>
      <c r="AV412">
        <v>54</v>
      </c>
      <c r="AX412">
        <v>410</v>
      </c>
      <c r="AY412">
        <v>111.31505300000001</v>
      </c>
      <c r="AZ412" s="14">
        <v>0.90044271927957897</v>
      </c>
      <c r="BA412">
        <v>30.815000000000001</v>
      </c>
      <c r="BB412" s="14">
        <v>0.89776832537000362</v>
      </c>
      <c r="BC412">
        <v>54</v>
      </c>
    </row>
    <row r="413" spans="15:55" x14ac:dyDescent="0.35">
      <c r="O413">
        <v>411</v>
      </c>
      <c r="P413">
        <v>111.939312</v>
      </c>
      <c r="Q413" s="14">
        <v>0.91245062341407845</v>
      </c>
      <c r="R413">
        <v>30.94</v>
      </c>
      <c r="S413" s="14">
        <v>0.91176990628867816</v>
      </c>
      <c r="T413">
        <v>54</v>
      </c>
      <c r="V413">
        <v>411</v>
      </c>
      <c r="W413">
        <v>111.933903</v>
      </c>
      <c r="X413" s="14">
        <v>0.91321432818809301</v>
      </c>
      <c r="Y413">
        <v>30.882000000000001</v>
      </c>
      <c r="Z413" s="14">
        <v>0.91156502745144341</v>
      </c>
      <c r="AA413">
        <v>54</v>
      </c>
      <c r="AC413">
        <v>411</v>
      </c>
      <c r="AD413">
        <v>111.33620999999999</v>
      </c>
      <c r="AE413" s="14">
        <v>0.91697992733110856</v>
      </c>
      <c r="AF413">
        <v>30.706</v>
      </c>
      <c r="AG413" s="14">
        <v>0.91405947667668852</v>
      </c>
      <c r="AH413">
        <v>54</v>
      </c>
      <c r="AJ413">
        <v>411</v>
      </c>
      <c r="AK413">
        <v>110.08798899999999</v>
      </c>
      <c r="AL413" s="14">
        <v>0.89451098241314919</v>
      </c>
      <c r="AM413">
        <v>30.405999999999999</v>
      </c>
      <c r="AN413" s="14">
        <v>0.88942842099104891</v>
      </c>
      <c r="AO413">
        <v>54</v>
      </c>
      <c r="AQ413">
        <v>411</v>
      </c>
      <c r="AR413">
        <v>109.158689</v>
      </c>
      <c r="AS413" s="14">
        <v>0.89591982737725517</v>
      </c>
      <c r="AT413">
        <v>30.172999999999998</v>
      </c>
      <c r="AU413" s="14">
        <v>0.89103150931695352</v>
      </c>
      <c r="AV413">
        <v>54</v>
      </c>
      <c r="AX413">
        <v>411</v>
      </c>
      <c r="AY413">
        <v>111.282886</v>
      </c>
      <c r="AZ413" s="14">
        <v>0.90018251600813937</v>
      </c>
      <c r="BA413">
        <v>30.806000000000001</v>
      </c>
      <c r="BB413" s="14">
        <v>0.89750611816804571</v>
      </c>
      <c r="BC413">
        <v>54</v>
      </c>
    </row>
    <row r="414" spans="15:55" x14ac:dyDescent="0.35">
      <c r="O414">
        <v>412</v>
      </c>
      <c r="P414">
        <v>111.875649</v>
      </c>
      <c r="Q414" s="14">
        <v>0.91193168736738905</v>
      </c>
      <c r="R414">
        <v>30.914000000000001</v>
      </c>
      <c r="S414" s="14">
        <v>0.91100371309011619</v>
      </c>
      <c r="T414">
        <v>54</v>
      </c>
      <c r="V414">
        <v>412</v>
      </c>
      <c r="W414">
        <v>111.886416</v>
      </c>
      <c r="X414" s="14">
        <v>0.91282690482805284</v>
      </c>
      <c r="Y414">
        <v>30.87</v>
      </c>
      <c r="Z414" s="14">
        <v>0.91121081527835179</v>
      </c>
      <c r="AA414">
        <v>54</v>
      </c>
      <c r="AC414">
        <v>412</v>
      </c>
      <c r="AD414">
        <v>111.256708</v>
      </c>
      <c r="AE414" s="14">
        <v>0.91632513821818051</v>
      </c>
      <c r="AF414">
        <v>30.689</v>
      </c>
      <c r="AG414" s="14">
        <v>0.91355341886702579</v>
      </c>
      <c r="AH414">
        <v>54</v>
      </c>
      <c r="AJ414">
        <v>412</v>
      </c>
      <c r="AK414">
        <v>110.119502</v>
      </c>
      <c r="AL414" s="14">
        <v>0.89476703872632957</v>
      </c>
      <c r="AM414">
        <v>30.411000000000001</v>
      </c>
      <c r="AN414" s="14">
        <v>0.88957467969344184</v>
      </c>
      <c r="AO414">
        <v>54</v>
      </c>
      <c r="AQ414">
        <v>412</v>
      </c>
      <c r="AR414">
        <v>109.143354</v>
      </c>
      <c r="AS414" s="14">
        <v>0.89579396538057232</v>
      </c>
      <c r="AT414">
        <v>30.167000000000002</v>
      </c>
      <c r="AU414" s="14">
        <v>0.89085432477925763</v>
      </c>
      <c r="AV414">
        <v>54</v>
      </c>
      <c r="AX414">
        <v>412</v>
      </c>
      <c r="AY414">
        <v>111.339313</v>
      </c>
      <c r="AZ414" s="14">
        <v>0.90063896174437585</v>
      </c>
      <c r="BA414">
        <v>30.814</v>
      </c>
      <c r="BB414" s="14">
        <v>0.89773919123645263</v>
      </c>
      <c r="BC414">
        <v>54</v>
      </c>
    </row>
    <row r="415" spans="15:55" x14ac:dyDescent="0.35">
      <c r="O415">
        <v>413</v>
      </c>
      <c r="P415">
        <v>111.827451</v>
      </c>
      <c r="Q415" s="14">
        <v>0.91153881113506674</v>
      </c>
      <c r="R415">
        <v>30.896999999999998</v>
      </c>
      <c r="S415" s="14">
        <v>0.91050274061413339</v>
      </c>
      <c r="T415">
        <v>54</v>
      </c>
      <c r="V415">
        <v>413</v>
      </c>
      <c r="W415">
        <v>111.954177</v>
      </c>
      <c r="X415" s="14">
        <v>0.91337973390337202</v>
      </c>
      <c r="Y415">
        <v>30.88</v>
      </c>
      <c r="Z415" s="14">
        <v>0.91150599208926142</v>
      </c>
      <c r="AA415">
        <v>54</v>
      </c>
      <c r="AC415">
        <v>413</v>
      </c>
      <c r="AD415">
        <v>111.138611</v>
      </c>
      <c r="AE415" s="14">
        <v>0.91535247551951282</v>
      </c>
      <c r="AF415">
        <v>30.664999999999999</v>
      </c>
      <c r="AG415" s="14">
        <v>0.91283898431220778</v>
      </c>
      <c r="AH415">
        <v>54</v>
      </c>
      <c r="AJ415">
        <v>413</v>
      </c>
      <c r="AK415">
        <v>110.12344</v>
      </c>
      <c r="AL415" s="14">
        <v>0.89479903662438143</v>
      </c>
      <c r="AM415">
        <v>30.407</v>
      </c>
      <c r="AN415" s="14">
        <v>0.88945767273152754</v>
      </c>
      <c r="AO415">
        <v>54</v>
      </c>
      <c r="AQ415">
        <v>413</v>
      </c>
      <c r="AR415">
        <v>109.059129</v>
      </c>
      <c r="AS415" s="14">
        <v>0.89510268877994503</v>
      </c>
      <c r="AT415">
        <v>30.149000000000001</v>
      </c>
      <c r="AU415" s="14">
        <v>0.89032277116616965</v>
      </c>
      <c r="AV415">
        <v>54</v>
      </c>
      <c r="AX415">
        <v>413</v>
      </c>
      <c r="AY415">
        <v>111.34193399999999</v>
      </c>
      <c r="AZ415" s="14">
        <v>0.90066016337257992</v>
      </c>
      <c r="BA415">
        <v>30.812000000000001</v>
      </c>
      <c r="BB415" s="14">
        <v>0.89768092296935098</v>
      </c>
      <c r="BC415">
        <v>54</v>
      </c>
    </row>
    <row r="416" spans="15:55" x14ac:dyDescent="0.35">
      <c r="O416">
        <v>414</v>
      </c>
      <c r="P416">
        <v>111.75493</v>
      </c>
      <c r="Q416" s="14">
        <v>0.91094767089596462</v>
      </c>
      <c r="R416">
        <v>30.878</v>
      </c>
      <c r="S416" s="14">
        <v>0.90994283019979971</v>
      </c>
      <c r="T416">
        <v>54</v>
      </c>
      <c r="V416">
        <v>414</v>
      </c>
      <c r="W416">
        <v>111.967788</v>
      </c>
      <c r="X416" s="14">
        <v>0.91349077943906609</v>
      </c>
      <c r="Y416">
        <v>30.881</v>
      </c>
      <c r="Z416" s="14">
        <v>0.91153550977035247</v>
      </c>
      <c r="AA416">
        <v>54</v>
      </c>
      <c r="AC416">
        <v>414</v>
      </c>
      <c r="AD416">
        <v>111.157577</v>
      </c>
      <c r="AE416" s="14">
        <v>0.91550868203401314</v>
      </c>
      <c r="AF416">
        <v>30.664999999999999</v>
      </c>
      <c r="AG416" s="14">
        <v>0.91283898431220778</v>
      </c>
      <c r="AH416">
        <v>54</v>
      </c>
      <c r="AJ416">
        <v>414</v>
      </c>
      <c r="AK416">
        <v>110.085419</v>
      </c>
      <c r="AL416" s="14">
        <v>0.8944901000876051</v>
      </c>
      <c r="AM416">
        <v>30.398</v>
      </c>
      <c r="AN416" s="14">
        <v>0.88919440706722053</v>
      </c>
      <c r="AO416">
        <v>54</v>
      </c>
      <c r="AQ416">
        <v>414</v>
      </c>
      <c r="AR416">
        <v>108.988821</v>
      </c>
      <c r="AS416" s="14">
        <v>0.89452563594246326</v>
      </c>
      <c r="AT416">
        <v>30.134</v>
      </c>
      <c r="AU416" s="14">
        <v>0.8898798098219296</v>
      </c>
      <c r="AV416">
        <v>54</v>
      </c>
      <c r="AX416">
        <v>414</v>
      </c>
      <c r="AY416">
        <v>111.33878900000001</v>
      </c>
      <c r="AZ416" s="14">
        <v>0.90063472303656245</v>
      </c>
      <c r="BA416">
        <v>30.809000000000001</v>
      </c>
      <c r="BB416" s="14">
        <v>0.89759352056869834</v>
      </c>
      <c r="BC416">
        <v>54</v>
      </c>
    </row>
    <row r="417" spans="15:55" x14ac:dyDescent="0.35">
      <c r="O417">
        <v>415</v>
      </c>
      <c r="P417">
        <v>111.695894</v>
      </c>
      <c r="Q417" s="14">
        <v>0.91046645090236777</v>
      </c>
      <c r="R417">
        <v>30.86</v>
      </c>
      <c r="S417" s="14">
        <v>0.90941238875464137</v>
      </c>
      <c r="T417">
        <v>54</v>
      </c>
      <c r="V417">
        <v>415</v>
      </c>
      <c r="W417">
        <v>111.964949</v>
      </c>
      <c r="X417" s="14">
        <v>0.91346761741747806</v>
      </c>
      <c r="Y417">
        <v>30.878</v>
      </c>
      <c r="Z417" s="14">
        <v>0.91144695672707954</v>
      </c>
      <c r="AA417">
        <v>54</v>
      </c>
      <c r="AC417">
        <v>415</v>
      </c>
      <c r="AD417">
        <v>111.231813</v>
      </c>
      <c r="AE417" s="14">
        <v>0.91612009966611463</v>
      </c>
      <c r="AF417">
        <v>30.677</v>
      </c>
      <c r="AG417" s="14">
        <v>0.91319620158961679</v>
      </c>
      <c r="AH417">
        <v>54</v>
      </c>
      <c r="AJ417">
        <v>415</v>
      </c>
      <c r="AK417">
        <v>109.992347</v>
      </c>
      <c r="AL417" s="14">
        <v>0.89373385113700277</v>
      </c>
      <c r="AM417">
        <v>30.378</v>
      </c>
      <c r="AN417" s="14">
        <v>0.88860937225764935</v>
      </c>
      <c r="AO417">
        <v>54</v>
      </c>
      <c r="AQ417">
        <v>415</v>
      </c>
      <c r="AR417">
        <v>108.99728</v>
      </c>
      <c r="AS417" s="14">
        <v>0.89459506317623838</v>
      </c>
      <c r="AT417">
        <v>30.132000000000001</v>
      </c>
      <c r="AU417" s="14">
        <v>0.88982074830936431</v>
      </c>
      <c r="AV417">
        <v>54</v>
      </c>
      <c r="AX417">
        <v>415</v>
      </c>
      <c r="AY417">
        <v>111.330403</v>
      </c>
      <c r="AZ417" s="14">
        <v>0.90056688753327363</v>
      </c>
      <c r="BA417">
        <v>30.805</v>
      </c>
      <c r="BB417" s="14">
        <v>0.89747698403449483</v>
      </c>
      <c r="BC417">
        <v>54</v>
      </c>
    </row>
    <row r="418" spans="15:55" x14ac:dyDescent="0.35">
      <c r="O418">
        <v>416</v>
      </c>
      <c r="P418">
        <v>111.686745</v>
      </c>
      <c r="Q418" s="14">
        <v>0.91039187468241023</v>
      </c>
      <c r="R418">
        <v>30.855</v>
      </c>
      <c r="S418" s="14">
        <v>0.90926504390876417</v>
      </c>
      <c r="T418">
        <v>54</v>
      </c>
      <c r="V418">
        <v>416</v>
      </c>
      <c r="W418">
        <v>111.95925800000001</v>
      </c>
      <c r="X418" s="14">
        <v>0.91342118731361832</v>
      </c>
      <c r="Y418">
        <v>30.876000000000001</v>
      </c>
      <c r="Z418" s="14">
        <v>0.91138792136489766</v>
      </c>
      <c r="AA418">
        <v>54</v>
      </c>
      <c r="AC418">
        <v>416</v>
      </c>
      <c r="AD418">
        <v>111.22384099999999</v>
      </c>
      <c r="AE418" s="14">
        <v>0.91605444120710389</v>
      </c>
      <c r="AF418">
        <v>30.672999999999998</v>
      </c>
      <c r="AG418" s="14">
        <v>0.91307712916381378</v>
      </c>
      <c r="AH418">
        <v>54</v>
      </c>
      <c r="AJ418">
        <v>416</v>
      </c>
      <c r="AK418">
        <v>109.954982</v>
      </c>
      <c r="AL418" s="14">
        <v>0.8934302448747623</v>
      </c>
      <c r="AM418">
        <v>30.369</v>
      </c>
      <c r="AN418" s="14">
        <v>0.88834610659334234</v>
      </c>
      <c r="AO418">
        <v>54</v>
      </c>
      <c r="AQ418">
        <v>416</v>
      </c>
      <c r="AR418">
        <v>109.016609</v>
      </c>
      <c r="AS418" s="14">
        <v>0.89475370592380177</v>
      </c>
      <c r="AT418">
        <v>30.132000000000001</v>
      </c>
      <c r="AU418" s="14">
        <v>0.88982074830936431</v>
      </c>
      <c r="AV418">
        <v>54</v>
      </c>
      <c r="AX418">
        <v>416</v>
      </c>
      <c r="AY418">
        <v>111.278187</v>
      </c>
      <c r="AZ418" s="14">
        <v>0.90014450515314837</v>
      </c>
      <c r="BA418">
        <v>30.792000000000002</v>
      </c>
      <c r="BB418" s="14">
        <v>0.89709824029833363</v>
      </c>
      <c r="BC418">
        <v>54</v>
      </c>
    </row>
    <row r="419" spans="15:55" x14ac:dyDescent="0.35">
      <c r="O419">
        <v>417</v>
      </c>
      <c r="P419">
        <v>111.703012</v>
      </c>
      <c r="Q419" s="14">
        <v>0.91052447183729601</v>
      </c>
      <c r="R419">
        <v>30.853999999999999</v>
      </c>
      <c r="S419" s="14">
        <v>0.90923557493958862</v>
      </c>
      <c r="T419">
        <v>54</v>
      </c>
      <c r="V419">
        <v>417</v>
      </c>
      <c r="W419">
        <v>111.90354000000001</v>
      </c>
      <c r="X419" s="14">
        <v>0.91296661122385236</v>
      </c>
      <c r="Y419">
        <v>30.863</v>
      </c>
      <c r="Z419" s="14">
        <v>0.91100419151071488</v>
      </c>
      <c r="AA419">
        <v>54</v>
      </c>
      <c r="AC419">
        <v>417</v>
      </c>
      <c r="AD419">
        <v>111.211151</v>
      </c>
      <c r="AE419" s="14">
        <v>0.91594992466861358</v>
      </c>
      <c r="AF419">
        <v>30.669</v>
      </c>
      <c r="AG419" s="14">
        <v>0.91295805673801078</v>
      </c>
      <c r="AH419">
        <v>54</v>
      </c>
      <c r="AJ419">
        <v>417</v>
      </c>
      <c r="AK419">
        <v>109.951848</v>
      </c>
      <c r="AL419" s="14">
        <v>0.89340477981318434</v>
      </c>
      <c r="AM419">
        <v>30.364999999999998</v>
      </c>
      <c r="AN419" s="14">
        <v>0.88822909963142804</v>
      </c>
      <c r="AO419">
        <v>54</v>
      </c>
      <c r="AQ419">
        <v>417</v>
      </c>
      <c r="AR419">
        <v>108.99671600000001</v>
      </c>
      <c r="AS419" s="14">
        <v>0.89459043414682016</v>
      </c>
      <c r="AT419">
        <v>30.126000000000001</v>
      </c>
      <c r="AU419" s="14">
        <v>0.8896435637716682</v>
      </c>
      <c r="AV419">
        <v>54</v>
      </c>
      <c r="AX419">
        <v>417</v>
      </c>
      <c r="AY419">
        <v>111.287649</v>
      </c>
      <c r="AZ419" s="14">
        <v>0.90022104456790142</v>
      </c>
      <c r="BA419">
        <v>30.791</v>
      </c>
      <c r="BB419" s="14">
        <v>0.89706910616478275</v>
      </c>
      <c r="BC419">
        <v>54</v>
      </c>
    </row>
    <row r="420" spans="15:55" x14ac:dyDescent="0.35">
      <c r="O420">
        <v>418</v>
      </c>
      <c r="P420">
        <v>111.658719</v>
      </c>
      <c r="Q420" s="14">
        <v>0.91016342642133996</v>
      </c>
      <c r="R420">
        <v>30.841999999999999</v>
      </c>
      <c r="S420" s="14">
        <v>0.90888194730948313</v>
      </c>
      <c r="T420">
        <v>54</v>
      </c>
      <c r="V420">
        <v>418</v>
      </c>
      <c r="W420">
        <v>111.911249</v>
      </c>
      <c r="X420" s="14">
        <v>0.91302950520920723</v>
      </c>
      <c r="Y420">
        <v>30.861000000000001</v>
      </c>
      <c r="Z420" s="14">
        <v>0.910945156148533</v>
      </c>
      <c r="AA420">
        <v>54</v>
      </c>
      <c r="AC420">
        <v>418</v>
      </c>
      <c r="AD420">
        <v>111.1966</v>
      </c>
      <c r="AE420" s="14">
        <v>0.91583008068503813</v>
      </c>
      <c r="AF420">
        <v>30.664000000000001</v>
      </c>
      <c r="AG420" s="14">
        <v>0.91280921620575706</v>
      </c>
      <c r="AH420">
        <v>54</v>
      </c>
      <c r="AJ420">
        <v>418</v>
      </c>
      <c r="AK420">
        <v>109.96409199999999</v>
      </c>
      <c r="AL420" s="14">
        <v>0.89350426743729439</v>
      </c>
      <c r="AM420">
        <v>30.364000000000001</v>
      </c>
      <c r="AN420" s="14">
        <v>0.88819984789094952</v>
      </c>
      <c r="AO420">
        <v>54</v>
      </c>
      <c r="AQ420">
        <v>418</v>
      </c>
      <c r="AR420">
        <v>108.901325</v>
      </c>
      <c r="AS420" s="14">
        <v>0.89380751261270985</v>
      </c>
      <c r="AT420">
        <v>30.105</v>
      </c>
      <c r="AU420" s="14">
        <v>0.88902341788973216</v>
      </c>
      <c r="AV420">
        <v>54</v>
      </c>
      <c r="AX420">
        <v>418</v>
      </c>
      <c r="AY420">
        <v>111.654338</v>
      </c>
      <c r="AZ420" s="14">
        <v>0.90318724214308388</v>
      </c>
      <c r="BA420">
        <v>30.9</v>
      </c>
      <c r="BB420" s="14">
        <v>0.90024472672182732</v>
      </c>
      <c r="BC420">
        <v>54</v>
      </c>
    </row>
    <row r="421" spans="15:55" x14ac:dyDescent="0.35">
      <c r="O421">
        <v>419</v>
      </c>
      <c r="P421">
        <v>111.58384700000001</v>
      </c>
      <c r="Q421" s="14">
        <v>0.90955312248203879</v>
      </c>
      <c r="R421">
        <v>30.824999999999999</v>
      </c>
      <c r="S421" s="14">
        <v>0.90838097483350033</v>
      </c>
      <c r="T421">
        <v>54</v>
      </c>
      <c r="V421">
        <v>419</v>
      </c>
      <c r="W421">
        <v>112.25361599999999</v>
      </c>
      <c r="X421" s="14">
        <v>0.9158227112131001</v>
      </c>
      <c r="Y421">
        <v>30.971</v>
      </c>
      <c r="Z421" s="14">
        <v>0.9141921010685401</v>
      </c>
      <c r="AA421">
        <v>54</v>
      </c>
      <c r="AC421">
        <v>419</v>
      </c>
      <c r="AD421">
        <v>111.139404</v>
      </c>
      <c r="AE421" s="14">
        <v>0.91535900677365178</v>
      </c>
      <c r="AF421">
        <v>30.651</v>
      </c>
      <c r="AG421" s="14">
        <v>0.91242223082189733</v>
      </c>
      <c r="AH421">
        <v>54</v>
      </c>
      <c r="AJ421">
        <v>419</v>
      </c>
      <c r="AK421">
        <v>109.927564</v>
      </c>
      <c r="AL421" s="14">
        <v>0.89320746215033808</v>
      </c>
      <c r="AM421">
        <v>30.355</v>
      </c>
      <c r="AN421" s="14">
        <v>0.88793658222664251</v>
      </c>
      <c r="AO421">
        <v>54</v>
      </c>
      <c r="AQ421">
        <v>419</v>
      </c>
      <c r="AR421">
        <v>108.798321</v>
      </c>
      <c r="AS421" s="14">
        <v>0.89296210738895188</v>
      </c>
      <c r="AT421">
        <v>30.084</v>
      </c>
      <c r="AU421" s="14">
        <v>0.88840327200779612</v>
      </c>
      <c r="AV421">
        <v>54</v>
      </c>
      <c r="AX421">
        <v>419</v>
      </c>
      <c r="AY421">
        <v>111.578109</v>
      </c>
      <c r="AZ421" s="14">
        <v>0.9025706153150127</v>
      </c>
      <c r="BA421">
        <v>30.87</v>
      </c>
      <c r="BB421" s="14">
        <v>0.89937070271530128</v>
      </c>
      <c r="BC421">
        <v>54</v>
      </c>
    </row>
    <row r="422" spans="15:55" x14ac:dyDescent="0.35">
      <c r="O422">
        <v>420</v>
      </c>
      <c r="P422">
        <v>111.517376</v>
      </c>
      <c r="Q422" s="14">
        <v>0.90901129759223631</v>
      </c>
      <c r="R422">
        <v>30.808</v>
      </c>
      <c r="S422" s="14">
        <v>0.90788000235751765</v>
      </c>
      <c r="T422">
        <v>54</v>
      </c>
      <c r="V422">
        <v>420</v>
      </c>
      <c r="W422">
        <v>112.16262500000001</v>
      </c>
      <c r="X422" s="14">
        <v>0.91508035985476188</v>
      </c>
      <c r="Y422">
        <v>30.939</v>
      </c>
      <c r="Z422" s="14">
        <v>0.9132475352736289</v>
      </c>
      <c r="AA422">
        <v>54</v>
      </c>
      <c r="AC422">
        <v>420</v>
      </c>
      <c r="AD422">
        <v>111.164823</v>
      </c>
      <c r="AE422" s="14">
        <v>0.9155683610598524</v>
      </c>
      <c r="AF422">
        <v>30.654</v>
      </c>
      <c r="AG422" s="14">
        <v>0.91251153514124961</v>
      </c>
      <c r="AH422">
        <v>54</v>
      </c>
      <c r="AJ422">
        <v>420</v>
      </c>
      <c r="AK422">
        <v>109.804912</v>
      </c>
      <c r="AL422" s="14">
        <v>0.89221086332051536</v>
      </c>
      <c r="AM422">
        <v>30.33</v>
      </c>
      <c r="AN422" s="14">
        <v>0.88720528871467852</v>
      </c>
      <c r="AO422">
        <v>54</v>
      </c>
      <c r="AQ422">
        <v>420</v>
      </c>
      <c r="AR422">
        <v>108.847832</v>
      </c>
      <c r="AS422" s="14">
        <v>0.89336846887038446</v>
      </c>
      <c r="AT422">
        <v>30.09</v>
      </c>
      <c r="AU422" s="14">
        <v>0.88858045654549211</v>
      </c>
      <c r="AV422">
        <v>54</v>
      </c>
      <c r="AX422">
        <v>420</v>
      </c>
      <c r="AY422">
        <v>111.497811</v>
      </c>
      <c r="AZ422" s="14">
        <v>0.90192107378829112</v>
      </c>
      <c r="BA422">
        <v>30.844999999999999</v>
      </c>
      <c r="BB422" s="14">
        <v>0.89864234937652954</v>
      </c>
      <c r="BC422">
        <v>54</v>
      </c>
    </row>
    <row r="423" spans="15:55" x14ac:dyDescent="0.35">
      <c r="O423">
        <v>421</v>
      </c>
      <c r="P423">
        <v>111.506789</v>
      </c>
      <c r="Q423" s="14">
        <v>0.90892499980661046</v>
      </c>
      <c r="R423">
        <v>30.803999999999998</v>
      </c>
      <c r="S423" s="14">
        <v>0.90776212648081578</v>
      </c>
      <c r="T423">
        <v>54</v>
      </c>
      <c r="V423">
        <v>421</v>
      </c>
      <c r="W423">
        <v>112.1127</v>
      </c>
      <c r="X423" s="14">
        <v>0.91467304603729593</v>
      </c>
      <c r="Y423">
        <v>30.920999999999999</v>
      </c>
      <c r="Z423" s="14">
        <v>0.9127162170139913</v>
      </c>
      <c r="AA423">
        <v>54</v>
      </c>
      <c r="AC423">
        <v>421</v>
      </c>
      <c r="AD423">
        <v>111.588505</v>
      </c>
      <c r="AE423" s="14">
        <v>0.91905786271947865</v>
      </c>
      <c r="AF423">
        <v>30.785</v>
      </c>
      <c r="AG423" s="14">
        <v>0.91641115708629761</v>
      </c>
      <c r="AH423">
        <v>54</v>
      </c>
      <c r="AJ423">
        <v>421</v>
      </c>
      <c r="AK423">
        <v>109.73207600000001</v>
      </c>
      <c r="AL423" s="14">
        <v>0.89161904033867267</v>
      </c>
      <c r="AM423">
        <v>30.312999999999999</v>
      </c>
      <c r="AN423" s="14">
        <v>0.88670800912654302</v>
      </c>
      <c r="AO423">
        <v>54</v>
      </c>
      <c r="AQ423">
        <v>421</v>
      </c>
      <c r="AR423">
        <v>108.883747</v>
      </c>
      <c r="AS423" s="14">
        <v>0.8936632411958404</v>
      </c>
      <c r="AT423">
        <v>30.094999999999999</v>
      </c>
      <c r="AU423" s="14">
        <v>0.88872811032690546</v>
      </c>
      <c r="AV423">
        <v>54</v>
      </c>
      <c r="AX423">
        <v>421</v>
      </c>
      <c r="AY423">
        <v>111.430937</v>
      </c>
      <c r="AZ423" s="14">
        <v>0.9013801208373089</v>
      </c>
      <c r="BA423">
        <v>30.824999999999999</v>
      </c>
      <c r="BB423" s="14">
        <v>0.89805966670551218</v>
      </c>
      <c r="BC423">
        <v>54</v>
      </c>
    </row>
    <row r="424" spans="15:55" x14ac:dyDescent="0.35">
      <c r="O424">
        <v>422</v>
      </c>
      <c r="P424">
        <v>111.51296600000001</v>
      </c>
      <c r="Q424" s="14">
        <v>0.90897535037068067</v>
      </c>
      <c r="R424">
        <v>30.803000000000001</v>
      </c>
      <c r="S424" s="14">
        <v>0.90773265751164034</v>
      </c>
      <c r="T424">
        <v>54</v>
      </c>
      <c r="V424">
        <v>422</v>
      </c>
      <c r="W424">
        <v>112.0365</v>
      </c>
      <c r="X424" s="14">
        <v>0.91405136726131386</v>
      </c>
      <c r="Y424">
        <v>30.9</v>
      </c>
      <c r="Z424" s="14">
        <v>0.91209634571108089</v>
      </c>
      <c r="AA424">
        <v>54</v>
      </c>
      <c r="AC424">
        <v>422</v>
      </c>
      <c r="AD424">
        <v>111.473707</v>
      </c>
      <c r="AE424" s="14">
        <v>0.91811237102636511</v>
      </c>
      <c r="AF424">
        <v>30.748000000000001</v>
      </c>
      <c r="AG424" s="14">
        <v>0.91530973714761998</v>
      </c>
      <c r="AH424">
        <v>54</v>
      </c>
      <c r="AJ424">
        <v>422</v>
      </c>
      <c r="AK424">
        <v>109.81148</v>
      </c>
      <c r="AL424" s="14">
        <v>0.89226423106922126</v>
      </c>
      <c r="AM424">
        <v>30.324999999999999</v>
      </c>
      <c r="AN424" s="14">
        <v>0.8870590300122857</v>
      </c>
      <c r="AO424">
        <v>54</v>
      </c>
      <c r="AQ424">
        <v>422</v>
      </c>
      <c r="AR424">
        <v>108.87178900000001</v>
      </c>
      <c r="AS424" s="14">
        <v>0.89356509592317435</v>
      </c>
      <c r="AT424">
        <v>30.088999999999999</v>
      </c>
      <c r="AU424" s="14">
        <v>0.88855092578920947</v>
      </c>
      <c r="AV424">
        <v>54</v>
      </c>
      <c r="AX424">
        <v>422</v>
      </c>
      <c r="AY424">
        <v>111.363525</v>
      </c>
      <c r="AZ424" s="14">
        <v>0.90083481593059445</v>
      </c>
      <c r="BA424">
        <v>30.809000000000001</v>
      </c>
      <c r="BB424" s="14">
        <v>0.89759352056869834</v>
      </c>
      <c r="BC424">
        <v>54</v>
      </c>
    </row>
    <row r="425" spans="15:55" x14ac:dyDescent="0.35">
      <c r="O425">
        <v>423</v>
      </c>
      <c r="P425">
        <v>111.480104</v>
      </c>
      <c r="Q425" s="14">
        <v>0.90870748243536015</v>
      </c>
      <c r="R425">
        <v>30.792999999999999</v>
      </c>
      <c r="S425" s="14">
        <v>0.90743796781988573</v>
      </c>
      <c r="T425">
        <v>54</v>
      </c>
      <c r="V425">
        <v>423</v>
      </c>
      <c r="W425">
        <v>111.973286</v>
      </c>
      <c r="X425" s="14">
        <v>0.91353563494970069</v>
      </c>
      <c r="Y425">
        <v>30.882000000000001</v>
      </c>
      <c r="Z425" s="14">
        <v>0.91156502745144341</v>
      </c>
      <c r="AA425">
        <v>54</v>
      </c>
      <c r="AC425">
        <v>423</v>
      </c>
      <c r="AD425">
        <v>111.414407</v>
      </c>
      <c r="AE425" s="14">
        <v>0.91762396828936921</v>
      </c>
      <c r="AF425">
        <v>30.727</v>
      </c>
      <c r="AG425" s="14">
        <v>0.91468460691215425</v>
      </c>
      <c r="AH425">
        <v>54</v>
      </c>
      <c r="AJ425">
        <v>423</v>
      </c>
      <c r="AK425">
        <v>109.836727</v>
      </c>
      <c r="AL425" s="14">
        <v>0.8924693735100826</v>
      </c>
      <c r="AM425">
        <v>30.327000000000002</v>
      </c>
      <c r="AN425" s="14">
        <v>0.88711753349324285</v>
      </c>
      <c r="AO425">
        <v>54</v>
      </c>
      <c r="AQ425">
        <v>423</v>
      </c>
      <c r="AR425">
        <v>108.849127</v>
      </c>
      <c r="AS425" s="14">
        <v>0.89337909758154876</v>
      </c>
      <c r="AT425">
        <v>30.082999999999998</v>
      </c>
      <c r="AU425" s="14">
        <v>0.88837374125151347</v>
      </c>
      <c r="AV425">
        <v>54</v>
      </c>
      <c r="AX425">
        <v>423</v>
      </c>
      <c r="AY425">
        <v>111.363375</v>
      </c>
      <c r="AZ425" s="14">
        <v>0.90083360256003719</v>
      </c>
      <c r="BA425">
        <v>30.803999999999998</v>
      </c>
      <c r="BB425" s="14">
        <v>0.89744784990094395</v>
      </c>
      <c r="BC425">
        <v>54</v>
      </c>
    </row>
    <row r="426" spans="15:55" x14ac:dyDescent="0.35">
      <c r="O426">
        <v>424</v>
      </c>
      <c r="P426">
        <v>111.410229</v>
      </c>
      <c r="Q426" s="14">
        <v>0.90813791052919146</v>
      </c>
      <c r="R426">
        <v>30.777000000000001</v>
      </c>
      <c r="S426" s="14">
        <v>0.90696646431307848</v>
      </c>
      <c r="T426">
        <v>54</v>
      </c>
      <c r="V426">
        <v>424</v>
      </c>
      <c r="W426">
        <v>111.955315</v>
      </c>
      <c r="X426" s="14">
        <v>0.91338901829244112</v>
      </c>
      <c r="Y426">
        <v>30.873999999999999</v>
      </c>
      <c r="Z426" s="14">
        <v>0.91132888600271555</v>
      </c>
      <c r="AA426">
        <v>54</v>
      </c>
      <c r="AC426">
        <v>424</v>
      </c>
      <c r="AD426">
        <v>111.33843899999999</v>
      </c>
      <c r="AE426" s="14">
        <v>0.91699828567344854</v>
      </c>
      <c r="AF426">
        <v>30.706</v>
      </c>
      <c r="AG426" s="14">
        <v>0.91405947667668852</v>
      </c>
      <c r="AH426">
        <v>54</v>
      </c>
      <c r="AJ426">
        <v>424</v>
      </c>
      <c r="AK426">
        <v>109.82097899999999</v>
      </c>
      <c r="AL426" s="14">
        <v>0.89234141441954962</v>
      </c>
      <c r="AM426">
        <v>30.321000000000002</v>
      </c>
      <c r="AN426" s="14">
        <v>0.88694202305037151</v>
      </c>
      <c r="AO426">
        <v>54</v>
      </c>
      <c r="AQ426">
        <v>424</v>
      </c>
      <c r="AR426">
        <v>108.82196500000001</v>
      </c>
      <c r="AS426" s="14">
        <v>0.89315616549456467</v>
      </c>
      <c r="AT426">
        <v>30.074999999999999</v>
      </c>
      <c r="AU426" s="14">
        <v>0.88813749520125207</v>
      </c>
      <c r="AV426">
        <v>54</v>
      </c>
      <c r="AX426">
        <v>424</v>
      </c>
      <c r="AY426">
        <v>111.344793</v>
      </c>
      <c r="AZ426" s="14">
        <v>0.90068329021540161</v>
      </c>
      <c r="BA426">
        <v>30.795999999999999</v>
      </c>
      <c r="BB426" s="14">
        <v>0.89721477683253703</v>
      </c>
      <c r="BC426">
        <v>54</v>
      </c>
    </row>
    <row r="427" spans="15:55" x14ac:dyDescent="0.35">
      <c r="O427">
        <v>425</v>
      </c>
      <c r="P427">
        <v>111.347081</v>
      </c>
      <c r="Q427" s="14">
        <v>0.90762317240066559</v>
      </c>
      <c r="R427">
        <v>30.762</v>
      </c>
      <c r="S427" s="14">
        <v>0.90652442977544656</v>
      </c>
      <c r="T427">
        <v>54</v>
      </c>
      <c r="V427">
        <v>425</v>
      </c>
      <c r="W427">
        <v>111.972049</v>
      </c>
      <c r="X427" s="14">
        <v>0.91352554286773358</v>
      </c>
      <c r="Y427">
        <v>30.873000000000001</v>
      </c>
      <c r="Z427" s="14">
        <v>0.91129936832162473</v>
      </c>
      <c r="AA427">
        <v>54</v>
      </c>
      <c r="AC427">
        <v>425</v>
      </c>
      <c r="AD427">
        <v>111.27476299999999</v>
      </c>
      <c r="AE427" s="14">
        <v>0.91647384161474799</v>
      </c>
      <c r="AF427">
        <v>30.69</v>
      </c>
      <c r="AG427" s="14">
        <v>0.91358318697347651</v>
      </c>
      <c r="AH427">
        <v>54</v>
      </c>
      <c r="AJ427">
        <v>425</v>
      </c>
      <c r="AK427">
        <v>109.797481</v>
      </c>
      <c r="AL427" s="14">
        <v>0.89215048333564428</v>
      </c>
      <c r="AM427">
        <v>30.314</v>
      </c>
      <c r="AN427" s="14">
        <v>0.88673726086702154</v>
      </c>
      <c r="AO427">
        <v>54</v>
      </c>
      <c r="AQ427">
        <v>425</v>
      </c>
      <c r="AR427">
        <v>108.777237</v>
      </c>
      <c r="AS427" s="14">
        <v>0.89278906048069873</v>
      </c>
      <c r="AT427">
        <v>30.064</v>
      </c>
      <c r="AU427" s="14">
        <v>0.88781265688214273</v>
      </c>
      <c r="AV427">
        <v>54</v>
      </c>
      <c r="AX427">
        <v>425</v>
      </c>
      <c r="AY427">
        <v>111.337053</v>
      </c>
      <c r="AZ427" s="14">
        <v>0.90062068029464615</v>
      </c>
      <c r="BA427">
        <v>30.79</v>
      </c>
      <c r="BB427" s="14">
        <v>0.89703997203123187</v>
      </c>
      <c r="BC427">
        <v>54</v>
      </c>
    </row>
    <row r="428" spans="15:55" x14ac:dyDescent="0.35">
      <c r="O428">
        <v>426</v>
      </c>
      <c r="P428">
        <v>111.32859999999999</v>
      </c>
      <c r="Q428" s="14">
        <v>0.90747252827332525</v>
      </c>
      <c r="R428">
        <v>30.757000000000001</v>
      </c>
      <c r="S428" s="14">
        <v>0.90637708492956925</v>
      </c>
      <c r="T428">
        <v>54</v>
      </c>
      <c r="V428">
        <v>426</v>
      </c>
      <c r="W428">
        <v>111.933572</v>
      </c>
      <c r="X428" s="14">
        <v>0.91321162771991915</v>
      </c>
      <c r="Y428">
        <v>30.861000000000001</v>
      </c>
      <c r="Z428" s="14">
        <v>0.910945156148533</v>
      </c>
      <c r="AA428">
        <v>54</v>
      </c>
      <c r="AC428">
        <v>426</v>
      </c>
      <c r="AD428">
        <v>111.26105800000001</v>
      </c>
      <c r="AE428" s="14">
        <v>0.91636096540040535</v>
      </c>
      <c r="AF428">
        <v>30.681000000000001</v>
      </c>
      <c r="AG428" s="14">
        <v>0.91331527401541979</v>
      </c>
      <c r="AH428">
        <v>54</v>
      </c>
      <c r="AJ428">
        <v>426</v>
      </c>
      <c r="AK428">
        <v>109.74657500000001</v>
      </c>
      <c r="AL428" s="14">
        <v>0.89173685078149956</v>
      </c>
      <c r="AM428">
        <v>30.302</v>
      </c>
      <c r="AN428" s="14">
        <v>0.88638623998127886</v>
      </c>
      <c r="AO428">
        <v>54</v>
      </c>
      <c r="AQ428">
        <v>426</v>
      </c>
      <c r="AR428">
        <v>108.784672</v>
      </c>
      <c r="AS428" s="14">
        <v>0.89285008323552995</v>
      </c>
      <c r="AT428">
        <v>30.062000000000001</v>
      </c>
      <c r="AU428" s="14">
        <v>0.88775359536957743</v>
      </c>
      <c r="AV428">
        <v>54</v>
      </c>
      <c r="AX428">
        <v>426</v>
      </c>
      <c r="AY428">
        <v>111.253468</v>
      </c>
      <c r="AZ428" s="14">
        <v>0.89994454977444616</v>
      </c>
      <c r="BA428">
        <v>30.771999999999998</v>
      </c>
      <c r="BB428" s="14">
        <v>0.89651555762731616</v>
      </c>
      <c r="BC428">
        <v>54</v>
      </c>
    </row>
    <row r="429" spans="15:55" x14ac:dyDescent="0.35">
      <c r="O429">
        <v>427</v>
      </c>
      <c r="P429">
        <v>111.34608900000001</v>
      </c>
      <c r="Q429" s="14">
        <v>0.90761508631363996</v>
      </c>
      <c r="R429">
        <v>30.757000000000001</v>
      </c>
      <c r="S429" s="14">
        <v>0.90637708492956925</v>
      </c>
      <c r="T429">
        <v>54</v>
      </c>
      <c r="V429">
        <v>427</v>
      </c>
      <c r="W429">
        <v>111.861289</v>
      </c>
      <c r="X429" s="14">
        <v>0.91262190584374703</v>
      </c>
      <c r="Y429">
        <v>30.844999999999999</v>
      </c>
      <c r="Z429" s="14">
        <v>0.9104728732510774</v>
      </c>
      <c r="AA429">
        <v>54</v>
      </c>
      <c r="AC429">
        <v>427</v>
      </c>
      <c r="AD429">
        <v>111.26752399999999</v>
      </c>
      <c r="AE429" s="14">
        <v>0.9164142202418456</v>
      </c>
      <c r="AF429">
        <v>30.677</v>
      </c>
      <c r="AG429" s="14">
        <v>0.91319620158961679</v>
      </c>
      <c r="AH429">
        <v>54</v>
      </c>
      <c r="AJ429">
        <v>427</v>
      </c>
      <c r="AK429">
        <v>109.72248</v>
      </c>
      <c r="AL429" s="14">
        <v>0.89154106882274975</v>
      </c>
      <c r="AM429">
        <v>30.295000000000002</v>
      </c>
      <c r="AN429" s="14">
        <v>0.886181477797929</v>
      </c>
      <c r="AO429">
        <v>54</v>
      </c>
      <c r="AQ429">
        <v>427</v>
      </c>
      <c r="AR429">
        <v>109.23436100000001</v>
      </c>
      <c r="AS429" s="14">
        <v>0.89654090523920449</v>
      </c>
      <c r="AT429">
        <v>30.198</v>
      </c>
      <c r="AU429" s="14">
        <v>0.89176977822402037</v>
      </c>
      <c r="AV429">
        <v>54</v>
      </c>
      <c r="AX429">
        <v>427</v>
      </c>
      <c r="AY429">
        <v>111.185337</v>
      </c>
      <c r="AZ429" s="14">
        <v>0.89939342877819395</v>
      </c>
      <c r="BA429">
        <v>30.754999999999999</v>
      </c>
      <c r="BB429" s="14">
        <v>0.89602027735695144</v>
      </c>
      <c r="BC429">
        <v>54</v>
      </c>
    </row>
    <row r="430" spans="15:55" x14ac:dyDescent="0.35">
      <c r="O430">
        <v>428</v>
      </c>
      <c r="P430">
        <v>111.31079</v>
      </c>
      <c r="Q430" s="14">
        <v>0.9073273536665436</v>
      </c>
      <c r="R430">
        <v>30.748999999999999</v>
      </c>
      <c r="S430" s="14">
        <v>0.90614133317616552</v>
      </c>
      <c r="T430">
        <v>54</v>
      </c>
      <c r="V430">
        <v>428</v>
      </c>
      <c r="W430">
        <v>111.802944</v>
      </c>
      <c r="X430" s="14">
        <v>0.91214589733738649</v>
      </c>
      <c r="Y430">
        <v>30.831</v>
      </c>
      <c r="Z430" s="14">
        <v>0.91005962571580379</v>
      </c>
      <c r="AA430">
        <v>54</v>
      </c>
      <c r="AC430">
        <v>428</v>
      </c>
      <c r="AD430">
        <v>111.223794</v>
      </c>
      <c r="AE430" s="14">
        <v>0.91605405410881324</v>
      </c>
      <c r="AF430">
        <v>30.666</v>
      </c>
      <c r="AG430" s="14">
        <v>0.91286875241865861</v>
      </c>
      <c r="AH430">
        <v>54</v>
      </c>
      <c r="AJ430">
        <v>428</v>
      </c>
      <c r="AK430">
        <v>110.201674</v>
      </c>
      <c r="AL430" s="14">
        <v>0.89543472061528528</v>
      </c>
      <c r="AM430">
        <v>30.436</v>
      </c>
      <c r="AN430" s="14">
        <v>0.89030597320540572</v>
      </c>
      <c r="AO430">
        <v>54</v>
      </c>
      <c r="AQ430">
        <v>428</v>
      </c>
      <c r="AR430">
        <v>109.156105</v>
      </c>
      <c r="AS430" s="14">
        <v>0.89589861919992042</v>
      </c>
      <c r="AT430">
        <v>30.164999999999999</v>
      </c>
      <c r="AU430" s="14">
        <v>0.89079526326669223</v>
      </c>
      <c r="AV430">
        <v>54</v>
      </c>
      <c r="AX430">
        <v>428</v>
      </c>
      <c r="AY430">
        <v>111.153325</v>
      </c>
      <c r="AZ430" s="14">
        <v>0.89913447932299684</v>
      </c>
      <c r="BA430">
        <v>30.747</v>
      </c>
      <c r="BB430" s="14">
        <v>0.89578720428854453</v>
      </c>
      <c r="BC430">
        <v>54</v>
      </c>
    </row>
    <row r="431" spans="15:55" x14ac:dyDescent="0.35">
      <c r="O431">
        <v>429</v>
      </c>
      <c r="P431">
        <v>111.24194799999999</v>
      </c>
      <c r="Q431" s="14">
        <v>0.90676620205059411</v>
      </c>
      <c r="R431">
        <v>30.731999999999999</v>
      </c>
      <c r="S431" s="14">
        <v>0.90564036070018272</v>
      </c>
      <c r="T431">
        <v>54</v>
      </c>
      <c r="V431">
        <v>429</v>
      </c>
      <c r="W431">
        <v>111.781835</v>
      </c>
      <c r="X431" s="14">
        <v>0.91197367926281692</v>
      </c>
      <c r="Y431">
        <v>30.823</v>
      </c>
      <c r="Z431" s="14">
        <v>0.90982348426707593</v>
      </c>
      <c r="AA431">
        <v>54</v>
      </c>
      <c r="AC431">
        <v>429</v>
      </c>
      <c r="AD431">
        <v>111.14085300000001</v>
      </c>
      <c r="AE431" s="14">
        <v>0.91537094093159299</v>
      </c>
      <c r="AF431">
        <v>30.646999999999998</v>
      </c>
      <c r="AG431" s="14">
        <v>0.91230315839609433</v>
      </c>
      <c r="AH431">
        <v>54</v>
      </c>
      <c r="AJ431">
        <v>429</v>
      </c>
      <c r="AK431">
        <v>110.073407</v>
      </c>
      <c r="AL431" s="14">
        <v>0.89439249756058692</v>
      </c>
      <c r="AM431">
        <v>30.395</v>
      </c>
      <c r="AN431" s="14">
        <v>0.88910665184578486</v>
      </c>
      <c r="AO431">
        <v>54</v>
      </c>
      <c r="AQ431">
        <v>429</v>
      </c>
      <c r="AR431">
        <v>109.08940200000001</v>
      </c>
      <c r="AS431" s="14">
        <v>0.89535115439622048</v>
      </c>
      <c r="AT431">
        <v>30.143999999999998</v>
      </c>
      <c r="AU431" s="14">
        <v>0.89017511738475619</v>
      </c>
      <c r="AV431">
        <v>54</v>
      </c>
      <c r="AX431">
        <v>429</v>
      </c>
      <c r="AY431">
        <v>111.14901399999999</v>
      </c>
      <c r="AZ431" s="14">
        <v>0.8990996070531807</v>
      </c>
      <c r="BA431">
        <v>30.742000000000001</v>
      </c>
      <c r="BB431" s="14">
        <v>0.89564153362079024</v>
      </c>
      <c r="BC431">
        <v>54</v>
      </c>
    </row>
    <row r="432" spans="15:55" x14ac:dyDescent="0.35">
      <c r="O432">
        <v>430</v>
      </c>
      <c r="P432">
        <v>111.18235300000001</v>
      </c>
      <c r="Q432" s="14">
        <v>0.90628042548174803</v>
      </c>
      <c r="R432">
        <v>30.718</v>
      </c>
      <c r="S432" s="14">
        <v>0.90522779513172635</v>
      </c>
      <c r="T432">
        <v>54</v>
      </c>
      <c r="V432">
        <v>430</v>
      </c>
      <c r="W432">
        <v>111.784543</v>
      </c>
      <c r="X432" s="14">
        <v>0.91199577251905528</v>
      </c>
      <c r="Y432">
        <v>30.821000000000002</v>
      </c>
      <c r="Z432" s="14">
        <v>0.90976444890489405</v>
      </c>
      <c r="AA432">
        <v>54</v>
      </c>
      <c r="AC432">
        <v>430</v>
      </c>
      <c r="AD432">
        <v>111.077637</v>
      </c>
      <c r="AE432" s="14">
        <v>0.9148502854944609</v>
      </c>
      <c r="AF432">
        <v>30.631</v>
      </c>
      <c r="AG432" s="14">
        <v>0.91182686869288232</v>
      </c>
      <c r="AH432">
        <v>54</v>
      </c>
      <c r="AJ432">
        <v>430</v>
      </c>
      <c r="AK432">
        <v>109.996045</v>
      </c>
      <c r="AL432" s="14">
        <v>0.89376389893461461</v>
      </c>
      <c r="AM432">
        <v>30.370999999999999</v>
      </c>
      <c r="AN432" s="14">
        <v>0.88840461007429938</v>
      </c>
      <c r="AO432">
        <v>54</v>
      </c>
      <c r="AQ432">
        <v>430</v>
      </c>
      <c r="AR432">
        <v>109.022325</v>
      </c>
      <c r="AS432" s="14">
        <v>0.89480061998790594</v>
      </c>
      <c r="AT432">
        <v>30.125</v>
      </c>
      <c r="AU432" s="14">
        <v>0.88961403301538555</v>
      </c>
      <c r="AV432">
        <v>54</v>
      </c>
      <c r="AX432">
        <v>430</v>
      </c>
      <c r="AY432">
        <v>111.124776</v>
      </c>
      <c r="AZ432" s="14">
        <v>0.89890354254939875</v>
      </c>
      <c r="BA432">
        <v>30.733000000000001</v>
      </c>
      <c r="BB432" s="14">
        <v>0.89537932641883233</v>
      </c>
      <c r="BC432">
        <v>54</v>
      </c>
    </row>
    <row r="433" spans="15:55" x14ac:dyDescent="0.35">
      <c r="O433">
        <v>431</v>
      </c>
      <c r="P433">
        <v>111.173877</v>
      </c>
      <c r="Q433" s="14">
        <v>0.90621133508494389</v>
      </c>
      <c r="R433">
        <v>30.715</v>
      </c>
      <c r="S433" s="14">
        <v>0.90513938822419993</v>
      </c>
      <c r="T433">
        <v>54</v>
      </c>
      <c r="V433">
        <v>431</v>
      </c>
      <c r="W433">
        <v>111.758292</v>
      </c>
      <c r="X433" s="14">
        <v>0.91178160336487801</v>
      </c>
      <c r="Y433">
        <v>30.812999999999999</v>
      </c>
      <c r="Z433" s="14">
        <v>0.9095283074561662</v>
      </c>
      <c r="AA433">
        <v>54</v>
      </c>
      <c r="AC433">
        <v>431</v>
      </c>
      <c r="AD433">
        <v>111.058521</v>
      </c>
      <c r="AE433" s="14">
        <v>0.91469284355988401</v>
      </c>
      <c r="AF433">
        <v>30.625</v>
      </c>
      <c r="AG433" s="14">
        <v>0.91164826005417787</v>
      </c>
      <c r="AH433">
        <v>54</v>
      </c>
      <c r="AJ433">
        <v>431</v>
      </c>
      <c r="AK433">
        <v>109.9123</v>
      </c>
      <c r="AL433" s="14">
        <v>0.89308343576235893</v>
      </c>
      <c r="AM433">
        <v>30.347999999999999</v>
      </c>
      <c r="AN433" s="14">
        <v>0.88773182004329254</v>
      </c>
      <c r="AO433">
        <v>54</v>
      </c>
      <c r="AQ433">
        <v>431</v>
      </c>
      <c r="AR433">
        <v>108.951795</v>
      </c>
      <c r="AS433" s="14">
        <v>0.89422174508565333</v>
      </c>
      <c r="AT433">
        <v>30.106999999999999</v>
      </c>
      <c r="AU433" s="14">
        <v>0.88908247940229745</v>
      </c>
      <c r="AV433">
        <v>54</v>
      </c>
      <c r="AX433">
        <v>431</v>
      </c>
      <c r="AY433">
        <v>111.05869800000001</v>
      </c>
      <c r="AZ433" s="14">
        <v>0.89836902855150713</v>
      </c>
      <c r="BA433">
        <v>30.719000000000001</v>
      </c>
      <c r="BB433" s="14">
        <v>0.89497144854912025</v>
      </c>
      <c r="BC433">
        <v>54</v>
      </c>
    </row>
    <row r="434" spans="15:55" x14ac:dyDescent="0.35">
      <c r="O434">
        <v>432</v>
      </c>
      <c r="P434">
        <v>111.169231</v>
      </c>
      <c r="Q434" s="14">
        <v>0.90617346415720057</v>
      </c>
      <c r="R434">
        <v>30.712</v>
      </c>
      <c r="S434" s="14">
        <v>0.90505098131667361</v>
      </c>
      <c r="T434">
        <v>54</v>
      </c>
      <c r="V434">
        <v>432</v>
      </c>
      <c r="W434">
        <v>111.69658200000001</v>
      </c>
      <c r="X434" s="14">
        <v>0.91127814145850206</v>
      </c>
      <c r="Y434">
        <v>30.798999999999999</v>
      </c>
      <c r="Z434" s="14">
        <v>0.90911505992089259</v>
      </c>
      <c r="AA434">
        <v>54</v>
      </c>
      <c r="AC434">
        <v>432</v>
      </c>
      <c r="AD434">
        <v>111.084919</v>
      </c>
      <c r="AE434" s="14">
        <v>0.91491026102111872</v>
      </c>
      <c r="AF434">
        <v>30.626000000000001</v>
      </c>
      <c r="AG434" s="14">
        <v>0.9116780281606286</v>
      </c>
      <c r="AH434">
        <v>54</v>
      </c>
      <c r="AJ434">
        <v>432</v>
      </c>
      <c r="AK434">
        <v>109.859554</v>
      </c>
      <c r="AL434" s="14">
        <v>0.89265485243817488</v>
      </c>
      <c r="AM434">
        <v>30.331</v>
      </c>
      <c r="AN434" s="14">
        <v>0.88723454045515704</v>
      </c>
      <c r="AO434">
        <v>54</v>
      </c>
      <c r="AQ434">
        <v>432</v>
      </c>
      <c r="AR434">
        <v>108.920969</v>
      </c>
      <c r="AS434" s="14">
        <v>0.89396874072244825</v>
      </c>
      <c r="AT434">
        <v>30.097999999999999</v>
      </c>
      <c r="AU434" s="14">
        <v>0.88881670259575341</v>
      </c>
      <c r="AV434">
        <v>54</v>
      </c>
      <c r="AX434">
        <v>432</v>
      </c>
      <c r="AY434">
        <v>111.000129</v>
      </c>
      <c r="AZ434" s="14">
        <v>0.89789525588371277</v>
      </c>
      <c r="BA434">
        <v>30.706</v>
      </c>
      <c r="BB434" s="14">
        <v>0.89459270481295894</v>
      </c>
      <c r="BC434">
        <v>54</v>
      </c>
    </row>
    <row r="435" spans="15:55" x14ac:dyDescent="0.35">
      <c r="O435">
        <v>433</v>
      </c>
      <c r="P435">
        <v>111.13511099999999</v>
      </c>
      <c r="Q435" s="14">
        <v>0.90589534188974474</v>
      </c>
      <c r="R435">
        <v>30.702999999999999</v>
      </c>
      <c r="S435" s="14">
        <v>0.90478576059409443</v>
      </c>
      <c r="T435">
        <v>54</v>
      </c>
      <c r="V435">
        <v>433</v>
      </c>
      <c r="W435">
        <v>111.63801100000001</v>
      </c>
      <c r="X435" s="14">
        <v>0.9108002891279503</v>
      </c>
      <c r="Y435">
        <v>30.783999999999999</v>
      </c>
      <c r="Z435" s="14">
        <v>0.90867229470452793</v>
      </c>
      <c r="AA435">
        <v>54</v>
      </c>
      <c r="AC435">
        <v>433</v>
      </c>
      <c r="AD435">
        <v>111.04721000000001</v>
      </c>
      <c r="AE435" s="14">
        <v>0.91459968464996577</v>
      </c>
      <c r="AF435">
        <v>30.616</v>
      </c>
      <c r="AG435" s="14">
        <v>0.91138034709612115</v>
      </c>
      <c r="AH435">
        <v>54</v>
      </c>
      <c r="AJ435">
        <v>433</v>
      </c>
      <c r="AK435">
        <v>109.846836</v>
      </c>
      <c r="AL435" s="14">
        <v>0.89255151336569594</v>
      </c>
      <c r="AM435">
        <v>30.324999999999999</v>
      </c>
      <c r="AN435" s="14">
        <v>0.8870590300122857</v>
      </c>
      <c r="AO435">
        <v>54</v>
      </c>
      <c r="AQ435">
        <v>433</v>
      </c>
      <c r="AR435">
        <v>108.929936</v>
      </c>
      <c r="AS435" s="14">
        <v>0.89404233736569938</v>
      </c>
      <c r="AT435">
        <v>30.094999999999999</v>
      </c>
      <c r="AU435" s="14">
        <v>0.88872811032690546</v>
      </c>
      <c r="AV435">
        <v>54</v>
      </c>
      <c r="AX435">
        <v>433</v>
      </c>
      <c r="AY435">
        <v>110.960151</v>
      </c>
      <c r="AZ435" s="14">
        <v>0.89757186836278724</v>
      </c>
      <c r="BA435">
        <v>30.693999999999999</v>
      </c>
      <c r="BB435" s="14">
        <v>0.8942430952103485</v>
      </c>
      <c r="BC435">
        <v>54</v>
      </c>
    </row>
    <row r="436" spans="15:55" x14ac:dyDescent="0.35">
      <c r="O436">
        <v>434</v>
      </c>
      <c r="P436">
        <v>111.061435</v>
      </c>
      <c r="Q436" s="14">
        <v>0.90529478690213994</v>
      </c>
      <c r="R436">
        <v>30.687000000000001</v>
      </c>
      <c r="S436" s="14">
        <v>0.90431425708728719</v>
      </c>
      <c r="T436">
        <v>54</v>
      </c>
      <c r="V436">
        <v>434</v>
      </c>
      <c r="W436">
        <v>111.60240400000001</v>
      </c>
      <c r="X436" s="14">
        <v>0.9105097889156617</v>
      </c>
      <c r="Y436">
        <v>30.774999999999999</v>
      </c>
      <c r="Z436" s="14">
        <v>0.90840663557470924</v>
      </c>
      <c r="AA436">
        <v>54</v>
      </c>
      <c r="AC436">
        <v>434</v>
      </c>
      <c r="AD436">
        <v>110.980557</v>
      </c>
      <c r="AE436" s="14">
        <v>0.91405072162080925</v>
      </c>
      <c r="AF436">
        <v>30.6</v>
      </c>
      <c r="AG436" s="14">
        <v>0.91090405739290914</v>
      </c>
      <c r="AH436">
        <v>54</v>
      </c>
      <c r="AJ436">
        <v>434</v>
      </c>
      <c r="AK436">
        <v>109.859514</v>
      </c>
      <c r="AL436" s="14">
        <v>0.89265452742143492</v>
      </c>
      <c r="AM436">
        <v>30.321999999999999</v>
      </c>
      <c r="AN436" s="14">
        <v>0.88697127479085003</v>
      </c>
      <c r="AO436">
        <v>54</v>
      </c>
      <c r="AQ436">
        <v>434</v>
      </c>
      <c r="AR436">
        <v>108.890019</v>
      </c>
      <c r="AS436" s="14">
        <v>0.89371471862937124</v>
      </c>
      <c r="AT436">
        <v>30.085000000000001</v>
      </c>
      <c r="AU436" s="14">
        <v>0.88843280276407888</v>
      </c>
      <c r="AV436">
        <v>54</v>
      </c>
      <c r="AX436">
        <v>434</v>
      </c>
      <c r="AY436">
        <v>110.964566</v>
      </c>
      <c r="AZ436" s="14">
        <v>0.8976075819028565</v>
      </c>
      <c r="BA436">
        <v>30.693000000000001</v>
      </c>
      <c r="BB436" s="14">
        <v>0.89421396107679763</v>
      </c>
      <c r="BC436">
        <v>54</v>
      </c>
    </row>
    <row r="437" spans="15:55" x14ac:dyDescent="0.35">
      <c r="O437">
        <v>435</v>
      </c>
      <c r="P437">
        <v>111.005657</v>
      </c>
      <c r="Q437" s="14">
        <v>0.90484012383548829</v>
      </c>
      <c r="R437">
        <v>30.672999999999998</v>
      </c>
      <c r="S437" s="14">
        <v>0.90390169151883071</v>
      </c>
      <c r="T437">
        <v>54</v>
      </c>
      <c r="V437">
        <v>435</v>
      </c>
      <c r="W437">
        <v>111.61221500000001</v>
      </c>
      <c r="X437" s="14">
        <v>0.91058983209769795</v>
      </c>
      <c r="Y437">
        <v>30.774999999999999</v>
      </c>
      <c r="Z437" s="14">
        <v>0.90840663557470924</v>
      </c>
      <c r="AA437">
        <v>54</v>
      </c>
      <c r="AC437">
        <v>435</v>
      </c>
      <c r="AD437">
        <v>110.921091</v>
      </c>
      <c r="AE437" s="14">
        <v>0.91356095168559526</v>
      </c>
      <c r="AF437">
        <v>30.587</v>
      </c>
      <c r="AG437" s="14">
        <v>0.91051707200904941</v>
      </c>
      <c r="AH437">
        <v>54</v>
      </c>
      <c r="AJ437">
        <v>435</v>
      </c>
      <c r="AK437">
        <v>109.821804</v>
      </c>
      <c r="AL437" s="14">
        <v>0.89234811788981194</v>
      </c>
      <c r="AM437">
        <v>30.31</v>
      </c>
      <c r="AN437" s="14">
        <v>0.88662025390510735</v>
      </c>
      <c r="AO437">
        <v>54</v>
      </c>
      <c r="AQ437">
        <v>435</v>
      </c>
      <c r="AR437">
        <v>108.81863199999999</v>
      </c>
      <c r="AS437" s="14">
        <v>0.89312880990050236</v>
      </c>
      <c r="AT437">
        <v>30.067</v>
      </c>
      <c r="AU437" s="14">
        <v>0.88790124915099078</v>
      </c>
      <c r="AV437">
        <v>54</v>
      </c>
      <c r="AX437">
        <v>435</v>
      </c>
      <c r="AY437">
        <v>110.93848199999999</v>
      </c>
      <c r="AZ437" s="14">
        <v>0.89739658485208296</v>
      </c>
      <c r="BA437">
        <v>30.684000000000001</v>
      </c>
      <c r="BB437" s="14">
        <v>0.89395175387483983</v>
      </c>
      <c r="BC437">
        <v>54</v>
      </c>
    </row>
    <row r="438" spans="15:55" x14ac:dyDescent="0.35">
      <c r="O438">
        <v>436</v>
      </c>
      <c r="P438">
        <v>111.014634</v>
      </c>
      <c r="Q438" s="14">
        <v>0.90491329803229237</v>
      </c>
      <c r="R438">
        <v>30.673999999999999</v>
      </c>
      <c r="S438" s="14">
        <v>0.90393116048800615</v>
      </c>
      <c r="T438">
        <v>54</v>
      </c>
      <c r="V438">
        <v>436</v>
      </c>
      <c r="W438">
        <v>111.59061</v>
      </c>
      <c r="X438" s="14">
        <v>0.91041356740012447</v>
      </c>
      <c r="Y438">
        <v>30.768000000000001</v>
      </c>
      <c r="Z438" s="14">
        <v>0.90820001180707244</v>
      </c>
      <c r="AA438">
        <v>54</v>
      </c>
      <c r="AC438">
        <v>436</v>
      </c>
      <c r="AD438">
        <v>110.89187200000001</v>
      </c>
      <c r="AE438" s="14">
        <v>0.91332030009078446</v>
      </c>
      <c r="AF438">
        <v>30.579000000000001</v>
      </c>
      <c r="AG438" s="14">
        <v>0.91027892715744341</v>
      </c>
      <c r="AH438">
        <v>54</v>
      </c>
      <c r="AJ438">
        <v>436</v>
      </c>
      <c r="AK438">
        <v>109.743959</v>
      </c>
      <c r="AL438" s="14">
        <v>0.89171559468670436</v>
      </c>
      <c r="AM438">
        <v>30.292000000000002</v>
      </c>
      <c r="AN438" s="14">
        <v>0.88609372257649333</v>
      </c>
      <c r="AO438">
        <v>54</v>
      </c>
      <c r="AQ438">
        <v>436</v>
      </c>
      <c r="AR438">
        <v>108.75255199999999</v>
      </c>
      <c r="AS438" s="14">
        <v>0.89258645836865969</v>
      </c>
      <c r="AT438">
        <v>30.053000000000001</v>
      </c>
      <c r="AU438" s="14">
        <v>0.88748781856303338</v>
      </c>
      <c r="AV438">
        <v>54</v>
      </c>
      <c r="AX438">
        <v>436</v>
      </c>
      <c r="AY438">
        <v>110.875603</v>
      </c>
      <c r="AZ438" s="14">
        <v>0.89688794800360949</v>
      </c>
      <c r="BA438">
        <v>30.670999999999999</v>
      </c>
      <c r="BB438" s="14">
        <v>0.89357301013867851</v>
      </c>
      <c r="BC438">
        <v>54</v>
      </c>
    </row>
    <row r="439" spans="15:55" x14ac:dyDescent="0.35">
      <c r="O439">
        <v>437</v>
      </c>
      <c r="P439">
        <v>111.0283</v>
      </c>
      <c r="Q439" s="14">
        <v>0.90502469366262794</v>
      </c>
      <c r="R439">
        <v>30.673999999999999</v>
      </c>
      <c r="S439" s="14">
        <v>0.90393116048800615</v>
      </c>
      <c r="T439">
        <v>54</v>
      </c>
      <c r="V439">
        <v>437</v>
      </c>
      <c r="W439">
        <v>111.531946</v>
      </c>
      <c r="X439" s="14">
        <v>0.90993495632775956</v>
      </c>
      <c r="Y439">
        <v>30.754000000000001</v>
      </c>
      <c r="Z439" s="14">
        <v>0.90778676427179883</v>
      </c>
      <c r="AA439">
        <v>54</v>
      </c>
      <c r="AC439">
        <v>437</v>
      </c>
      <c r="AD439">
        <v>110.90723800000001</v>
      </c>
      <c r="AE439" s="14">
        <v>0.91344685652344348</v>
      </c>
      <c r="AF439">
        <v>30.577999999999999</v>
      </c>
      <c r="AG439" s="14">
        <v>0.91024915905099268</v>
      </c>
      <c r="AH439">
        <v>54</v>
      </c>
      <c r="AJ439">
        <v>437</v>
      </c>
      <c r="AK439">
        <v>109.678245</v>
      </c>
      <c r="AL439" s="14">
        <v>0.89118164093541641</v>
      </c>
      <c r="AM439">
        <v>30.277000000000001</v>
      </c>
      <c r="AN439" s="14">
        <v>0.88565494646931497</v>
      </c>
      <c r="AO439">
        <v>54</v>
      </c>
      <c r="AQ439">
        <v>437</v>
      </c>
      <c r="AR439">
        <v>108.698257</v>
      </c>
      <c r="AS439" s="14">
        <v>0.89214083221216156</v>
      </c>
      <c r="AT439">
        <v>30.039000000000001</v>
      </c>
      <c r="AU439" s="14">
        <v>0.8870743879750761</v>
      </c>
      <c r="AV439">
        <v>54</v>
      </c>
      <c r="AX439">
        <v>437</v>
      </c>
      <c r="AY439">
        <v>110.804203</v>
      </c>
      <c r="AZ439" s="14">
        <v>0.89631038361834559</v>
      </c>
      <c r="BA439">
        <v>30.654</v>
      </c>
      <c r="BB439" s="14">
        <v>0.8930777298683138</v>
      </c>
      <c r="BC439">
        <v>54</v>
      </c>
    </row>
    <row r="440" spans="15:55" x14ac:dyDescent="0.35">
      <c r="O440">
        <v>438</v>
      </c>
      <c r="P440">
        <v>111.010875</v>
      </c>
      <c r="Q440" s="14">
        <v>0.90488265730534723</v>
      </c>
      <c r="R440">
        <v>30.667999999999999</v>
      </c>
      <c r="S440" s="14">
        <v>0.9037543466729534</v>
      </c>
      <c r="T440">
        <v>54</v>
      </c>
      <c r="V440">
        <v>438</v>
      </c>
      <c r="W440">
        <v>111.474192</v>
      </c>
      <c r="X440" s="14">
        <v>0.90946376950324426</v>
      </c>
      <c r="Y440">
        <v>30.741</v>
      </c>
      <c r="Z440" s="14">
        <v>0.90740303441761616</v>
      </c>
      <c r="AA440">
        <v>54</v>
      </c>
      <c r="AC440">
        <v>438</v>
      </c>
      <c r="AD440">
        <v>110.878557</v>
      </c>
      <c r="AE440" s="14">
        <v>0.91321063596864116</v>
      </c>
      <c r="AF440">
        <v>30.57</v>
      </c>
      <c r="AG440" s="14">
        <v>0.91001101419938668</v>
      </c>
      <c r="AH440">
        <v>54</v>
      </c>
      <c r="AJ440">
        <v>438</v>
      </c>
      <c r="AK440">
        <v>109.623829</v>
      </c>
      <c r="AL440" s="14">
        <v>0.89073948816233783</v>
      </c>
      <c r="AM440">
        <v>30.263000000000002</v>
      </c>
      <c r="AN440" s="14">
        <v>0.88524542210261514</v>
      </c>
      <c r="AO440">
        <v>54</v>
      </c>
      <c r="AQ440">
        <v>438</v>
      </c>
      <c r="AR440">
        <v>108.69426900000001</v>
      </c>
      <c r="AS440" s="14">
        <v>0.892108100706275</v>
      </c>
      <c r="AT440">
        <v>30.035</v>
      </c>
      <c r="AU440" s="14">
        <v>0.88695626494994539</v>
      </c>
      <c r="AV440">
        <v>54</v>
      </c>
      <c r="AX440">
        <v>438</v>
      </c>
      <c r="AY440">
        <v>110.776051</v>
      </c>
      <c r="AZ440" s="14">
        <v>0.89608265823215583</v>
      </c>
      <c r="BA440">
        <v>30.645</v>
      </c>
      <c r="BB440" s="14">
        <v>0.89281552266635589</v>
      </c>
      <c r="BC440">
        <v>54</v>
      </c>
    </row>
    <row r="441" spans="15:55" x14ac:dyDescent="0.35">
      <c r="O441">
        <v>439</v>
      </c>
      <c r="P441">
        <v>110.951145</v>
      </c>
      <c r="Q441" s="14">
        <v>0.90439578031135137</v>
      </c>
      <c r="R441">
        <v>30.655000000000001</v>
      </c>
      <c r="S441" s="14">
        <v>0.90337125007367247</v>
      </c>
      <c r="T441">
        <v>54</v>
      </c>
      <c r="V441">
        <v>439</v>
      </c>
      <c r="W441">
        <v>111.44053099999999</v>
      </c>
      <c r="X441" s="14">
        <v>0.90918914575943399</v>
      </c>
      <c r="Y441">
        <v>30.733000000000001</v>
      </c>
      <c r="Z441" s="14">
        <v>0.90716689296888842</v>
      </c>
      <c r="AA441">
        <v>54</v>
      </c>
      <c r="AC441">
        <v>439</v>
      </c>
      <c r="AD441">
        <v>110.82023</v>
      </c>
      <c r="AE441" s="14">
        <v>0.91273024698987626</v>
      </c>
      <c r="AF441">
        <v>30.556999999999999</v>
      </c>
      <c r="AG441" s="14">
        <v>0.90962402881552695</v>
      </c>
      <c r="AH441">
        <v>54</v>
      </c>
      <c r="AJ441">
        <v>439</v>
      </c>
      <c r="AK441">
        <v>109.61827599999999</v>
      </c>
      <c r="AL441" s="14">
        <v>0.89069436771340904</v>
      </c>
      <c r="AM441">
        <v>30.254000000000001</v>
      </c>
      <c r="AN441" s="14">
        <v>0.88498215643830813</v>
      </c>
      <c r="AO441">
        <v>54</v>
      </c>
      <c r="AQ441">
        <v>439</v>
      </c>
      <c r="AR441">
        <v>108.67903800000001</v>
      </c>
      <c r="AS441" s="14">
        <v>0.8919830922894848</v>
      </c>
      <c r="AT441">
        <v>30.029</v>
      </c>
      <c r="AU441" s="14">
        <v>0.8867790804122494</v>
      </c>
      <c r="AV441">
        <v>54</v>
      </c>
      <c r="AX441">
        <v>439</v>
      </c>
      <c r="AY441">
        <v>110.77444</v>
      </c>
      <c r="AZ441" s="14">
        <v>0.89606962663237066</v>
      </c>
      <c r="BA441">
        <v>30.643000000000001</v>
      </c>
      <c r="BB441" s="14">
        <v>0.89275725439925424</v>
      </c>
      <c r="BC441">
        <v>54</v>
      </c>
    </row>
    <row r="442" spans="15:55" x14ac:dyDescent="0.35">
      <c r="O442">
        <v>440</v>
      </c>
      <c r="P442">
        <v>110.950389</v>
      </c>
      <c r="Q442" s="14">
        <v>0.90438961793051331</v>
      </c>
      <c r="R442">
        <v>30.652999999999999</v>
      </c>
      <c r="S442" s="14">
        <v>0.90331231213532148</v>
      </c>
      <c r="T442">
        <v>54</v>
      </c>
      <c r="V442">
        <v>440</v>
      </c>
      <c r="W442">
        <v>111.446133</v>
      </c>
      <c r="X442" s="14">
        <v>0.90923484975553714</v>
      </c>
      <c r="Y442">
        <v>30.731000000000002</v>
      </c>
      <c r="Z442" s="14">
        <v>0.90710785760670642</v>
      </c>
      <c r="AA442">
        <v>54</v>
      </c>
      <c r="AC442">
        <v>440</v>
      </c>
      <c r="AD442">
        <v>110.751705</v>
      </c>
      <c r="AE442" s="14">
        <v>0.91216586591816251</v>
      </c>
      <c r="AF442">
        <v>30.541</v>
      </c>
      <c r="AG442" s="14">
        <v>0.90914773911231495</v>
      </c>
      <c r="AH442">
        <v>54</v>
      </c>
      <c r="AJ442">
        <v>440</v>
      </c>
      <c r="AK442">
        <v>109.600711</v>
      </c>
      <c r="AL442" s="14">
        <v>0.89055164473746229</v>
      </c>
      <c r="AM442">
        <v>30.247</v>
      </c>
      <c r="AN442" s="14">
        <v>0.88477739425495816</v>
      </c>
      <c r="AO442">
        <v>54</v>
      </c>
      <c r="AQ442">
        <v>440</v>
      </c>
      <c r="AR442">
        <v>108.62865600000001</v>
      </c>
      <c r="AS442" s="14">
        <v>0.89156958207645065</v>
      </c>
      <c r="AT442">
        <v>30.015999999999998</v>
      </c>
      <c r="AU442" s="14">
        <v>0.88639518058057465</v>
      </c>
      <c r="AV442">
        <v>54</v>
      </c>
      <c r="AX442">
        <v>440</v>
      </c>
      <c r="AY442">
        <v>110.749475</v>
      </c>
      <c r="AZ442" s="14">
        <v>0.89586768132595462</v>
      </c>
      <c r="BA442">
        <v>30.635000000000002</v>
      </c>
      <c r="BB442" s="14">
        <v>0.89252418133084732</v>
      </c>
      <c r="BC442">
        <v>54</v>
      </c>
    </row>
    <row r="443" spans="15:55" x14ac:dyDescent="0.35">
      <c r="O443">
        <v>441</v>
      </c>
      <c r="P443">
        <v>110.669603</v>
      </c>
      <c r="Q443" s="14">
        <v>0.90210084773737542</v>
      </c>
      <c r="R443">
        <v>30.594000000000001</v>
      </c>
      <c r="S443" s="14">
        <v>0.90157364295396958</v>
      </c>
      <c r="T443">
        <v>54</v>
      </c>
      <c r="V443">
        <v>441</v>
      </c>
      <c r="W443">
        <v>111.425144</v>
      </c>
      <c r="X443" s="14">
        <v>0.90906361070266195</v>
      </c>
      <c r="Y443">
        <v>30.724</v>
      </c>
      <c r="Z443" s="14">
        <v>0.90690123383906962</v>
      </c>
      <c r="AA443">
        <v>54</v>
      </c>
      <c r="AC443">
        <v>441</v>
      </c>
      <c r="AD443">
        <v>110.726348</v>
      </c>
      <c r="AE443" s="14">
        <v>0.91195702227226028</v>
      </c>
      <c r="AF443">
        <v>30.533999999999999</v>
      </c>
      <c r="AG443" s="14">
        <v>0.90893936236715966</v>
      </c>
      <c r="AH443">
        <v>54</v>
      </c>
      <c r="AJ443">
        <v>441</v>
      </c>
      <c r="AK443">
        <v>109.54627000000001</v>
      </c>
      <c r="AL443" s="14">
        <v>0.89010928882892126</v>
      </c>
      <c r="AM443">
        <v>30.234000000000002</v>
      </c>
      <c r="AN443" s="14">
        <v>0.88439712162873696</v>
      </c>
      <c r="AO443">
        <v>54</v>
      </c>
      <c r="AQ443">
        <v>441</v>
      </c>
      <c r="AR443">
        <v>108.56647</v>
      </c>
      <c r="AS443" s="14">
        <v>0.89105919054559146</v>
      </c>
      <c r="AT443">
        <v>30.001999999999999</v>
      </c>
      <c r="AU443" s="14">
        <v>0.88598174999261725</v>
      </c>
      <c r="AV443">
        <v>54</v>
      </c>
      <c r="AX443">
        <v>441</v>
      </c>
      <c r="AY443">
        <v>110.683601</v>
      </c>
      <c r="AZ443" s="14">
        <v>0.89533481751202071</v>
      </c>
      <c r="BA443">
        <v>30.62</v>
      </c>
      <c r="BB443" s="14">
        <v>0.89208716932758425</v>
      </c>
      <c r="BC443">
        <v>54</v>
      </c>
    </row>
    <row r="444" spans="15:55" x14ac:dyDescent="0.35">
      <c r="O444">
        <v>442</v>
      </c>
      <c r="P444">
        <v>110.500441</v>
      </c>
      <c r="Q444" s="14">
        <v>0.90072195796576449</v>
      </c>
      <c r="R444">
        <v>30.559000000000001</v>
      </c>
      <c r="S444" s="14">
        <v>0.90054222903282855</v>
      </c>
      <c r="T444">
        <v>54</v>
      </c>
      <c r="V444">
        <v>442</v>
      </c>
      <c r="W444">
        <v>111.36026699999999</v>
      </c>
      <c r="X444" s="14">
        <v>0.90853431078206626</v>
      </c>
      <c r="Y444">
        <v>30.710999999999999</v>
      </c>
      <c r="Z444" s="14">
        <v>0.90651750398488695</v>
      </c>
      <c r="AA444">
        <v>54</v>
      </c>
      <c r="AC444">
        <v>442</v>
      </c>
      <c r="AD444">
        <v>110.73309999999999</v>
      </c>
      <c r="AE444" s="14">
        <v>0.91201263264798016</v>
      </c>
      <c r="AF444">
        <v>30.533000000000001</v>
      </c>
      <c r="AG444" s="14">
        <v>0.90890959426070905</v>
      </c>
      <c r="AH444">
        <v>54</v>
      </c>
      <c r="AJ444">
        <v>442</v>
      </c>
      <c r="AK444">
        <v>109.48349399999999</v>
      </c>
      <c r="AL444" s="14">
        <v>0.88959920755718525</v>
      </c>
      <c r="AM444">
        <v>30.219000000000001</v>
      </c>
      <c r="AN444" s="14">
        <v>0.88395834552155861</v>
      </c>
      <c r="AO444">
        <v>54</v>
      </c>
      <c r="AQ444">
        <v>442</v>
      </c>
      <c r="AR444">
        <v>108.519587</v>
      </c>
      <c r="AS444" s="14">
        <v>0.89067439837144835</v>
      </c>
      <c r="AT444">
        <v>29.99</v>
      </c>
      <c r="AU444" s="14">
        <v>0.88562738091722526</v>
      </c>
      <c r="AV444">
        <v>54</v>
      </c>
      <c r="AX444">
        <v>442</v>
      </c>
      <c r="AY444">
        <v>110.62626299999999</v>
      </c>
      <c r="AZ444" s="14">
        <v>0.89487100257193297</v>
      </c>
      <c r="BA444">
        <v>30.608000000000001</v>
      </c>
      <c r="BB444" s="14">
        <v>0.89173755972497382</v>
      </c>
      <c r="BC444">
        <v>54</v>
      </c>
    </row>
    <row r="445" spans="15:55" x14ac:dyDescent="0.35">
      <c r="O445">
        <v>443</v>
      </c>
      <c r="P445">
        <v>110.381907</v>
      </c>
      <c r="Q445" s="14">
        <v>0.8997557520791698</v>
      </c>
      <c r="R445">
        <v>30.532</v>
      </c>
      <c r="S445" s="14">
        <v>0.89974656686509114</v>
      </c>
      <c r="T445">
        <v>54</v>
      </c>
      <c r="V445">
        <v>443</v>
      </c>
      <c r="W445">
        <v>111.300072</v>
      </c>
      <c r="X445" s="14">
        <v>0.90804320902458291</v>
      </c>
      <c r="Y445">
        <v>30.696999999999999</v>
      </c>
      <c r="Z445" s="14">
        <v>0.90610425644961334</v>
      </c>
      <c r="AA445">
        <v>54</v>
      </c>
      <c r="AC445">
        <v>443</v>
      </c>
      <c r="AD445">
        <v>110.703993</v>
      </c>
      <c r="AE445" s="14">
        <v>0.91177290350016005</v>
      </c>
      <c r="AF445">
        <v>30.524000000000001</v>
      </c>
      <c r="AG445" s="14">
        <v>0.90864168130265222</v>
      </c>
      <c r="AH445">
        <v>54</v>
      </c>
      <c r="AJ445">
        <v>443</v>
      </c>
      <c r="AK445">
        <v>109.439305</v>
      </c>
      <c r="AL445" s="14">
        <v>0.8892401534391029</v>
      </c>
      <c r="AM445">
        <v>30.209</v>
      </c>
      <c r="AN445" s="14">
        <v>0.88366582811677297</v>
      </c>
      <c r="AO445">
        <v>54</v>
      </c>
      <c r="AQ445">
        <v>443</v>
      </c>
      <c r="AR445">
        <v>108.517498</v>
      </c>
      <c r="AS445" s="14">
        <v>0.89065725290610298</v>
      </c>
      <c r="AT445">
        <v>29.986999999999998</v>
      </c>
      <c r="AU445" s="14">
        <v>0.88553878864837721</v>
      </c>
      <c r="AV445">
        <v>54</v>
      </c>
      <c r="AX445">
        <v>443</v>
      </c>
      <c r="AY445">
        <v>110.592855</v>
      </c>
      <c r="AZ445" s="14">
        <v>0.89460076068141636</v>
      </c>
      <c r="BA445">
        <v>30.597000000000001</v>
      </c>
      <c r="BB445" s="14">
        <v>0.89141708425591437</v>
      </c>
      <c r="BC445">
        <v>54</v>
      </c>
    </row>
    <row r="446" spans="15:55" x14ac:dyDescent="0.35">
      <c r="O446">
        <v>444</v>
      </c>
      <c r="P446">
        <v>110.269474</v>
      </c>
      <c r="Q446" s="14">
        <v>0.89883927725804247</v>
      </c>
      <c r="R446">
        <v>30.509</v>
      </c>
      <c r="S446" s="14">
        <v>0.89906878057405559</v>
      </c>
      <c r="T446">
        <v>54</v>
      </c>
      <c r="V446">
        <v>444</v>
      </c>
      <c r="W446">
        <v>111.27758799999999</v>
      </c>
      <c r="X446" s="14">
        <v>0.9078597729930975</v>
      </c>
      <c r="Y446">
        <v>30.69</v>
      </c>
      <c r="Z446" s="14">
        <v>0.90589763268197654</v>
      </c>
      <c r="AA446">
        <v>54</v>
      </c>
      <c r="AC446">
        <v>444</v>
      </c>
      <c r="AD446">
        <v>110.63459899999999</v>
      </c>
      <c r="AE446" s="14">
        <v>0.911201365228135</v>
      </c>
      <c r="AF446">
        <v>30.509</v>
      </c>
      <c r="AG446" s="14">
        <v>0.90819515970589104</v>
      </c>
      <c r="AH446">
        <v>54</v>
      </c>
      <c r="AJ446">
        <v>444</v>
      </c>
      <c r="AK446">
        <v>109.424211</v>
      </c>
      <c r="AL446" s="14">
        <v>0.88911750837226877</v>
      </c>
      <c r="AM446">
        <v>30.202000000000002</v>
      </c>
      <c r="AN446" s="14">
        <v>0.88346106593342311</v>
      </c>
      <c r="AO446">
        <v>54</v>
      </c>
      <c r="AQ446">
        <v>444</v>
      </c>
      <c r="AR446">
        <v>108.509012</v>
      </c>
      <c r="AS446" s="14">
        <v>0.89058760406985571</v>
      </c>
      <c r="AT446">
        <v>29.981999999999999</v>
      </c>
      <c r="AU446" s="14">
        <v>0.88539113486696397</v>
      </c>
      <c r="AV446">
        <v>54</v>
      </c>
      <c r="AX446">
        <v>444</v>
      </c>
      <c r="AY446">
        <v>110.610344</v>
      </c>
      <c r="AZ446" s="14">
        <v>0.8947422315992577</v>
      </c>
      <c r="BA446">
        <v>30.597999999999999</v>
      </c>
      <c r="BB446" s="14">
        <v>0.89144621838946514</v>
      </c>
      <c r="BC446">
        <v>54</v>
      </c>
    </row>
    <row r="447" spans="15:55" x14ac:dyDescent="0.35">
      <c r="O447">
        <v>445</v>
      </c>
      <c r="P447">
        <v>110.21562400000001</v>
      </c>
      <c r="Q447" s="14">
        <v>0.89840032989278762</v>
      </c>
      <c r="R447">
        <v>30.495999999999999</v>
      </c>
      <c r="S447" s="14">
        <v>0.89868568397477455</v>
      </c>
      <c r="T447">
        <v>54</v>
      </c>
      <c r="V447">
        <v>445</v>
      </c>
      <c r="W447">
        <v>111.301188</v>
      </c>
      <c r="X447" s="14">
        <v>0.90805231392634134</v>
      </c>
      <c r="Y447">
        <v>30.692</v>
      </c>
      <c r="Z447" s="14">
        <v>0.90595666804415842</v>
      </c>
      <c r="AA447">
        <v>54</v>
      </c>
      <c r="AC447">
        <v>445</v>
      </c>
      <c r="AD447">
        <v>110.576453</v>
      </c>
      <c r="AE447" s="14">
        <v>0.91072246698959614</v>
      </c>
      <c r="AF447">
        <v>30.495999999999999</v>
      </c>
      <c r="AG447" s="14">
        <v>0.9078081743220312</v>
      </c>
      <c r="AH447">
        <v>54</v>
      </c>
      <c r="AJ447">
        <v>445</v>
      </c>
      <c r="AK447">
        <v>109.44059</v>
      </c>
      <c r="AL447" s="14">
        <v>0.88925059460187494</v>
      </c>
      <c r="AM447">
        <v>30.207000000000001</v>
      </c>
      <c r="AN447" s="14">
        <v>0.88360732463581582</v>
      </c>
      <c r="AO447">
        <v>54</v>
      </c>
      <c r="AQ447">
        <v>445</v>
      </c>
      <c r="AR447">
        <v>108.448797</v>
      </c>
      <c r="AS447" s="14">
        <v>0.89009338951946371</v>
      </c>
      <c r="AT447">
        <v>29.968</v>
      </c>
      <c r="AU447" s="14">
        <v>0.88497770427900657</v>
      </c>
      <c r="AV447">
        <v>54</v>
      </c>
      <c r="AX447">
        <v>445</v>
      </c>
      <c r="AY447">
        <v>110.5899</v>
      </c>
      <c r="AZ447" s="14">
        <v>0.89457685728143799</v>
      </c>
      <c r="BA447">
        <v>30.591999999999999</v>
      </c>
      <c r="BB447" s="14">
        <v>0.89127141358815987</v>
      </c>
      <c r="BC447">
        <v>54</v>
      </c>
    </row>
    <row r="448" spans="15:55" x14ac:dyDescent="0.35">
      <c r="O448">
        <v>446</v>
      </c>
      <c r="P448">
        <v>110.242538</v>
      </c>
      <c r="Q448" s="14">
        <v>0.89861971391114348</v>
      </c>
      <c r="R448">
        <v>30.5</v>
      </c>
      <c r="S448" s="14">
        <v>0.89880355985147642</v>
      </c>
      <c r="T448">
        <v>54</v>
      </c>
      <c r="V448">
        <v>446</v>
      </c>
      <c r="W448">
        <v>111.289784</v>
      </c>
      <c r="X448" s="14">
        <v>0.90795927423131118</v>
      </c>
      <c r="Y448">
        <v>30.687999999999999</v>
      </c>
      <c r="Z448" s="14">
        <v>0.90583859731979455</v>
      </c>
      <c r="AA448">
        <v>54</v>
      </c>
      <c r="AC448">
        <v>446</v>
      </c>
      <c r="AD448">
        <v>110.546353</v>
      </c>
      <c r="AE448" s="14">
        <v>0.91047455936086807</v>
      </c>
      <c r="AF448">
        <v>30.489000000000001</v>
      </c>
      <c r="AG448" s="14">
        <v>0.90759979757687603</v>
      </c>
      <c r="AH448">
        <v>54</v>
      </c>
      <c r="AJ448">
        <v>446</v>
      </c>
      <c r="AK448">
        <v>109.37464300000001</v>
      </c>
      <c r="AL448" s="14">
        <v>0.88871474762807667</v>
      </c>
      <c r="AM448">
        <v>30.190999999999999</v>
      </c>
      <c r="AN448" s="14">
        <v>0.88313929678815883</v>
      </c>
      <c r="AO448">
        <v>54</v>
      </c>
      <c r="AQ448">
        <v>446</v>
      </c>
      <c r="AR448">
        <v>108.392005</v>
      </c>
      <c r="AS448" s="14">
        <v>0.88962726923804103</v>
      </c>
      <c r="AT448">
        <v>29.954999999999998</v>
      </c>
      <c r="AU448" s="14">
        <v>0.88459380444733182</v>
      </c>
      <c r="AV448">
        <v>54</v>
      </c>
      <c r="AX448">
        <v>446</v>
      </c>
      <c r="AY448">
        <v>110.546361</v>
      </c>
      <c r="AZ448" s="14">
        <v>0.8942246643434828</v>
      </c>
      <c r="BA448">
        <v>30.58</v>
      </c>
      <c r="BB448" s="14">
        <v>0.89092180398554943</v>
      </c>
      <c r="BC448">
        <v>54</v>
      </c>
    </row>
    <row r="449" spans="15:55" x14ac:dyDescent="0.35">
      <c r="O449">
        <v>447</v>
      </c>
      <c r="P449">
        <v>110.233161</v>
      </c>
      <c r="Q449" s="14">
        <v>0.89854327919537758</v>
      </c>
      <c r="R449">
        <v>30.495999999999999</v>
      </c>
      <c r="S449" s="14">
        <v>0.89868568397477455</v>
      </c>
      <c r="T449">
        <v>54</v>
      </c>
      <c r="V449">
        <v>447</v>
      </c>
      <c r="W449">
        <v>111.240694</v>
      </c>
      <c r="X449" s="14">
        <v>0.9075587727731359</v>
      </c>
      <c r="Y449">
        <v>30.675999999999998</v>
      </c>
      <c r="Z449" s="14">
        <v>0.90548438514670282</v>
      </c>
      <c r="AA449">
        <v>54</v>
      </c>
      <c r="AC449">
        <v>447</v>
      </c>
      <c r="AD449">
        <v>110.566311</v>
      </c>
      <c r="AE449" s="14">
        <v>0.91063893612014235</v>
      </c>
      <c r="AF449">
        <v>30.488</v>
      </c>
      <c r="AG449" s="14">
        <v>0.90757002947042531</v>
      </c>
      <c r="AH449">
        <v>54</v>
      </c>
      <c r="AJ449">
        <v>447</v>
      </c>
      <c r="AK449">
        <v>109.31259799999999</v>
      </c>
      <c r="AL449" s="14">
        <v>0.88821060603726387</v>
      </c>
      <c r="AM449">
        <v>30.177</v>
      </c>
      <c r="AN449" s="14">
        <v>0.88272977242145911</v>
      </c>
      <c r="AO449">
        <v>54</v>
      </c>
      <c r="AQ449">
        <v>447</v>
      </c>
      <c r="AR449">
        <v>108.325945</v>
      </c>
      <c r="AS449" s="14">
        <v>0.88908508185617774</v>
      </c>
      <c r="AT449">
        <v>29.940999999999999</v>
      </c>
      <c r="AU449" s="14">
        <v>0.88418037385937454</v>
      </c>
      <c r="AV449">
        <v>54</v>
      </c>
      <c r="AX449">
        <v>447</v>
      </c>
      <c r="AY449">
        <v>110.503978</v>
      </c>
      <c r="AZ449" s="14">
        <v>0.89388182244795555</v>
      </c>
      <c r="BA449">
        <v>30.571000000000002</v>
      </c>
      <c r="BB449" s="14">
        <v>0.89065959678359174</v>
      </c>
      <c r="BC449">
        <v>54</v>
      </c>
    </row>
    <row r="450" spans="15:55" x14ac:dyDescent="0.35">
      <c r="O450">
        <v>448</v>
      </c>
      <c r="P450">
        <v>110.21277499999999</v>
      </c>
      <c r="Q450" s="14">
        <v>0.89837710684648087</v>
      </c>
      <c r="R450">
        <v>30.49</v>
      </c>
      <c r="S450" s="14">
        <v>0.89850887015972181</v>
      </c>
      <c r="T450">
        <v>54</v>
      </c>
      <c r="V450">
        <v>448</v>
      </c>
      <c r="W450">
        <v>111.203692</v>
      </c>
      <c r="X450" s="14">
        <v>0.90725689143364918</v>
      </c>
      <c r="Y450">
        <v>30.667000000000002</v>
      </c>
      <c r="Z450" s="14">
        <v>0.90521872601688413</v>
      </c>
      <c r="AA450">
        <v>54</v>
      </c>
      <c r="AC450">
        <v>448</v>
      </c>
      <c r="AD450">
        <v>110.56357800000001</v>
      </c>
      <c r="AE450" s="14">
        <v>0.91061642676634458</v>
      </c>
      <c r="AF450">
        <v>30.486000000000001</v>
      </c>
      <c r="AG450" s="14">
        <v>0.90751049325752386</v>
      </c>
      <c r="AH450">
        <v>54</v>
      </c>
      <c r="AJ450">
        <v>448</v>
      </c>
      <c r="AK450">
        <v>109.24984600000001</v>
      </c>
      <c r="AL450" s="14">
        <v>0.88770071977557208</v>
      </c>
      <c r="AM450">
        <v>30.163</v>
      </c>
      <c r="AN450" s="14">
        <v>0.88232024805475928</v>
      </c>
      <c r="AO450">
        <v>54</v>
      </c>
      <c r="AQ450">
        <v>448</v>
      </c>
      <c r="AR450">
        <v>108.330237</v>
      </c>
      <c r="AS450" s="14">
        <v>0.88912030844175072</v>
      </c>
      <c r="AT450">
        <v>29.936</v>
      </c>
      <c r="AU450" s="14">
        <v>0.88403272007796119</v>
      </c>
      <c r="AV450">
        <v>54</v>
      </c>
      <c r="AX450">
        <v>448</v>
      </c>
      <c r="AY450">
        <v>110.446172</v>
      </c>
      <c r="AZ450" s="14">
        <v>0.89341422179172925</v>
      </c>
      <c r="BA450">
        <v>30.556000000000001</v>
      </c>
      <c r="BB450" s="14">
        <v>0.89022258478032867</v>
      </c>
      <c r="BC450">
        <v>54</v>
      </c>
    </row>
    <row r="451" spans="15:55" x14ac:dyDescent="0.35">
      <c r="O451">
        <v>449</v>
      </c>
      <c r="P451">
        <v>110.18709</v>
      </c>
      <c r="Q451" s="14">
        <v>0.8981677407726355</v>
      </c>
      <c r="R451">
        <v>30.483000000000001</v>
      </c>
      <c r="S451" s="14">
        <v>0.89830258737549373</v>
      </c>
      <c r="T451">
        <v>54</v>
      </c>
      <c r="V451">
        <v>449</v>
      </c>
      <c r="W451">
        <v>111.117099</v>
      </c>
      <c r="X451" s="14">
        <v>0.90655042122041274</v>
      </c>
      <c r="Y451">
        <v>30.646000000000001</v>
      </c>
      <c r="Z451" s="14">
        <v>0.90459885471397372</v>
      </c>
      <c r="AA451">
        <v>54</v>
      </c>
      <c r="AC451">
        <v>449</v>
      </c>
      <c r="AD451">
        <v>110.51413599999999</v>
      </c>
      <c r="AE451" s="14">
        <v>0.9102092158367906</v>
      </c>
      <c r="AF451">
        <v>30.475000000000001</v>
      </c>
      <c r="AG451" s="14">
        <v>0.90718304408656558</v>
      </c>
      <c r="AH451">
        <v>54</v>
      </c>
      <c r="AJ451">
        <v>449</v>
      </c>
      <c r="AK451">
        <v>109.254274</v>
      </c>
      <c r="AL451" s="14">
        <v>0.88773669912868858</v>
      </c>
      <c r="AM451">
        <v>30.158999999999999</v>
      </c>
      <c r="AN451" s="14">
        <v>0.88220324109284498</v>
      </c>
      <c r="AO451">
        <v>54</v>
      </c>
      <c r="AQ451">
        <v>449</v>
      </c>
      <c r="AR451">
        <v>108.330715</v>
      </c>
      <c r="AS451" s="14">
        <v>0.88912423162625775</v>
      </c>
      <c r="AT451">
        <v>29.936</v>
      </c>
      <c r="AU451" s="14">
        <v>0.88403272007796119</v>
      </c>
      <c r="AV451">
        <v>54</v>
      </c>
      <c r="AX451">
        <v>449</v>
      </c>
      <c r="AY451">
        <v>110.179677</v>
      </c>
      <c r="AZ451" s="14">
        <v>0.89125850721398547</v>
      </c>
      <c r="BA451">
        <v>30.504000000000001</v>
      </c>
      <c r="BB451" s="14">
        <v>0.88870760983568353</v>
      </c>
      <c r="BC451">
        <v>54</v>
      </c>
    </row>
    <row r="452" spans="15:55" x14ac:dyDescent="0.35">
      <c r="O452">
        <v>450</v>
      </c>
      <c r="P452">
        <v>110.16333899999999</v>
      </c>
      <c r="Q452" s="14">
        <v>0.89797413930797132</v>
      </c>
      <c r="R452">
        <v>30.477</v>
      </c>
      <c r="S452" s="14">
        <v>0.89812577356044088</v>
      </c>
      <c r="T452">
        <v>54</v>
      </c>
      <c r="V452">
        <v>450</v>
      </c>
      <c r="W452">
        <v>110.846752</v>
      </c>
      <c r="X452" s="14">
        <v>0.90434479140347812</v>
      </c>
      <c r="Y452">
        <v>30.594000000000001</v>
      </c>
      <c r="Z452" s="14">
        <v>0.90306393529724305</v>
      </c>
      <c r="AA452">
        <v>54</v>
      </c>
      <c r="AC452">
        <v>450</v>
      </c>
      <c r="AD452">
        <v>110.46742999999999</v>
      </c>
      <c r="AE452" s="14">
        <v>0.90982453896943605</v>
      </c>
      <c r="AF452">
        <v>30.463999999999999</v>
      </c>
      <c r="AG452" s="14">
        <v>0.9068555949156073</v>
      </c>
      <c r="AH452">
        <v>54</v>
      </c>
      <c r="AJ452">
        <v>450</v>
      </c>
      <c r="AK452">
        <v>109.256685</v>
      </c>
      <c r="AL452" s="14">
        <v>0.88775628951269137</v>
      </c>
      <c r="AM452">
        <v>30.158000000000001</v>
      </c>
      <c r="AN452" s="14">
        <v>0.88217398935236646</v>
      </c>
      <c r="AO452">
        <v>54</v>
      </c>
      <c r="AQ452">
        <v>450</v>
      </c>
      <c r="AR452">
        <v>108.28165199999999</v>
      </c>
      <c r="AS452" s="14">
        <v>0.88872154710436313</v>
      </c>
      <c r="AT452">
        <v>29.922000000000001</v>
      </c>
      <c r="AU452" s="14">
        <v>0.8836192894900039</v>
      </c>
      <c r="AV452">
        <v>54</v>
      </c>
      <c r="AX452">
        <v>450</v>
      </c>
      <c r="AY452">
        <v>110.082027</v>
      </c>
      <c r="AZ452" s="14">
        <v>0.89046860298119812</v>
      </c>
      <c r="BA452">
        <v>30.484000000000002</v>
      </c>
      <c r="BB452" s="14">
        <v>0.88812492716466618</v>
      </c>
      <c r="BC452">
        <v>54</v>
      </c>
    </row>
    <row r="453" spans="15:55" x14ac:dyDescent="0.35">
      <c r="O453">
        <v>451</v>
      </c>
      <c r="P453">
        <v>110.319856</v>
      </c>
      <c r="Q453" s="14">
        <v>0.89924995592389712</v>
      </c>
      <c r="R453">
        <v>30.501999999999999</v>
      </c>
      <c r="S453" s="14">
        <v>0.8988624977898273</v>
      </c>
      <c r="T453">
        <v>26</v>
      </c>
      <c r="V453">
        <v>451</v>
      </c>
      <c r="W453">
        <v>110.411554</v>
      </c>
      <c r="X453" s="14">
        <v>0.90079422237526507</v>
      </c>
      <c r="Y453">
        <v>30.503</v>
      </c>
      <c r="Z453" s="14">
        <v>0.90037782631796448</v>
      </c>
      <c r="AA453">
        <v>26</v>
      </c>
      <c r="AC453">
        <v>451</v>
      </c>
      <c r="AD453">
        <v>109.692992</v>
      </c>
      <c r="AE453" s="14">
        <v>0.90344616394694843</v>
      </c>
      <c r="AF453">
        <v>30.306999999999999</v>
      </c>
      <c r="AG453" s="14">
        <v>0.90218200220283973</v>
      </c>
      <c r="AH453">
        <v>26</v>
      </c>
      <c r="AJ453">
        <v>451</v>
      </c>
      <c r="AK453">
        <v>108.942224</v>
      </c>
      <c r="AL453" s="14">
        <v>0.88520116228586354</v>
      </c>
      <c r="AM453">
        <v>30.09</v>
      </c>
      <c r="AN453" s="14">
        <v>0.88018487099982445</v>
      </c>
      <c r="AO453">
        <v>26</v>
      </c>
      <c r="AQ453">
        <v>451</v>
      </c>
      <c r="AR453">
        <v>108.025792</v>
      </c>
      <c r="AS453" s="14">
        <v>0.88662157641826644</v>
      </c>
      <c r="AT453">
        <v>29.866</v>
      </c>
      <c r="AU453" s="14">
        <v>0.88196556713817442</v>
      </c>
      <c r="AV453">
        <v>26</v>
      </c>
      <c r="AX453">
        <v>451</v>
      </c>
      <c r="AY453">
        <v>109.686944</v>
      </c>
      <c r="AZ453" s="14">
        <v>0.88727272244866007</v>
      </c>
      <c r="BA453">
        <v>30.398</v>
      </c>
      <c r="BB453" s="14">
        <v>0.88561939167929149</v>
      </c>
      <c r="BC453">
        <v>26</v>
      </c>
    </row>
    <row r="454" spans="15:55" x14ac:dyDescent="0.35">
      <c r="O454">
        <v>452</v>
      </c>
      <c r="P454">
        <v>110.471695</v>
      </c>
      <c r="Q454" s="14">
        <v>0.90048764077056265</v>
      </c>
      <c r="R454">
        <v>30.53</v>
      </c>
      <c r="S454" s="14">
        <v>0.89968762892674026</v>
      </c>
      <c r="T454">
        <v>26</v>
      </c>
      <c r="V454">
        <v>452</v>
      </c>
      <c r="W454">
        <v>110.54694499999999</v>
      </c>
      <c r="X454" s="14">
        <v>0.90189881176055353</v>
      </c>
      <c r="Y454">
        <v>30.526</v>
      </c>
      <c r="Z454" s="14">
        <v>0.90105673298305689</v>
      </c>
      <c r="AA454">
        <v>26</v>
      </c>
      <c r="AC454">
        <v>452</v>
      </c>
      <c r="AD454">
        <v>109.81655600000001</v>
      </c>
      <c r="AE454" s="14">
        <v>0.90446385358934545</v>
      </c>
      <c r="AF454">
        <v>30.327999999999999</v>
      </c>
      <c r="AG454" s="14">
        <v>0.90280713243830546</v>
      </c>
      <c r="AH454">
        <v>26</v>
      </c>
      <c r="AJ454">
        <v>452</v>
      </c>
      <c r="AK454">
        <v>109.08917</v>
      </c>
      <c r="AL454" s="14">
        <v>0.88639516003271746</v>
      </c>
      <c r="AM454">
        <v>30.113</v>
      </c>
      <c r="AN454" s="14">
        <v>0.8808576610308313</v>
      </c>
      <c r="AO454">
        <v>26</v>
      </c>
      <c r="AQ454">
        <v>452</v>
      </c>
      <c r="AR454">
        <v>108.01573399999999</v>
      </c>
      <c r="AS454" s="14">
        <v>0.8865390253936406</v>
      </c>
      <c r="AT454">
        <v>29.86</v>
      </c>
      <c r="AU454" s="14">
        <v>0.88178838260047843</v>
      </c>
      <c r="AV454">
        <v>26</v>
      </c>
      <c r="AX454">
        <v>452</v>
      </c>
      <c r="AY454">
        <v>109.851491</v>
      </c>
      <c r="AZ454" s="14">
        <v>0.88860376568258193</v>
      </c>
      <c r="BA454">
        <v>30.425999999999998</v>
      </c>
      <c r="BB454" s="14">
        <v>0.88643514741871576</v>
      </c>
      <c r="BC454">
        <v>26</v>
      </c>
    </row>
    <row r="455" spans="15:55" x14ac:dyDescent="0.35">
      <c r="O455">
        <v>453</v>
      </c>
      <c r="P455">
        <v>110.420428</v>
      </c>
      <c r="Q455" s="14">
        <v>0.90006974820650465</v>
      </c>
      <c r="R455">
        <v>30.516999999999999</v>
      </c>
      <c r="S455" s="14">
        <v>0.89930453232745922</v>
      </c>
      <c r="T455">
        <v>26</v>
      </c>
      <c r="V455">
        <v>453</v>
      </c>
      <c r="W455">
        <v>110.554367</v>
      </c>
      <c r="X455" s="14">
        <v>0.90195936425235601</v>
      </c>
      <c r="Y455">
        <v>30.524999999999999</v>
      </c>
      <c r="Z455" s="14">
        <v>0.90102721530196583</v>
      </c>
      <c r="AA455">
        <v>26</v>
      </c>
      <c r="AC455">
        <v>453</v>
      </c>
      <c r="AD455">
        <v>109.80435199999999</v>
      </c>
      <c r="AE455" s="14">
        <v>0.90436333981190364</v>
      </c>
      <c r="AF455">
        <v>30.323</v>
      </c>
      <c r="AG455" s="14">
        <v>0.90265829190605174</v>
      </c>
      <c r="AH455">
        <v>26</v>
      </c>
      <c r="AJ455">
        <v>453</v>
      </c>
      <c r="AK455">
        <v>108.873205</v>
      </c>
      <c r="AL455" s="14">
        <v>0.88464035402643415</v>
      </c>
      <c r="AM455">
        <v>30.068999999999999</v>
      </c>
      <c r="AN455" s="14">
        <v>0.87957058444977476</v>
      </c>
      <c r="AO455">
        <v>26</v>
      </c>
      <c r="AQ455">
        <v>453</v>
      </c>
      <c r="AR455">
        <v>107.775097</v>
      </c>
      <c r="AS455" s="14">
        <v>0.88456399746434244</v>
      </c>
      <c r="AT455">
        <v>29.814</v>
      </c>
      <c r="AU455" s="14">
        <v>0.88042996781147564</v>
      </c>
      <c r="AV455">
        <v>26</v>
      </c>
      <c r="AX455">
        <v>453</v>
      </c>
      <c r="AY455">
        <v>109.90621</v>
      </c>
      <c r="AZ455" s="14">
        <v>0.88904639517273953</v>
      </c>
      <c r="BA455">
        <v>30.431999999999999</v>
      </c>
      <c r="BB455" s="14">
        <v>0.88660995222002104</v>
      </c>
      <c r="BC455">
        <v>26</v>
      </c>
    </row>
    <row r="456" spans="15:55" x14ac:dyDescent="0.35">
      <c r="O456">
        <v>454</v>
      </c>
      <c r="P456">
        <v>110.380456</v>
      </c>
      <c r="Q456" s="14">
        <v>0.89974392454663521</v>
      </c>
      <c r="R456">
        <v>30.507999999999999</v>
      </c>
      <c r="S456" s="14">
        <v>0.89903931160488015</v>
      </c>
      <c r="T456">
        <v>26</v>
      </c>
      <c r="V456">
        <v>454</v>
      </c>
      <c r="W456">
        <v>110.592206</v>
      </c>
      <c r="X456" s="14">
        <v>0.90226807426816158</v>
      </c>
      <c r="Y456">
        <v>30.530999999999999</v>
      </c>
      <c r="Z456" s="14">
        <v>0.9012043213885117</v>
      </c>
      <c r="AA456">
        <v>26</v>
      </c>
      <c r="AC456">
        <v>454</v>
      </c>
      <c r="AD456">
        <v>109.770653</v>
      </c>
      <c r="AE456" s="14">
        <v>0.90408579033746828</v>
      </c>
      <c r="AF456">
        <v>30.315000000000001</v>
      </c>
      <c r="AG456" s="14">
        <v>0.90242014705444584</v>
      </c>
      <c r="AH456">
        <v>26</v>
      </c>
      <c r="AJ456">
        <v>454</v>
      </c>
      <c r="AK456">
        <v>108.65339299999999</v>
      </c>
      <c r="AL456" s="14">
        <v>0.88285428953518252</v>
      </c>
      <c r="AM456">
        <v>30.027000000000001</v>
      </c>
      <c r="AN456" s="14">
        <v>0.87834201134967538</v>
      </c>
      <c r="AO456">
        <v>26</v>
      </c>
      <c r="AQ456">
        <v>454</v>
      </c>
      <c r="AR456">
        <v>107.69266399999999</v>
      </c>
      <c r="AS456" s="14">
        <v>0.88388742870186676</v>
      </c>
      <c r="AT456">
        <v>29.795000000000002</v>
      </c>
      <c r="AU456" s="14">
        <v>0.87986888344210501</v>
      </c>
      <c r="AV456">
        <v>26</v>
      </c>
      <c r="AX456">
        <v>454</v>
      </c>
      <c r="AY456">
        <v>110.018924</v>
      </c>
      <c r="AZ456" s="14">
        <v>0.88995815416602575</v>
      </c>
      <c r="BA456">
        <v>30.452000000000002</v>
      </c>
      <c r="BB456" s="14">
        <v>0.88719263489103839</v>
      </c>
      <c r="BC456">
        <v>26</v>
      </c>
    </row>
    <row r="457" spans="15:55" x14ac:dyDescent="0.35">
      <c r="O457">
        <v>455</v>
      </c>
      <c r="P457">
        <v>110.4135</v>
      </c>
      <c r="Q457" s="14">
        <v>0.90001327601808345</v>
      </c>
      <c r="R457">
        <v>30.512</v>
      </c>
      <c r="S457" s="14">
        <v>0.89915718748158202</v>
      </c>
      <c r="T457">
        <v>26</v>
      </c>
      <c r="V457">
        <v>455</v>
      </c>
      <c r="W457">
        <v>110.745097</v>
      </c>
      <c r="X457" s="14">
        <v>0.90351543765055875</v>
      </c>
      <c r="Y457">
        <v>30.556999999999999</v>
      </c>
      <c r="Z457" s="14">
        <v>0.90197178109687703</v>
      </c>
      <c r="AA457">
        <v>26</v>
      </c>
      <c r="AC457">
        <v>455</v>
      </c>
      <c r="AD457">
        <v>109.764133</v>
      </c>
      <c r="AE457" s="14">
        <v>0.90403209074480029</v>
      </c>
      <c r="AF457">
        <v>30.312000000000001</v>
      </c>
      <c r="AG457" s="14">
        <v>0.90233084273509356</v>
      </c>
      <c r="AH457">
        <v>26</v>
      </c>
      <c r="AJ457">
        <v>455</v>
      </c>
      <c r="AK457">
        <v>108.556123</v>
      </c>
      <c r="AL457" s="14">
        <v>0.88206393007771866</v>
      </c>
      <c r="AM457">
        <v>30.004000000000001</v>
      </c>
      <c r="AN457" s="14">
        <v>0.87766922131866854</v>
      </c>
      <c r="AO457">
        <v>26</v>
      </c>
      <c r="AQ457">
        <v>455</v>
      </c>
      <c r="AR457">
        <v>107.55062100000001</v>
      </c>
      <c r="AS457" s="14">
        <v>0.8827216109258752</v>
      </c>
      <c r="AT457">
        <v>29.766999999999999</v>
      </c>
      <c r="AU457" s="14">
        <v>0.87904202226619021</v>
      </c>
      <c r="AV457">
        <v>26</v>
      </c>
      <c r="AX457">
        <v>455</v>
      </c>
      <c r="AY457">
        <v>110.042872</v>
      </c>
      <c r="AZ457" s="14">
        <v>0.89015187282006358</v>
      </c>
      <c r="BA457">
        <v>30.452999999999999</v>
      </c>
      <c r="BB457" s="14">
        <v>0.88722176902458927</v>
      </c>
      <c r="BC457">
        <v>26</v>
      </c>
    </row>
    <row r="458" spans="15:55" x14ac:dyDescent="0.35">
      <c r="O458">
        <v>456</v>
      </c>
      <c r="P458">
        <v>110.435363</v>
      </c>
      <c r="Q458" s="14">
        <v>0.90019148783324709</v>
      </c>
      <c r="R458">
        <v>30.513999999999999</v>
      </c>
      <c r="S458" s="14">
        <v>0.8992161254199329</v>
      </c>
      <c r="T458">
        <v>26</v>
      </c>
      <c r="V458">
        <v>456</v>
      </c>
      <c r="W458">
        <v>110.76875099999999</v>
      </c>
      <c r="X458" s="14">
        <v>0.90370841914356503</v>
      </c>
      <c r="Y458">
        <v>30.56</v>
      </c>
      <c r="Z458" s="14">
        <v>0.90206033414014986</v>
      </c>
      <c r="AA458">
        <v>26</v>
      </c>
      <c r="AC458">
        <v>456</v>
      </c>
      <c r="AD458">
        <v>109.82178</v>
      </c>
      <c r="AE458" s="14">
        <v>0.90450687915255068</v>
      </c>
      <c r="AF458">
        <v>30.318999999999999</v>
      </c>
      <c r="AG458" s="14">
        <v>0.90253921948024873</v>
      </c>
      <c r="AH458">
        <v>26</v>
      </c>
      <c r="AJ458">
        <v>456</v>
      </c>
      <c r="AK458">
        <v>108.404132</v>
      </c>
      <c r="AL458" s="14">
        <v>0.8808289395945339</v>
      </c>
      <c r="AM458">
        <v>29.974</v>
      </c>
      <c r="AN458" s="14">
        <v>0.87679166910431172</v>
      </c>
      <c r="AO458">
        <v>26</v>
      </c>
      <c r="AQ458">
        <v>456</v>
      </c>
      <c r="AR458">
        <v>107.480017</v>
      </c>
      <c r="AS458" s="14">
        <v>0.88214212866869868</v>
      </c>
      <c r="AT458">
        <v>29.75</v>
      </c>
      <c r="AU458" s="14">
        <v>0.87853999940938488</v>
      </c>
      <c r="AV458">
        <v>26</v>
      </c>
      <c r="AX458">
        <v>456</v>
      </c>
      <c r="AY458">
        <v>110.02484200000001</v>
      </c>
      <c r="AZ458" s="14">
        <v>0.89000602567907894</v>
      </c>
      <c r="BA458">
        <v>30.446000000000002</v>
      </c>
      <c r="BB458" s="14">
        <v>0.88701783008973323</v>
      </c>
      <c r="BC458">
        <v>26</v>
      </c>
    </row>
    <row r="459" spans="15:55" x14ac:dyDescent="0.35">
      <c r="O459">
        <v>457</v>
      </c>
      <c r="P459">
        <v>110.39946399999999</v>
      </c>
      <c r="Q459" s="14">
        <v>0.89989886440770794</v>
      </c>
      <c r="R459">
        <v>30.506</v>
      </c>
      <c r="S459" s="14">
        <v>0.89898037366652916</v>
      </c>
      <c r="T459">
        <v>26</v>
      </c>
      <c r="V459">
        <v>457</v>
      </c>
      <c r="W459">
        <v>110.74096</v>
      </c>
      <c r="X459" s="14">
        <v>0.90348168587764233</v>
      </c>
      <c r="Y459">
        <v>30.552</v>
      </c>
      <c r="Z459" s="14">
        <v>0.90182419269142211</v>
      </c>
      <c r="AA459">
        <v>26</v>
      </c>
      <c r="AC459">
        <v>457</v>
      </c>
      <c r="AD459">
        <v>109.968934</v>
      </c>
      <c r="AE459" s="14">
        <v>0.90571885919234618</v>
      </c>
      <c r="AF459">
        <v>30.344999999999999</v>
      </c>
      <c r="AG459" s="14">
        <v>0.90331319024796819</v>
      </c>
      <c r="AH459">
        <v>26</v>
      </c>
      <c r="AJ459">
        <v>457</v>
      </c>
      <c r="AK459">
        <v>108.336872</v>
      </c>
      <c r="AL459" s="14">
        <v>0.88028242394624534</v>
      </c>
      <c r="AM459">
        <v>29.957999999999998</v>
      </c>
      <c r="AN459" s="14">
        <v>0.87632364125665474</v>
      </c>
      <c r="AO459">
        <v>26</v>
      </c>
      <c r="AQ459">
        <v>457</v>
      </c>
      <c r="AR459">
        <v>107.468622</v>
      </c>
      <c r="AS459" s="14">
        <v>0.88204860421795184</v>
      </c>
      <c r="AT459">
        <v>29.744</v>
      </c>
      <c r="AU459" s="14">
        <v>0.87836281487168888</v>
      </c>
      <c r="AV459">
        <v>26</v>
      </c>
      <c r="AX459">
        <v>457</v>
      </c>
      <c r="AY459">
        <v>109.989723</v>
      </c>
      <c r="AZ459" s="14">
        <v>0.88972194327507204</v>
      </c>
      <c r="BA459">
        <v>30.439</v>
      </c>
      <c r="BB459" s="14">
        <v>0.88681389115487708</v>
      </c>
      <c r="BC459">
        <v>26</v>
      </c>
    </row>
    <row r="460" spans="15:55" x14ac:dyDescent="0.35">
      <c r="O460">
        <v>458</v>
      </c>
      <c r="P460">
        <v>110.354721</v>
      </c>
      <c r="Q460" s="14">
        <v>0.89953415090791966</v>
      </c>
      <c r="R460">
        <v>30.495000000000001</v>
      </c>
      <c r="S460" s="14">
        <v>0.89865621500559922</v>
      </c>
      <c r="T460">
        <v>26</v>
      </c>
      <c r="V460">
        <v>458</v>
      </c>
      <c r="W460">
        <v>110.738243</v>
      </c>
      <c r="X460" s="14">
        <v>0.90345951919477685</v>
      </c>
      <c r="Y460">
        <v>30.548999999999999</v>
      </c>
      <c r="Z460" s="14">
        <v>0.90173563964814918</v>
      </c>
      <c r="AA460">
        <v>26</v>
      </c>
      <c r="AC460">
        <v>458</v>
      </c>
      <c r="AD460">
        <v>110.019694</v>
      </c>
      <c r="AE460" s="14">
        <v>0.90613692534630741</v>
      </c>
      <c r="AF460">
        <v>30.353000000000002</v>
      </c>
      <c r="AG460" s="14">
        <v>0.9035513350995743</v>
      </c>
      <c r="AH460">
        <v>26</v>
      </c>
      <c r="AJ460">
        <v>458</v>
      </c>
      <c r="AK460">
        <v>108.214241</v>
      </c>
      <c r="AL460" s="14">
        <v>0.87928599575021116</v>
      </c>
      <c r="AM460">
        <v>29.92</v>
      </c>
      <c r="AN460" s="14">
        <v>0.87521207511846955</v>
      </c>
      <c r="AO460">
        <v>26</v>
      </c>
      <c r="AQ460">
        <v>458</v>
      </c>
      <c r="AR460">
        <v>107.47626200000001</v>
      </c>
      <c r="AS460" s="14">
        <v>0.88211130951007177</v>
      </c>
      <c r="AT460">
        <v>29.744</v>
      </c>
      <c r="AU460" s="14">
        <v>0.87836281487168888</v>
      </c>
      <c r="AV460">
        <v>26</v>
      </c>
      <c r="AX460">
        <v>458</v>
      </c>
      <c r="AY460">
        <v>109.995785</v>
      </c>
      <c r="AZ460" s="14">
        <v>0.8897709796238602</v>
      </c>
      <c r="BA460">
        <v>30.437000000000001</v>
      </c>
      <c r="BB460" s="14">
        <v>0.88675562288777543</v>
      </c>
      <c r="BC460">
        <v>26</v>
      </c>
    </row>
    <row r="461" spans="15:55" x14ac:dyDescent="0.35">
      <c r="O461">
        <v>459</v>
      </c>
      <c r="P461">
        <v>110.301134</v>
      </c>
      <c r="Q461" s="14">
        <v>0.89909734733388225</v>
      </c>
      <c r="R461">
        <v>30.481999999999999</v>
      </c>
      <c r="S461" s="14">
        <v>0.89827311840631818</v>
      </c>
      <c r="T461">
        <v>26</v>
      </c>
      <c r="V461">
        <v>459</v>
      </c>
      <c r="W461">
        <v>110.745244</v>
      </c>
      <c r="X461" s="14">
        <v>0.90351663695213447</v>
      </c>
      <c r="Y461">
        <v>30.548999999999999</v>
      </c>
      <c r="Z461" s="14">
        <v>0.90173563964814918</v>
      </c>
      <c r="AA461">
        <v>26</v>
      </c>
      <c r="AC461">
        <v>459</v>
      </c>
      <c r="AD461">
        <v>109.99005099999999</v>
      </c>
      <c r="AE461" s="14">
        <v>0.90589278163074638</v>
      </c>
      <c r="AF461">
        <v>30.344999999999999</v>
      </c>
      <c r="AG461" s="14">
        <v>0.90331319024796819</v>
      </c>
      <c r="AH461">
        <v>26</v>
      </c>
      <c r="AJ461">
        <v>459</v>
      </c>
      <c r="AK461">
        <v>108.33141500000001</v>
      </c>
      <c r="AL461" s="14">
        <v>0.88023808353749267</v>
      </c>
      <c r="AM461">
        <v>29.946000000000002</v>
      </c>
      <c r="AN461" s="14">
        <v>0.87597262037091217</v>
      </c>
      <c r="AO461">
        <v>26</v>
      </c>
      <c r="AQ461">
        <v>459</v>
      </c>
      <c r="AR461">
        <v>107.463499</v>
      </c>
      <c r="AS461" s="14">
        <v>0.88200655720073595</v>
      </c>
      <c r="AT461">
        <v>29.738</v>
      </c>
      <c r="AU461" s="14">
        <v>0.87818563033399288</v>
      </c>
      <c r="AV461">
        <v>26</v>
      </c>
      <c r="AX461">
        <v>459</v>
      </c>
      <c r="AY461">
        <v>110.004097</v>
      </c>
      <c r="AZ461" s="14">
        <v>0.88983821653100748</v>
      </c>
      <c r="BA461">
        <v>30.437000000000001</v>
      </c>
      <c r="BB461" s="14">
        <v>0.88675562288777543</v>
      </c>
      <c r="BC461">
        <v>26</v>
      </c>
    </row>
    <row r="462" spans="15:55" x14ac:dyDescent="0.35">
      <c r="O462">
        <v>460</v>
      </c>
      <c r="P462">
        <v>110.324572</v>
      </c>
      <c r="Q462" s="14">
        <v>0.8992883974424587</v>
      </c>
      <c r="R462">
        <v>30.484999999999999</v>
      </c>
      <c r="S462" s="14">
        <v>0.89836152531384461</v>
      </c>
      <c r="T462">
        <v>26</v>
      </c>
      <c r="V462">
        <v>460</v>
      </c>
      <c r="W462">
        <v>110.752144</v>
      </c>
      <c r="X462" s="14">
        <v>0.9035729306995659</v>
      </c>
      <c r="Y462">
        <v>30.547000000000001</v>
      </c>
      <c r="Z462" s="14">
        <v>0.9016766042859673</v>
      </c>
      <c r="AA462">
        <v>26</v>
      </c>
      <c r="AC462">
        <v>460</v>
      </c>
      <c r="AD462">
        <v>109.977819</v>
      </c>
      <c r="AE462" s="14">
        <v>0.90579203724155699</v>
      </c>
      <c r="AF462">
        <v>30.341000000000001</v>
      </c>
      <c r="AG462" s="14">
        <v>0.9031941178221653</v>
      </c>
      <c r="AH462">
        <v>26</v>
      </c>
      <c r="AJ462">
        <v>460</v>
      </c>
      <c r="AK462">
        <v>108.324265</v>
      </c>
      <c r="AL462" s="14">
        <v>0.88017998679521992</v>
      </c>
      <c r="AM462">
        <v>29.943999999999999</v>
      </c>
      <c r="AN462" s="14">
        <v>0.87591411688995491</v>
      </c>
      <c r="AO462">
        <v>26</v>
      </c>
      <c r="AQ462">
        <v>460</v>
      </c>
      <c r="AR462">
        <v>107.435732</v>
      </c>
      <c r="AS462" s="14">
        <v>0.88177865957687585</v>
      </c>
      <c r="AT462">
        <v>29.731000000000002</v>
      </c>
      <c r="AU462" s="14">
        <v>0.87797891504001424</v>
      </c>
      <c r="AV462">
        <v>26</v>
      </c>
      <c r="AX462">
        <v>460</v>
      </c>
      <c r="AY462">
        <v>109.97626700000001</v>
      </c>
      <c r="AZ462" s="14">
        <v>0.88961309584694737</v>
      </c>
      <c r="BA462">
        <v>30.428000000000001</v>
      </c>
      <c r="BB462" s="14">
        <v>0.88649341568581763</v>
      </c>
      <c r="BC462">
        <v>26</v>
      </c>
    </row>
    <row r="463" spans="15:55" x14ac:dyDescent="0.35">
      <c r="O463">
        <v>461</v>
      </c>
      <c r="P463">
        <v>110.360209</v>
      </c>
      <c r="Q463" s="14">
        <v>0.89957888522807783</v>
      </c>
      <c r="R463">
        <v>30.49</v>
      </c>
      <c r="S463" s="14">
        <v>0.89850887015972181</v>
      </c>
      <c r="T463">
        <v>26</v>
      </c>
      <c r="V463">
        <v>461</v>
      </c>
      <c r="W463">
        <v>110.728759</v>
      </c>
      <c r="X463" s="14">
        <v>0.903382143846858</v>
      </c>
      <c r="Y463">
        <v>30.541</v>
      </c>
      <c r="Z463" s="14">
        <v>0.90149949819942143</v>
      </c>
      <c r="AA463">
        <v>26</v>
      </c>
      <c r="AC463">
        <v>461</v>
      </c>
      <c r="AD463">
        <v>109.988865</v>
      </c>
      <c r="AE463" s="14">
        <v>0.90588301357600653</v>
      </c>
      <c r="AF463">
        <v>30.341000000000001</v>
      </c>
      <c r="AG463" s="14">
        <v>0.9031941178221653</v>
      </c>
      <c r="AH463">
        <v>26</v>
      </c>
      <c r="AJ463">
        <v>461</v>
      </c>
      <c r="AK463">
        <v>108.287485</v>
      </c>
      <c r="AL463" s="14">
        <v>0.87988113390280176</v>
      </c>
      <c r="AM463">
        <v>29.933</v>
      </c>
      <c r="AN463" s="14">
        <v>0.87559234774469086</v>
      </c>
      <c r="AO463">
        <v>26</v>
      </c>
      <c r="AQ463">
        <v>461</v>
      </c>
      <c r="AR463">
        <v>107.394519</v>
      </c>
      <c r="AS463" s="14">
        <v>0.88144040392188439</v>
      </c>
      <c r="AT463">
        <v>29.72</v>
      </c>
      <c r="AU463" s="14">
        <v>0.87765407672090479</v>
      </c>
      <c r="AV463">
        <v>26</v>
      </c>
      <c r="AX463">
        <v>461</v>
      </c>
      <c r="AY463">
        <v>109.923524</v>
      </c>
      <c r="AZ463" s="14">
        <v>0.8891864504915975</v>
      </c>
      <c r="BA463">
        <v>30.416</v>
      </c>
      <c r="BB463" s="14">
        <v>0.8861438060832072</v>
      </c>
      <c r="BC463">
        <v>26</v>
      </c>
    </row>
    <row r="464" spans="15:55" x14ac:dyDescent="0.35">
      <c r="O464">
        <v>462</v>
      </c>
      <c r="P464">
        <v>110.322782</v>
      </c>
      <c r="Q464" s="14">
        <v>0.89927380662010392</v>
      </c>
      <c r="R464">
        <v>30.48</v>
      </c>
      <c r="S464" s="14">
        <v>0.8982141804679673</v>
      </c>
      <c r="T464">
        <v>26</v>
      </c>
      <c r="V464">
        <v>462</v>
      </c>
      <c r="W464">
        <v>110.676137</v>
      </c>
      <c r="X464" s="14">
        <v>0.90295282651680908</v>
      </c>
      <c r="Y464">
        <v>30.529</v>
      </c>
      <c r="Z464" s="14">
        <v>0.90114528602632982</v>
      </c>
      <c r="AA464">
        <v>26</v>
      </c>
      <c r="AC464">
        <v>462</v>
      </c>
      <c r="AD464">
        <v>110.000452</v>
      </c>
      <c r="AE464" s="14">
        <v>0.90597844565886598</v>
      </c>
      <c r="AF464">
        <v>30.34</v>
      </c>
      <c r="AG464" s="14">
        <v>0.90316434971571447</v>
      </c>
      <c r="AH464">
        <v>26</v>
      </c>
      <c r="AJ464">
        <v>462</v>
      </c>
      <c r="AK464">
        <v>108.252208</v>
      </c>
      <c r="AL464" s="14">
        <v>0.87959449351438845</v>
      </c>
      <c r="AM464">
        <v>29.923999999999999</v>
      </c>
      <c r="AN464" s="14">
        <v>0.87532908208038374</v>
      </c>
      <c r="AO464">
        <v>26</v>
      </c>
      <c r="AQ464">
        <v>462</v>
      </c>
      <c r="AR464">
        <v>107.38513</v>
      </c>
      <c r="AS464" s="14">
        <v>0.88136334371406855</v>
      </c>
      <c r="AT464">
        <v>29.716999999999999</v>
      </c>
      <c r="AU464" s="14">
        <v>0.87756548445205684</v>
      </c>
      <c r="AV464">
        <v>26</v>
      </c>
      <c r="AX464">
        <v>462</v>
      </c>
      <c r="AY464">
        <v>109.899175</v>
      </c>
      <c r="AZ464" s="14">
        <v>0.88898948809360323</v>
      </c>
      <c r="BA464">
        <v>30.408999999999999</v>
      </c>
      <c r="BB464" s="14">
        <v>0.88593986714835105</v>
      </c>
      <c r="BC464">
        <v>26</v>
      </c>
    </row>
    <row r="465" spans="15:55" x14ac:dyDescent="0.35">
      <c r="O465">
        <v>463</v>
      </c>
      <c r="P465">
        <v>110.254983</v>
      </c>
      <c r="Q465" s="14">
        <v>0.89872115680734777</v>
      </c>
      <c r="R465">
        <v>30.465</v>
      </c>
      <c r="S465" s="14">
        <v>0.89777214593033539</v>
      </c>
      <c r="T465">
        <v>26</v>
      </c>
      <c r="V465">
        <v>463</v>
      </c>
      <c r="W465">
        <v>110.660709</v>
      </c>
      <c r="X465" s="14">
        <v>0.90282695696095805</v>
      </c>
      <c r="Y465">
        <v>30.523</v>
      </c>
      <c r="Z465" s="14">
        <v>0.90096817993978395</v>
      </c>
      <c r="AA465">
        <v>26</v>
      </c>
      <c r="AC465">
        <v>463</v>
      </c>
      <c r="AD465">
        <v>109.985574</v>
      </c>
      <c r="AE465" s="14">
        <v>0.90585590845952335</v>
      </c>
      <c r="AF465">
        <v>30.334</v>
      </c>
      <c r="AG465" s="14">
        <v>0.90298574107701002</v>
      </c>
      <c r="AH465">
        <v>26</v>
      </c>
      <c r="AJ465">
        <v>463</v>
      </c>
      <c r="AK465">
        <v>108.253427</v>
      </c>
      <c r="AL465" s="14">
        <v>0.87960439839953963</v>
      </c>
      <c r="AM465">
        <v>29.920999999999999</v>
      </c>
      <c r="AN465" s="14">
        <v>0.87524132685894807</v>
      </c>
      <c r="AO465">
        <v>26</v>
      </c>
      <c r="AQ465">
        <v>463</v>
      </c>
      <c r="AR465">
        <v>107.42200800000001</v>
      </c>
      <c r="AS465" s="14">
        <v>0.88166601986103132</v>
      </c>
      <c r="AT465">
        <v>29.72</v>
      </c>
      <c r="AU465" s="14">
        <v>0.87765407672090479</v>
      </c>
      <c r="AV465">
        <v>26</v>
      </c>
      <c r="AX465">
        <v>463</v>
      </c>
      <c r="AY465">
        <v>109.922449</v>
      </c>
      <c r="AZ465" s="14">
        <v>0.8891777546692704</v>
      </c>
      <c r="BA465">
        <v>30.411000000000001</v>
      </c>
      <c r="BB465" s="14">
        <v>0.8859981354154528</v>
      </c>
      <c r="BC465">
        <v>26</v>
      </c>
    </row>
    <row r="466" spans="15:55" x14ac:dyDescent="0.35">
      <c r="O466">
        <v>464</v>
      </c>
      <c r="P466">
        <v>110.208961</v>
      </c>
      <c r="Q466" s="14">
        <v>0.89834601779817858</v>
      </c>
      <c r="R466">
        <v>30.454999999999998</v>
      </c>
      <c r="S466" s="14">
        <v>0.89747745623858077</v>
      </c>
      <c r="T466">
        <v>26</v>
      </c>
      <c r="V466">
        <v>464</v>
      </c>
      <c r="W466">
        <v>110.681321</v>
      </c>
      <c r="X466" s="14">
        <v>0.90299512025400985</v>
      </c>
      <c r="Y466">
        <v>30.524999999999999</v>
      </c>
      <c r="Z466" s="14">
        <v>0.90102721530196583</v>
      </c>
      <c r="AA466">
        <v>26</v>
      </c>
      <c r="AC466">
        <v>464</v>
      </c>
      <c r="AD466">
        <v>109.927091</v>
      </c>
      <c r="AE466" s="14">
        <v>0.90537423464387878</v>
      </c>
      <c r="AF466">
        <v>30.323</v>
      </c>
      <c r="AG466" s="14">
        <v>0.90265829190605174</v>
      </c>
      <c r="AH466">
        <v>26</v>
      </c>
      <c r="AJ466">
        <v>464</v>
      </c>
      <c r="AK466">
        <v>108.297146</v>
      </c>
      <c r="AL466" s="14">
        <v>0.8799596335709271</v>
      </c>
      <c r="AM466">
        <v>29.93</v>
      </c>
      <c r="AN466" s="14">
        <v>0.87550459252325508</v>
      </c>
      <c r="AO466">
        <v>26</v>
      </c>
      <c r="AQ466">
        <v>464</v>
      </c>
      <c r="AR466">
        <v>107.529308</v>
      </c>
      <c r="AS466" s="14">
        <v>0.88254668450035811</v>
      </c>
      <c r="AT466">
        <v>29.736999999999998</v>
      </c>
      <c r="AU466" s="14">
        <v>0.87815609957771013</v>
      </c>
      <c r="AV466">
        <v>26</v>
      </c>
      <c r="AX466">
        <v>464</v>
      </c>
      <c r="AY466">
        <v>109.93092</v>
      </c>
      <c r="AZ466" s="14">
        <v>0.88924627774920828</v>
      </c>
      <c r="BA466">
        <v>30.408000000000001</v>
      </c>
      <c r="BB466" s="14">
        <v>0.88591073301480028</v>
      </c>
      <c r="BC466">
        <v>26</v>
      </c>
    </row>
    <row r="467" spans="15:55" x14ac:dyDescent="0.35">
      <c r="O467">
        <v>465</v>
      </c>
      <c r="P467">
        <v>110.210251</v>
      </c>
      <c r="Q467" s="14">
        <v>0.89835653297183093</v>
      </c>
      <c r="R467">
        <v>30.452999999999999</v>
      </c>
      <c r="S467" s="14">
        <v>0.89741851830022989</v>
      </c>
      <c r="T467">
        <v>26</v>
      </c>
      <c r="V467">
        <v>465</v>
      </c>
      <c r="W467">
        <v>110.693063</v>
      </c>
      <c r="X467" s="14">
        <v>0.9030909175268127</v>
      </c>
      <c r="Y467">
        <v>30.524999999999999</v>
      </c>
      <c r="Z467" s="14">
        <v>0.90102721530196583</v>
      </c>
      <c r="AA467">
        <v>26</v>
      </c>
      <c r="AC467">
        <v>465</v>
      </c>
      <c r="AD467">
        <v>109.888671</v>
      </c>
      <c r="AE467" s="14">
        <v>0.90505780238156219</v>
      </c>
      <c r="AF467">
        <v>30.312000000000001</v>
      </c>
      <c r="AG467" s="14">
        <v>0.90233084273509356</v>
      </c>
      <c r="AH467">
        <v>26</v>
      </c>
      <c r="AJ467">
        <v>465</v>
      </c>
      <c r="AK467">
        <v>108.44354199999999</v>
      </c>
      <c r="AL467" s="14">
        <v>0.88114916233760621</v>
      </c>
      <c r="AM467">
        <v>29.954999999999998</v>
      </c>
      <c r="AN467" s="14">
        <v>0.87623588603521907</v>
      </c>
      <c r="AO467">
        <v>26</v>
      </c>
      <c r="AQ467">
        <v>465</v>
      </c>
      <c r="AR467">
        <v>107.564044</v>
      </c>
      <c r="AS467" s="14">
        <v>0.88283178018453012</v>
      </c>
      <c r="AT467">
        <v>29.74</v>
      </c>
      <c r="AU467" s="14">
        <v>0.87824469184655818</v>
      </c>
      <c r="AV467">
        <v>26</v>
      </c>
      <c r="AX467">
        <v>465</v>
      </c>
      <c r="AY467">
        <v>109.887078</v>
      </c>
      <c r="AZ467" s="14">
        <v>0.8888916338027274</v>
      </c>
      <c r="BA467">
        <v>30.399000000000001</v>
      </c>
      <c r="BB467" s="14">
        <v>0.88564852581284237</v>
      </c>
      <c r="BC467">
        <v>26</v>
      </c>
    </row>
    <row r="468" spans="15:55" x14ac:dyDescent="0.35">
      <c r="O468">
        <v>466</v>
      </c>
      <c r="P468">
        <v>110.15419</v>
      </c>
      <c r="Q468" s="14">
        <v>0.89789956308801366</v>
      </c>
      <c r="R468">
        <v>30.437000000000001</v>
      </c>
      <c r="S468" s="14">
        <v>0.89694701479342265</v>
      </c>
      <c r="T468">
        <v>26</v>
      </c>
      <c r="V468">
        <v>466</v>
      </c>
      <c r="W468">
        <v>110.654595</v>
      </c>
      <c r="X468" s="14">
        <v>0.90277707580562538</v>
      </c>
      <c r="Y468">
        <v>30.515999999999998</v>
      </c>
      <c r="Z468" s="14">
        <v>0.90076155617214704</v>
      </c>
      <c r="AA468">
        <v>26</v>
      </c>
      <c r="AC468">
        <v>466</v>
      </c>
      <c r="AD468">
        <v>109.93266199999999</v>
      </c>
      <c r="AE468" s="14">
        <v>0.90542011814552803</v>
      </c>
      <c r="AF468">
        <v>30.318999999999999</v>
      </c>
      <c r="AG468" s="14">
        <v>0.90253921948024873</v>
      </c>
      <c r="AH468">
        <v>26</v>
      </c>
      <c r="AJ468">
        <v>466</v>
      </c>
      <c r="AK468">
        <v>108.453412</v>
      </c>
      <c r="AL468" s="14">
        <v>0.88122936021819809</v>
      </c>
      <c r="AM468">
        <v>29.954999999999998</v>
      </c>
      <c r="AN468" s="14">
        <v>0.87623588603521907</v>
      </c>
      <c r="AO468">
        <v>26</v>
      </c>
      <c r="AQ468">
        <v>466</v>
      </c>
      <c r="AR468">
        <v>107.535847</v>
      </c>
      <c r="AS468" s="14">
        <v>0.88260035333611353</v>
      </c>
      <c r="AT468">
        <v>29.733000000000001</v>
      </c>
      <c r="AU468" s="14">
        <v>0.87803797655257954</v>
      </c>
      <c r="AV468">
        <v>26</v>
      </c>
      <c r="AX468">
        <v>466</v>
      </c>
      <c r="AY468">
        <v>109.83997100000001</v>
      </c>
      <c r="AZ468" s="14">
        <v>0.88851057882378304</v>
      </c>
      <c r="BA468">
        <v>30.387</v>
      </c>
      <c r="BB468" s="14">
        <v>0.88529891621023193</v>
      </c>
      <c r="BC468">
        <v>26</v>
      </c>
    </row>
    <row r="469" spans="15:55" x14ac:dyDescent="0.35">
      <c r="O469">
        <v>467</v>
      </c>
      <c r="P469">
        <v>109.73192299999999</v>
      </c>
      <c r="Q469" s="14">
        <v>0.89445753918673054</v>
      </c>
      <c r="R469">
        <v>30.353999999999999</v>
      </c>
      <c r="S469" s="14">
        <v>0.89450109035185954</v>
      </c>
      <c r="T469">
        <v>26</v>
      </c>
      <c r="V469">
        <v>467</v>
      </c>
      <c r="W469">
        <v>110.60113800000001</v>
      </c>
      <c r="X469" s="14">
        <v>0.9023409461162859</v>
      </c>
      <c r="Y469">
        <v>30.504000000000001</v>
      </c>
      <c r="Z469" s="14">
        <v>0.90040734399905542</v>
      </c>
      <c r="AA469">
        <v>26</v>
      </c>
      <c r="AC469">
        <v>467</v>
      </c>
      <c r="AD469">
        <v>109.944306</v>
      </c>
      <c r="AE469" s="14">
        <v>0.90551601968801676</v>
      </c>
      <c r="AF469">
        <v>30.318000000000001</v>
      </c>
      <c r="AG469" s="14">
        <v>0.90250945137379801</v>
      </c>
      <c r="AH469">
        <v>26</v>
      </c>
      <c r="AJ469">
        <v>467</v>
      </c>
      <c r="AK469">
        <v>108.421836</v>
      </c>
      <c r="AL469" s="14">
        <v>0.88097279200365219</v>
      </c>
      <c r="AM469">
        <v>29.946000000000002</v>
      </c>
      <c r="AN469" s="14">
        <v>0.87597262037091217</v>
      </c>
      <c r="AO469">
        <v>26</v>
      </c>
      <c r="AQ469">
        <v>467</v>
      </c>
      <c r="AR469">
        <v>107.505945</v>
      </c>
      <c r="AS469" s="14">
        <v>0.88235493270195553</v>
      </c>
      <c r="AT469">
        <v>29.725000000000001</v>
      </c>
      <c r="AU469" s="14">
        <v>0.87780173050231824</v>
      </c>
      <c r="AV469">
        <v>26</v>
      </c>
      <c r="AX469">
        <v>467</v>
      </c>
      <c r="AY469">
        <v>109.795711</v>
      </c>
      <c r="AZ469" s="14">
        <v>0.88815255361801582</v>
      </c>
      <c r="BA469">
        <v>30.376999999999999</v>
      </c>
      <c r="BB469" s="14">
        <v>0.88500757487472326</v>
      </c>
      <c r="BC469">
        <v>26</v>
      </c>
    </row>
    <row r="470" spans="15:55" x14ac:dyDescent="0.35">
      <c r="O470">
        <v>468</v>
      </c>
      <c r="P470">
        <v>109.581063</v>
      </c>
      <c r="Q470" s="14">
        <v>0.89322783446022436</v>
      </c>
      <c r="R470">
        <v>30.321999999999999</v>
      </c>
      <c r="S470" s="14">
        <v>0.89355808333824482</v>
      </c>
      <c r="T470">
        <v>26</v>
      </c>
      <c r="V470">
        <v>468</v>
      </c>
      <c r="W470">
        <v>110.58119600000001</v>
      </c>
      <c r="X470" s="14">
        <v>0.90217824902769483</v>
      </c>
      <c r="Y470">
        <v>30.498000000000001</v>
      </c>
      <c r="Z470" s="14">
        <v>0.90023023791250967</v>
      </c>
      <c r="AA470">
        <v>26</v>
      </c>
      <c r="AC470">
        <v>468</v>
      </c>
      <c r="AD470">
        <v>109.900462</v>
      </c>
      <c r="AE470" s="14">
        <v>0.90515491463572606</v>
      </c>
      <c r="AF470">
        <v>30.308</v>
      </c>
      <c r="AG470" s="14">
        <v>0.90221177030929056</v>
      </c>
      <c r="AH470">
        <v>26</v>
      </c>
      <c r="AJ470">
        <v>468</v>
      </c>
      <c r="AK470">
        <v>108.404945</v>
      </c>
      <c r="AL470" s="14">
        <v>0.88083554555977406</v>
      </c>
      <c r="AM470">
        <v>29.94</v>
      </c>
      <c r="AN470" s="14">
        <v>0.87579710992804072</v>
      </c>
      <c r="AO470">
        <v>26</v>
      </c>
      <c r="AQ470">
        <v>468</v>
      </c>
      <c r="AR470">
        <v>107.517979</v>
      </c>
      <c r="AS470" s="14">
        <v>0.88245370174454318</v>
      </c>
      <c r="AT470">
        <v>29.725000000000001</v>
      </c>
      <c r="AU470" s="14">
        <v>0.87780173050231824</v>
      </c>
      <c r="AV470">
        <v>26</v>
      </c>
      <c r="AX470">
        <v>468</v>
      </c>
      <c r="AY470">
        <v>109.81641999999999</v>
      </c>
      <c r="AZ470" s="14">
        <v>0.88832007155715342</v>
      </c>
      <c r="BA470">
        <v>30.376999999999999</v>
      </c>
      <c r="BB470" s="14">
        <v>0.88500757487472326</v>
      </c>
      <c r="BC470">
        <v>26</v>
      </c>
    </row>
    <row r="471" spans="15:55" x14ac:dyDescent="0.35">
      <c r="O471">
        <v>469</v>
      </c>
      <c r="P471">
        <v>109.510756</v>
      </c>
      <c r="Q471" s="14">
        <v>0.89265474119357668</v>
      </c>
      <c r="R471">
        <v>30.308</v>
      </c>
      <c r="S471" s="14">
        <v>0.89314551776978846</v>
      </c>
      <c r="T471">
        <v>26</v>
      </c>
      <c r="V471">
        <v>469</v>
      </c>
      <c r="W471">
        <v>110.61285100000001</v>
      </c>
      <c r="X471" s="14">
        <v>0.90243650679217935</v>
      </c>
      <c r="Y471">
        <v>30.501000000000001</v>
      </c>
      <c r="Z471" s="14">
        <v>0.9003187909557826</v>
      </c>
      <c r="AA471">
        <v>26</v>
      </c>
      <c r="AC471">
        <v>469</v>
      </c>
      <c r="AD471">
        <v>109.85657500000001</v>
      </c>
      <c r="AE471" s="14">
        <v>0.90479345542967993</v>
      </c>
      <c r="AF471">
        <v>30.297999999999998</v>
      </c>
      <c r="AG471" s="14">
        <v>0.901914089244783</v>
      </c>
      <c r="AH471">
        <v>26</v>
      </c>
      <c r="AJ471">
        <v>469</v>
      </c>
      <c r="AK471">
        <v>108.40950100000001</v>
      </c>
      <c r="AL471" s="14">
        <v>0.88087256496645872</v>
      </c>
      <c r="AM471">
        <v>29.937999999999999</v>
      </c>
      <c r="AN471" s="14">
        <v>0.87573860644708357</v>
      </c>
      <c r="AO471">
        <v>26</v>
      </c>
      <c r="AQ471">
        <v>469</v>
      </c>
      <c r="AR471">
        <v>107.53091999999999</v>
      </c>
      <c r="AS471" s="14">
        <v>0.88255991498869535</v>
      </c>
      <c r="AT471">
        <v>29.724</v>
      </c>
      <c r="AU471" s="14">
        <v>0.87777219974603549</v>
      </c>
      <c r="AV471">
        <v>26</v>
      </c>
      <c r="AX471">
        <v>469</v>
      </c>
      <c r="AY471">
        <v>109.82939399999999</v>
      </c>
      <c r="AZ471" s="14">
        <v>0.88842502002122081</v>
      </c>
      <c r="BA471">
        <v>30.376999999999999</v>
      </c>
      <c r="BB471" s="14">
        <v>0.88500757487472326</v>
      </c>
      <c r="BC471">
        <v>26</v>
      </c>
    </row>
    <row r="472" spans="15:55" x14ac:dyDescent="0.35">
      <c r="O472">
        <v>470</v>
      </c>
      <c r="P472">
        <v>109.73038099999999</v>
      </c>
      <c r="Q472" s="14">
        <v>0.89444496988613209</v>
      </c>
      <c r="R472">
        <v>30.347999999999999</v>
      </c>
      <c r="S472" s="14">
        <v>0.89432427653680679</v>
      </c>
      <c r="T472">
        <v>26</v>
      </c>
      <c r="V472">
        <v>470</v>
      </c>
      <c r="W472">
        <v>110.628117</v>
      </c>
      <c r="X472" s="14">
        <v>0.90256105466874281</v>
      </c>
      <c r="Y472">
        <v>30.501999999999999</v>
      </c>
      <c r="Z472" s="14">
        <v>0.90034830863687343</v>
      </c>
      <c r="AA472">
        <v>26</v>
      </c>
      <c r="AC472">
        <v>470</v>
      </c>
      <c r="AD472">
        <v>109.810473</v>
      </c>
      <c r="AE472" s="14">
        <v>0.90441375318716766</v>
      </c>
      <c r="AF472">
        <v>30.286999999999999</v>
      </c>
      <c r="AG472" s="14">
        <v>0.90158664007382483</v>
      </c>
      <c r="AH472">
        <v>26</v>
      </c>
      <c r="AJ472">
        <v>470</v>
      </c>
      <c r="AK472">
        <v>108.421346</v>
      </c>
      <c r="AL472" s="14">
        <v>0.88096881054858733</v>
      </c>
      <c r="AM472">
        <v>29.937999999999999</v>
      </c>
      <c r="AN472" s="14">
        <v>0.87573860644708357</v>
      </c>
      <c r="AO472">
        <v>26</v>
      </c>
      <c r="AQ472">
        <v>470</v>
      </c>
      <c r="AR472">
        <v>107.503243</v>
      </c>
      <c r="AS472" s="14">
        <v>0.88233275603974248</v>
      </c>
      <c r="AT472">
        <v>29.716000000000001</v>
      </c>
      <c r="AU472" s="14">
        <v>0.8775359536957742</v>
      </c>
      <c r="AV472">
        <v>26</v>
      </c>
      <c r="AX472">
        <v>470</v>
      </c>
      <c r="AY472">
        <v>109.79177300000001</v>
      </c>
      <c r="AZ472" s="14">
        <v>0.88812069859631881</v>
      </c>
      <c r="BA472">
        <v>30.367000000000001</v>
      </c>
      <c r="BB472" s="14">
        <v>0.88471623353921458</v>
      </c>
      <c r="BC472">
        <v>26</v>
      </c>
    </row>
    <row r="473" spans="15:55" x14ac:dyDescent="0.35">
      <c r="O473">
        <v>471</v>
      </c>
      <c r="P473">
        <v>109.784813</v>
      </c>
      <c r="Q473" s="14">
        <v>0.89488866130647671</v>
      </c>
      <c r="R473">
        <v>30.358000000000001</v>
      </c>
      <c r="S473" s="14">
        <v>0.89461896622856141</v>
      </c>
      <c r="T473">
        <v>26</v>
      </c>
      <c r="V473">
        <v>471</v>
      </c>
      <c r="W473">
        <v>110.57082800000001</v>
      </c>
      <c r="X473" s="14">
        <v>0.90209366155329351</v>
      </c>
      <c r="Y473">
        <v>30.49</v>
      </c>
      <c r="Z473" s="14">
        <v>0.8999940964637817</v>
      </c>
      <c r="AA473">
        <v>26</v>
      </c>
      <c r="AC473">
        <v>471</v>
      </c>
      <c r="AD473">
        <v>109.840036</v>
      </c>
      <c r="AE473" s="14">
        <v>0.90465723801202103</v>
      </c>
      <c r="AF473">
        <v>30.289000000000001</v>
      </c>
      <c r="AG473" s="14">
        <v>0.90164617628672639</v>
      </c>
      <c r="AH473">
        <v>26</v>
      </c>
      <c r="AJ473">
        <v>471</v>
      </c>
      <c r="AK473">
        <v>108.39688</v>
      </c>
      <c r="AL473" s="14">
        <v>0.88077001405957411</v>
      </c>
      <c r="AM473">
        <v>29.931000000000001</v>
      </c>
      <c r="AN473" s="14">
        <v>0.87553384426373371</v>
      </c>
      <c r="AO473">
        <v>26</v>
      </c>
      <c r="AQ473">
        <v>471</v>
      </c>
      <c r="AR473">
        <v>107.454758</v>
      </c>
      <c r="AS473" s="14">
        <v>0.88193481545225172</v>
      </c>
      <c r="AT473">
        <v>29.704999999999998</v>
      </c>
      <c r="AU473" s="14">
        <v>0.87721111537666474</v>
      </c>
      <c r="AV473">
        <v>26</v>
      </c>
      <c r="AX473">
        <v>471</v>
      </c>
      <c r="AY473">
        <v>109.733113</v>
      </c>
      <c r="AZ473" s="14">
        <v>0.88764618981705301</v>
      </c>
      <c r="BA473">
        <v>30.353999999999999</v>
      </c>
      <c r="BB473" s="14">
        <v>0.88433748980305327</v>
      </c>
      <c r="BC473">
        <v>26</v>
      </c>
    </row>
    <row r="474" spans="15:55" x14ac:dyDescent="0.35">
      <c r="O474">
        <v>472</v>
      </c>
      <c r="P474">
        <v>109.767528</v>
      </c>
      <c r="Q474" s="14">
        <v>0.89474776613083273</v>
      </c>
      <c r="R474">
        <v>30.352</v>
      </c>
      <c r="S474" s="14">
        <v>0.89444215241350866</v>
      </c>
      <c r="T474">
        <v>26</v>
      </c>
      <c r="V474">
        <v>472</v>
      </c>
      <c r="W474">
        <v>110.516362</v>
      </c>
      <c r="X474" s="14">
        <v>0.90164929992320642</v>
      </c>
      <c r="Y474">
        <v>30.477</v>
      </c>
      <c r="Z474" s="14">
        <v>0.89961036660959914</v>
      </c>
      <c r="AA474">
        <v>26</v>
      </c>
      <c r="AC474">
        <v>472</v>
      </c>
      <c r="AD474">
        <v>109.865094</v>
      </c>
      <c r="AE474" s="14">
        <v>0.90486361905390367</v>
      </c>
      <c r="AF474">
        <v>30.292000000000002</v>
      </c>
      <c r="AG474" s="14">
        <v>0.90173548060607855</v>
      </c>
      <c r="AH474">
        <v>26</v>
      </c>
      <c r="AJ474">
        <v>472</v>
      </c>
      <c r="AK474">
        <v>108.345326</v>
      </c>
      <c r="AL474" s="14">
        <v>0.88035111623424167</v>
      </c>
      <c r="AM474">
        <v>29.917999999999999</v>
      </c>
      <c r="AN474" s="14">
        <v>0.8751535716375124</v>
      </c>
      <c r="AO474">
        <v>26</v>
      </c>
      <c r="AQ474">
        <v>472</v>
      </c>
      <c r="AR474">
        <v>107.43734499999999</v>
      </c>
      <c r="AS474" s="14">
        <v>0.88179189827271209</v>
      </c>
      <c r="AT474">
        <v>29.7</v>
      </c>
      <c r="AU474" s="14">
        <v>0.87706346159525139</v>
      </c>
      <c r="AV474">
        <v>26</v>
      </c>
      <c r="AX474">
        <v>472</v>
      </c>
      <c r="AY474">
        <v>109.688479</v>
      </c>
      <c r="AZ474" s="14">
        <v>0.88728513927402963</v>
      </c>
      <c r="BA474">
        <v>30.344000000000001</v>
      </c>
      <c r="BB474" s="14">
        <v>0.8840461484675447</v>
      </c>
      <c r="BC474">
        <v>26</v>
      </c>
    </row>
    <row r="475" spans="15:55" x14ac:dyDescent="0.35">
      <c r="O475">
        <v>473</v>
      </c>
      <c r="P475">
        <v>109.770993</v>
      </c>
      <c r="Q475" s="14">
        <v>0.8947760103763408</v>
      </c>
      <c r="R475">
        <v>30.352</v>
      </c>
      <c r="S475" s="14">
        <v>0.89444215241350866</v>
      </c>
      <c r="T475">
        <v>26</v>
      </c>
      <c r="V475">
        <v>473</v>
      </c>
      <c r="W475">
        <v>110.477473</v>
      </c>
      <c r="X475" s="14">
        <v>0.90133202346757435</v>
      </c>
      <c r="Y475">
        <v>30.466999999999999</v>
      </c>
      <c r="Z475" s="14">
        <v>0.89931518979868941</v>
      </c>
      <c r="AA475">
        <v>26</v>
      </c>
      <c r="AC475">
        <v>473</v>
      </c>
      <c r="AD475">
        <v>109.82728899999999</v>
      </c>
      <c r="AE475" s="14">
        <v>0.90455225201390144</v>
      </c>
      <c r="AF475">
        <v>30.282</v>
      </c>
      <c r="AG475" s="14">
        <v>0.90143779954157111</v>
      </c>
      <c r="AH475">
        <v>26</v>
      </c>
      <c r="AJ475">
        <v>473</v>
      </c>
      <c r="AK475">
        <v>108.330331</v>
      </c>
      <c r="AL475" s="14">
        <v>0.88022927558383901</v>
      </c>
      <c r="AM475">
        <v>29.913</v>
      </c>
      <c r="AN475" s="14">
        <v>0.87500731293511969</v>
      </c>
      <c r="AO475">
        <v>26</v>
      </c>
      <c r="AQ475">
        <v>473</v>
      </c>
      <c r="AR475">
        <v>107.46379399999999</v>
      </c>
      <c r="AS475" s="14">
        <v>0.88200897841293158</v>
      </c>
      <c r="AT475">
        <v>29.7</v>
      </c>
      <c r="AU475" s="14">
        <v>0.87706346159525139</v>
      </c>
      <c r="AV475">
        <v>26</v>
      </c>
      <c r="AX475">
        <v>473</v>
      </c>
      <c r="AY475">
        <v>109.687657</v>
      </c>
      <c r="AZ475" s="14">
        <v>0.88727849000337566</v>
      </c>
      <c r="BA475">
        <v>30.34</v>
      </c>
      <c r="BB475" s="14">
        <v>0.88392961193334119</v>
      </c>
      <c r="BC475">
        <v>26</v>
      </c>
    </row>
    <row r="476" spans="15:55" x14ac:dyDescent="0.35">
      <c r="O476">
        <v>474</v>
      </c>
      <c r="P476">
        <v>109.757656</v>
      </c>
      <c r="Q476" s="14">
        <v>0.89466729652285137</v>
      </c>
      <c r="R476">
        <v>30.347000000000001</v>
      </c>
      <c r="S476" s="14">
        <v>0.89429480756763136</v>
      </c>
      <c r="T476">
        <v>26</v>
      </c>
      <c r="V476">
        <v>474</v>
      </c>
      <c r="W476">
        <v>110.487431</v>
      </c>
      <c r="X476" s="14">
        <v>0.9014132659511862</v>
      </c>
      <c r="Y476">
        <v>30.466999999999999</v>
      </c>
      <c r="Z476" s="14">
        <v>0.89931518979868941</v>
      </c>
      <c r="AA476">
        <v>26</v>
      </c>
      <c r="AC476">
        <v>474</v>
      </c>
      <c r="AD476">
        <v>109.75980800000001</v>
      </c>
      <c r="AE476" s="14">
        <v>0.9039964694659216</v>
      </c>
      <c r="AF476">
        <v>30.268999999999998</v>
      </c>
      <c r="AG476" s="14">
        <v>0.90105081415771127</v>
      </c>
      <c r="AH476">
        <v>26</v>
      </c>
      <c r="AJ476">
        <v>474</v>
      </c>
      <c r="AK476">
        <v>108.37552100000001</v>
      </c>
      <c r="AL476" s="14">
        <v>0.88059646324583951</v>
      </c>
      <c r="AM476">
        <v>29.919</v>
      </c>
      <c r="AN476" s="14">
        <v>0.87518282337799103</v>
      </c>
      <c r="AO476">
        <v>26</v>
      </c>
      <c r="AQ476">
        <v>474</v>
      </c>
      <c r="AR476">
        <v>107.473342</v>
      </c>
      <c r="AS476" s="14">
        <v>0.8820873436130835</v>
      </c>
      <c r="AT476">
        <v>29.7</v>
      </c>
      <c r="AU476" s="14">
        <v>0.87706346159525139</v>
      </c>
      <c r="AV476">
        <v>26</v>
      </c>
      <c r="AX476">
        <v>474</v>
      </c>
      <c r="AY476">
        <v>109.606545</v>
      </c>
      <c r="AZ476" s="14">
        <v>0.88662236391909666</v>
      </c>
      <c r="BA476">
        <v>30.323</v>
      </c>
      <c r="BB476" s="14">
        <v>0.88343433166297636</v>
      </c>
      <c r="BC476">
        <v>26</v>
      </c>
    </row>
    <row r="477" spans="15:55" x14ac:dyDescent="0.35">
      <c r="O477">
        <v>475</v>
      </c>
      <c r="P477">
        <v>109.71445900000001</v>
      </c>
      <c r="Q477" s="14">
        <v>0.89431518492885109</v>
      </c>
      <c r="R477">
        <v>30.337</v>
      </c>
      <c r="S477" s="14">
        <v>0.89400011787587674</v>
      </c>
      <c r="T477">
        <v>26</v>
      </c>
      <c r="V477">
        <v>475</v>
      </c>
      <c r="W477">
        <v>110.33127399999999</v>
      </c>
      <c r="X477" s="14">
        <v>0.9001392568616714</v>
      </c>
      <c r="Y477">
        <v>30.434999999999999</v>
      </c>
      <c r="Z477" s="14">
        <v>0.89837062400377821</v>
      </c>
      <c r="AA477">
        <v>26</v>
      </c>
      <c r="AC477">
        <v>475</v>
      </c>
      <c r="AD477">
        <v>109.71220099999999</v>
      </c>
      <c r="AE477" s="14">
        <v>0.90360437184197284</v>
      </c>
      <c r="AF477">
        <v>30.257999999999999</v>
      </c>
      <c r="AG477" s="14">
        <v>0.90072336498675309</v>
      </c>
      <c r="AH477">
        <v>26</v>
      </c>
      <c r="AJ477">
        <v>475</v>
      </c>
      <c r="AK477">
        <v>108.377617</v>
      </c>
      <c r="AL477" s="14">
        <v>0.88061349412301482</v>
      </c>
      <c r="AM477">
        <v>29.914999999999999</v>
      </c>
      <c r="AN477" s="14">
        <v>0.87506581641607672</v>
      </c>
      <c r="AO477">
        <v>26</v>
      </c>
      <c r="AQ477">
        <v>475</v>
      </c>
      <c r="AR477">
        <v>107.440389</v>
      </c>
      <c r="AS477" s="14">
        <v>0.88181688189957241</v>
      </c>
      <c r="AT477">
        <v>29.692</v>
      </c>
      <c r="AU477" s="14">
        <v>0.8768272155449901</v>
      </c>
      <c r="AV477">
        <v>26</v>
      </c>
      <c r="AX477">
        <v>475</v>
      </c>
      <c r="AY477">
        <v>109.236884</v>
      </c>
      <c r="AZ477" s="14">
        <v>0.88363212542860603</v>
      </c>
      <c r="BA477">
        <v>30.253</v>
      </c>
      <c r="BB477" s="14">
        <v>0.88139494231441562</v>
      </c>
      <c r="BC477">
        <v>26</v>
      </c>
    </row>
    <row r="478" spans="15:55" x14ac:dyDescent="0.35">
      <c r="O478">
        <v>476</v>
      </c>
      <c r="P478">
        <v>109.67576200000001</v>
      </c>
      <c r="Q478" s="14">
        <v>0.8939997541731729</v>
      </c>
      <c r="R478">
        <v>30.327000000000002</v>
      </c>
      <c r="S478" s="14">
        <v>0.89370542818412224</v>
      </c>
      <c r="T478">
        <v>26</v>
      </c>
      <c r="V478">
        <v>476</v>
      </c>
      <c r="W478">
        <v>109.989255</v>
      </c>
      <c r="X478" s="14">
        <v>0.8973488900206924</v>
      </c>
      <c r="Y478">
        <v>30.369</v>
      </c>
      <c r="Z478" s="14">
        <v>0.89642245705177404</v>
      </c>
      <c r="AA478">
        <v>26</v>
      </c>
      <c r="AC478">
        <v>476</v>
      </c>
      <c r="AD478">
        <v>109.716689</v>
      </c>
      <c r="AE478" s="14">
        <v>0.90364133561066828</v>
      </c>
      <c r="AF478">
        <v>30.256</v>
      </c>
      <c r="AG478" s="14">
        <v>0.90066382877385165</v>
      </c>
      <c r="AH478">
        <v>26</v>
      </c>
      <c r="AJ478">
        <v>476</v>
      </c>
      <c r="AK478">
        <v>108.338097</v>
      </c>
      <c r="AL478" s="14">
        <v>0.88029237758390755</v>
      </c>
      <c r="AM478">
        <v>29.905999999999999</v>
      </c>
      <c r="AN478" s="14">
        <v>0.87480255075176971</v>
      </c>
      <c r="AO478">
        <v>26</v>
      </c>
      <c r="AQ478">
        <v>476</v>
      </c>
      <c r="AR478">
        <v>107.40248699999999</v>
      </c>
      <c r="AS478" s="14">
        <v>0.88150580127366585</v>
      </c>
      <c r="AT478">
        <v>29.681000000000001</v>
      </c>
      <c r="AU478" s="14">
        <v>0.87650237722588076</v>
      </c>
      <c r="AV478">
        <v>26</v>
      </c>
      <c r="AX478">
        <v>476</v>
      </c>
      <c r="AY478">
        <v>109.112993</v>
      </c>
      <c r="AZ478" s="14">
        <v>0.88262995415052858</v>
      </c>
      <c r="BA478">
        <v>30.228000000000002</v>
      </c>
      <c r="BB478" s="14">
        <v>0.88066658897564398</v>
      </c>
      <c r="BC478">
        <v>26</v>
      </c>
    </row>
    <row r="479" spans="15:55" x14ac:dyDescent="0.35">
      <c r="O479">
        <v>477</v>
      </c>
      <c r="P479">
        <v>109.681979</v>
      </c>
      <c r="Q479" s="14">
        <v>0.89405043078913926</v>
      </c>
      <c r="R479">
        <v>30.327000000000002</v>
      </c>
      <c r="S479" s="14">
        <v>0.89370542818412224</v>
      </c>
      <c r="T479">
        <v>26</v>
      </c>
      <c r="V479">
        <v>477</v>
      </c>
      <c r="W479">
        <v>109.877816</v>
      </c>
      <c r="X479" s="14">
        <v>0.89643971336561801</v>
      </c>
      <c r="Y479">
        <v>30.346</v>
      </c>
      <c r="Z479" s="14">
        <v>0.89574355038668163</v>
      </c>
      <c r="AA479">
        <v>26</v>
      </c>
      <c r="AC479">
        <v>477</v>
      </c>
      <c r="AD479">
        <v>109.683527</v>
      </c>
      <c r="AE479" s="14">
        <v>0.9033682089401075</v>
      </c>
      <c r="AF479">
        <v>30.242999999999999</v>
      </c>
      <c r="AG479" s="14">
        <v>0.90027684338999181</v>
      </c>
      <c r="AH479">
        <v>26</v>
      </c>
      <c r="AJ479">
        <v>477</v>
      </c>
      <c r="AK479">
        <v>108.291353</v>
      </c>
      <c r="AL479" s="14">
        <v>0.8799125630215584</v>
      </c>
      <c r="AM479">
        <v>29.895</v>
      </c>
      <c r="AN479" s="14">
        <v>0.87448078160650555</v>
      </c>
      <c r="AO479">
        <v>26</v>
      </c>
      <c r="AQ479">
        <v>477</v>
      </c>
      <c r="AR479">
        <v>107.343383</v>
      </c>
      <c r="AS479" s="14">
        <v>0.88102070525462794</v>
      </c>
      <c r="AT479">
        <v>29.667999999999999</v>
      </c>
      <c r="AU479" s="14">
        <v>0.87611847739420601</v>
      </c>
      <c r="AV479">
        <v>26</v>
      </c>
      <c r="AX479">
        <v>477</v>
      </c>
      <c r="AY479">
        <v>109.045805</v>
      </c>
      <c r="AZ479" s="14">
        <v>0.88208646121051304</v>
      </c>
      <c r="BA479">
        <v>30.213999999999999</v>
      </c>
      <c r="BB479" s="14">
        <v>0.88025871110593168</v>
      </c>
      <c r="BC479">
        <v>26</v>
      </c>
    </row>
    <row r="480" spans="15:55" x14ac:dyDescent="0.35">
      <c r="O480">
        <v>478</v>
      </c>
      <c r="P480">
        <v>109.689598</v>
      </c>
      <c r="Q480" s="14">
        <v>0.89411253552406733</v>
      </c>
      <c r="R480">
        <v>30.326000000000001</v>
      </c>
      <c r="S480" s="14">
        <v>0.89367595921494669</v>
      </c>
      <c r="T480">
        <v>26</v>
      </c>
      <c r="V480">
        <v>478</v>
      </c>
      <c r="W480">
        <v>109.857866</v>
      </c>
      <c r="X480" s="14">
        <v>0.89627695100891414</v>
      </c>
      <c r="Y480">
        <v>30.343</v>
      </c>
      <c r="Z480" s="14">
        <v>0.8956549973434087</v>
      </c>
      <c r="AA480">
        <v>26</v>
      </c>
      <c r="AC480">
        <v>478</v>
      </c>
      <c r="AD480">
        <v>109.231476</v>
      </c>
      <c r="AE480" s="14">
        <v>0.89964505639943859</v>
      </c>
      <c r="AF480">
        <v>30.161000000000001</v>
      </c>
      <c r="AG480" s="14">
        <v>0.89783585866103055</v>
      </c>
      <c r="AH480">
        <v>26</v>
      </c>
      <c r="AJ480">
        <v>478</v>
      </c>
      <c r="AK480">
        <v>108.22758</v>
      </c>
      <c r="AL480" s="14">
        <v>0.87939438070757836</v>
      </c>
      <c r="AM480">
        <v>29.881</v>
      </c>
      <c r="AN480" s="14">
        <v>0.87407125723980572</v>
      </c>
      <c r="AO480">
        <v>26</v>
      </c>
      <c r="AQ480">
        <v>478</v>
      </c>
      <c r="AR480">
        <v>107.338627</v>
      </c>
      <c r="AS480" s="14">
        <v>0.88098167038953346</v>
      </c>
      <c r="AT480">
        <v>29.664000000000001</v>
      </c>
      <c r="AU480" s="14">
        <v>0.87600035436907542</v>
      </c>
      <c r="AV480">
        <v>26</v>
      </c>
      <c r="AX480">
        <v>478</v>
      </c>
      <c r="AY480">
        <v>109.23799200000001</v>
      </c>
      <c r="AZ480" s="14">
        <v>0.88364108819245579</v>
      </c>
      <c r="BA480">
        <v>30.245999999999999</v>
      </c>
      <c r="BB480" s="14">
        <v>0.88119100337955947</v>
      </c>
      <c r="BC480">
        <v>26</v>
      </c>
    </row>
    <row r="481" spans="15:55" x14ac:dyDescent="0.35">
      <c r="O481">
        <v>479</v>
      </c>
      <c r="P481">
        <v>109.672327</v>
      </c>
      <c r="Q481" s="14">
        <v>0.89397175446658694</v>
      </c>
      <c r="R481">
        <v>30.321000000000002</v>
      </c>
      <c r="S481" s="14">
        <v>0.8935286143690695</v>
      </c>
      <c r="T481">
        <v>26</v>
      </c>
      <c r="V481">
        <v>479</v>
      </c>
      <c r="W481">
        <v>110.046864</v>
      </c>
      <c r="X481" s="14">
        <v>0.89781889386066027</v>
      </c>
      <c r="Y481">
        <v>30.375</v>
      </c>
      <c r="Z481" s="14">
        <v>0.8965995631383199</v>
      </c>
      <c r="AA481">
        <v>26</v>
      </c>
      <c r="AC481">
        <v>479</v>
      </c>
      <c r="AD481">
        <v>109.07182400000001</v>
      </c>
      <c r="AE481" s="14">
        <v>0.8983301411588509</v>
      </c>
      <c r="AF481">
        <v>30.128</v>
      </c>
      <c r="AG481" s="14">
        <v>0.89685351114815581</v>
      </c>
      <c r="AH481">
        <v>26</v>
      </c>
      <c r="AJ481">
        <v>479</v>
      </c>
      <c r="AK481">
        <v>108.228511</v>
      </c>
      <c r="AL481" s="14">
        <v>0.87940194547220152</v>
      </c>
      <c r="AM481">
        <v>29.876999999999999</v>
      </c>
      <c r="AN481" s="14">
        <v>0.87395425027789153</v>
      </c>
      <c r="AO481">
        <v>26</v>
      </c>
      <c r="AQ481">
        <v>479</v>
      </c>
      <c r="AR481">
        <v>107.356166</v>
      </c>
      <c r="AS481" s="14">
        <v>0.88112562171394304</v>
      </c>
      <c r="AT481">
        <v>29.664999999999999</v>
      </c>
      <c r="AU481" s="14">
        <v>0.87602988512535807</v>
      </c>
      <c r="AV481">
        <v>26</v>
      </c>
      <c r="AX481">
        <v>479</v>
      </c>
      <c r="AY481">
        <v>109.271536</v>
      </c>
      <c r="AZ481" s="14">
        <v>0.88391243020561105</v>
      </c>
      <c r="BA481">
        <v>30.248000000000001</v>
      </c>
      <c r="BB481" s="14">
        <v>0.88124927164666134</v>
      </c>
      <c r="BC481">
        <v>26</v>
      </c>
    </row>
    <row r="482" spans="15:55" x14ac:dyDescent="0.35">
      <c r="O482">
        <v>480</v>
      </c>
      <c r="P482">
        <v>109.61491100000001</v>
      </c>
      <c r="Q482" s="14">
        <v>0.89350373957478613</v>
      </c>
      <c r="R482">
        <v>30.309000000000001</v>
      </c>
      <c r="S482" s="14">
        <v>0.89317498673896401</v>
      </c>
      <c r="T482">
        <v>26</v>
      </c>
      <c r="V482">
        <v>480</v>
      </c>
      <c r="W482">
        <v>110.086736</v>
      </c>
      <c r="X482" s="14">
        <v>0.89814419013567282</v>
      </c>
      <c r="Y482">
        <v>30.379000000000001</v>
      </c>
      <c r="Z482" s="14">
        <v>0.89671763386268377</v>
      </c>
      <c r="AA482">
        <v>26</v>
      </c>
      <c r="AC482">
        <v>480</v>
      </c>
      <c r="AD482">
        <v>108.990083</v>
      </c>
      <c r="AE482" s="14">
        <v>0.89765691134224435</v>
      </c>
      <c r="AF482">
        <v>30.11</v>
      </c>
      <c r="AG482" s="14">
        <v>0.89631768523204225</v>
      </c>
      <c r="AH482">
        <v>26</v>
      </c>
      <c r="AJ482">
        <v>480</v>
      </c>
      <c r="AK482">
        <v>108.24739599999999</v>
      </c>
      <c r="AL482" s="14">
        <v>0.87955539400056804</v>
      </c>
      <c r="AM482">
        <v>29.879000000000001</v>
      </c>
      <c r="AN482" s="14">
        <v>0.87401275375884868</v>
      </c>
      <c r="AO482">
        <v>26</v>
      </c>
      <c r="AQ482">
        <v>480</v>
      </c>
      <c r="AR482">
        <v>107.355425</v>
      </c>
      <c r="AS482" s="14">
        <v>0.88111953995720738</v>
      </c>
      <c r="AT482">
        <v>29.661000000000001</v>
      </c>
      <c r="AU482" s="14">
        <v>0.87591176210022748</v>
      </c>
      <c r="AV482">
        <v>26</v>
      </c>
      <c r="AX482">
        <v>480</v>
      </c>
      <c r="AY482">
        <v>109.257234</v>
      </c>
      <c r="AZ482" s="14">
        <v>0.88379673936754322</v>
      </c>
      <c r="BA482">
        <v>30.244</v>
      </c>
      <c r="BB482" s="14">
        <v>0.88113273511245782</v>
      </c>
      <c r="BC482">
        <v>26</v>
      </c>
    </row>
    <row r="483" spans="15:55" x14ac:dyDescent="0.35">
      <c r="O483">
        <v>481</v>
      </c>
      <c r="P483">
        <v>109.586297</v>
      </c>
      <c r="Q483" s="14">
        <v>0.89327049835084171</v>
      </c>
      <c r="R483">
        <v>30.3</v>
      </c>
      <c r="S483" s="14">
        <v>0.89290976601638483</v>
      </c>
      <c r="T483">
        <v>26</v>
      </c>
      <c r="V483">
        <v>481</v>
      </c>
      <c r="W483">
        <v>110.069857</v>
      </c>
      <c r="X483" s="14">
        <v>0.89800648257583282</v>
      </c>
      <c r="Y483">
        <v>30.376000000000001</v>
      </c>
      <c r="Z483" s="14">
        <v>0.89662908081941084</v>
      </c>
      <c r="AA483">
        <v>26</v>
      </c>
      <c r="AC483">
        <v>481</v>
      </c>
      <c r="AD483">
        <v>109.23632600000001</v>
      </c>
      <c r="AE483" s="14">
        <v>0.89968500164858578</v>
      </c>
      <c r="AF483">
        <v>30.155000000000001</v>
      </c>
      <c r="AG483" s="14">
        <v>0.89765725002232599</v>
      </c>
      <c r="AH483">
        <v>26</v>
      </c>
      <c r="AJ483">
        <v>481</v>
      </c>
      <c r="AK483">
        <v>108.243886</v>
      </c>
      <c r="AL483" s="14">
        <v>0.87952687378163419</v>
      </c>
      <c r="AM483">
        <v>29.875</v>
      </c>
      <c r="AN483" s="14">
        <v>0.87389574679693438</v>
      </c>
      <c r="AO483">
        <v>26</v>
      </c>
      <c r="AQ483">
        <v>481</v>
      </c>
      <c r="AR483">
        <v>107.290639</v>
      </c>
      <c r="AS483" s="14">
        <v>0.88058780892902999</v>
      </c>
      <c r="AT483">
        <v>29.646999999999998</v>
      </c>
      <c r="AU483" s="14">
        <v>0.87549833151226997</v>
      </c>
      <c r="AV483">
        <v>26</v>
      </c>
      <c r="AX483">
        <v>481</v>
      </c>
      <c r="AY483">
        <v>109.252672</v>
      </c>
      <c r="AZ483" s="14">
        <v>0.88375983672432801</v>
      </c>
      <c r="BA483">
        <v>30.241</v>
      </c>
      <c r="BB483" s="14">
        <v>0.88104533271180518</v>
      </c>
      <c r="BC483">
        <v>26</v>
      </c>
    </row>
    <row r="484" spans="15:55" x14ac:dyDescent="0.35">
      <c r="O484">
        <v>482</v>
      </c>
      <c r="P484">
        <v>109.58279</v>
      </c>
      <c r="Q484" s="14">
        <v>0.89324191175084267</v>
      </c>
      <c r="R484">
        <v>30.298999999999999</v>
      </c>
      <c r="S484" s="14">
        <v>0.89288029704720939</v>
      </c>
      <c r="T484">
        <v>26</v>
      </c>
      <c r="V484">
        <v>482</v>
      </c>
      <c r="W484">
        <v>110.076108</v>
      </c>
      <c r="X484" s="14">
        <v>0.89805748144760011</v>
      </c>
      <c r="Y484">
        <v>30.373000000000001</v>
      </c>
      <c r="Z484" s="14">
        <v>0.89654052777613791</v>
      </c>
      <c r="AA484">
        <v>26</v>
      </c>
      <c r="AC484">
        <v>482</v>
      </c>
      <c r="AD484">
        <v>109.298829</v>
      </c>
      <c r="AE484" s="14">
        <v>0.90019978472228634</v>
      </c>
      <c r="AF484">
        <v>30.164999999999999</v>
      </c>
      <c r="AG484" s="14">
        <v>0.89795493108683344</v>
      </c>
      <c r="AH484">
        <v>26</v>
      </c>
      <c r="AJ484">
        <v>482</v>
      </c>
      <c r="AK484">
        <v>108.169696</v>
      </c>
      <c r="AL484" s="14">
        <v>0.87892404898314291</v>
      </c>
      <c r="AM484">
        <v>29.858000000000001</v>
      </c>
      <c r="AN484" s="14">
        <v>0.87339846720879899</v>
      </c>
      <c r="AO484">
        <v>26</v>
      </c>
      <c r="AQ484">
        <v>482</v>
      </c>
      <c r="AR484">
        <v>107.243139</v>
      </c>
      <c r="AS484" s="14">
        <v>0.88019795272802326</v>
      </c>
      <c r="AT484">
        <v>29.635999999999999</v>
      </c>
      <c r="AU484" s="14">
        <v>0.87517349319316062</v>
      </c>
      <c r="AV484">
        <v>26</v>
      </c>
      <c r="AX484">
        <v>482</v>
      </c>
      <c r="AY484">
        <v>109.239405</v>
      </c>
      <c r="AZ484" s="14">
        <v>0.8836525181431053</v>
      </c>
      <c r="BA484">
        <v>30.236000000000001</v>
      </c>
      <c r="BB484" s="14">
        <v>0.8808996620440509</v>
      </c>
      <c r="BC484">
        <v>26</v>
      </c>
    </row>
    <row r="485" spans="15:55" x14ac:dyDescent="0.35">
      <c r="O485">
        <v>483</v>
      </c>
      <c r="P485">
        <v>109.59290900000001</v>
      </c>
      <c r="Q485" s="14">
        <v>0.89332439472928316</v>
      </c>
      <c r="R485">
        <v>30.298999999999999</v>
      </c>
      <c r="S485" s="14">
        <v>0.89288029704720939</v>
      </c>
      <c r="T485">
        <v>26</v>
      </c>
      <c r="V485">
        <v>483</v>
      </c>
      <c r="W485">
        <v>110.050785</v>
      </c>
      <c r="X485" s="14">
        <v>0.89785088339452679</v>
      </c>
      <c r="Y485">
        <v>30.367000000000001</v>
      </c>
      <c r="Z485" s="14">
        <v>0.89636342168959204</v>
      </c>
      <c r="AA485">
        <v>26</v>
      </c>
      <c r="AC485">
        <v>483</v>
      </c>
      <c r="AD485">
        <v>109.29825599999999</v>
      </c>
      <c r="AE485" s="14">
        <v>0.9001950654175932</v>
      </c>
      <c r="AF485">
        <v>30.163</v>
      </c>
      <c r="AG485" s="14">
        <v>0.897895394873932</v>
      </c>
      <c r="AH485">
        <v>26</v>
      </c>
      <c r="AJ485">
        <v>483</v>
      </c>
      <c r="AK485">
        <v>108.12070799999999</v>
      </c>
      <c r="AL485" s="14">
        <v>0.87852600098168054</v>
      </c>
      <c r="AM485">
        <v>29.847000000000001</v>
      </c>
      <c r="AN485" s="14">
        <v>0.87307669806353483</v>
      </c>
      <c r="AO485">
        <v>26</v>
      </c>
      <c r="AQ485">
        <v>483</v>
      </c>
      <c r="AR485">
        <v>107.22317099999999</v>
      </c>
      <c r="AS485" s="14">
        <v>0.88003406538861895</v>
      </c>
      <c r="AT485">
        <v>29.629000000000001</v>
      </c>
      <c r="AU485" s="14">
        <v>0.87496677789918209</v>
      </c>
      <c r="AV485">
        <v>26</v>
      </c>
      <c r="AX485">
        <v>483</v>
      </c>
      <c r="AY485">
        <v>109.187057</v>
      </c>
      <c r="AZ485" s="14">
        <v>0.88322906799688961</v>
      </c>
      <c r="BA485">
        <v>30.222999999999999</v>
      </c>
      <c r="BB485" s="14">
        <v>0.88052091830788959</v>
      </c>
      <c r="BC485">
        <v>26</v>
      </c>
    </row>
    <row r="486" spans="15:55" x14ac:dyDescent="0.35">
      <c r="O486">
        <v>484</v>
      </c>
      <c r="P486">
        <v>109.46959699999999</v>
      </c>
      <c r="Q486" s="14">
        <v>0.89231924194368761</v>
      </c>
      <c r="R486">
        <v>30.271999999999998</v>
      </c>
      <c r="S486" s="14">
        <v>0.89208463487947198</v>
      </c>
      <c r="T486">
        <v>26</v>
      </c>
      <c r="V486">
        <v>484</v>
      </c>
      <c r="W486">
        <v>110.005872</v>
      </c>
      <c r="X486" s="14">
        <v>0.89748446004983273</v>
      </c>
      <c r="Y486">
        <v>30.356999999999999</v>
      </c>
      <c r="Z486" s="14">
        <v>0.89606824487868231</v>
      </c>
      <c r="AA486">
        <v>26</v>
      </c>
      <c r="AC486">
        <v>484</v>
      </c>
      <c r="AD486">
        <v>109.277259</v>
      </c>
      <c r="AE486" s="14">
        <v>0.90002213131525433</v>
      </c>
      <c r="AF486">
        <v>30.155999999999999</v>
      </c>
      <c r="AG486" s="14">
        <v>0.89768701812877671</v>
      </c>
      <c r="AH486">
        <v>26</v>
      </c>
      <c r="AJ486">
        <v>484</v>
      </c>
      <c r="AK486">
        <v>108.11319399999999</v>
      </c>
      <c r="AL486" s="14">
        <v>0.87846494658707397</v>
      </c>
      <c r="AM486">
        <v>29.843</v>
      </c>
      <c r="AN486" s="14">
        <v>0.87295969110162053</v>
      </c>
      <c r="AO486">
        <v>26</v>
      </c>
      <c r="AQ486">
        <v>484</v>
      </c>
      <c r="AR486">
        <v>107.22411200000001</v>
      </c>
      <c r="AS486" s="14">
        <v>0.88004178864514837</v>
      </c>
      <c r="AT486">
        <v>29.628</v>
      </c>
      <c r="AU486" s="14">
        <v>0.87493724714289933</v>
      </c>
      <c r="AV486">
        <v>26</v>
      </c>
      <c r="AX486">
        <v>484</v>
      </c>
      <c r="AY486">
        <v>109.15357400000001</v>
      </c>
      <c r="AZ486" s="14">
        <v>0.88295821942109431</v>
      </c>
      <c r="BA486">
        <v>30.215</v>
      </c>
      <c r="BB486" s="14">
        <v>0.88028784523948267</v>
      </c>
      <c r="BC486">
        <v>26</v>
      </c>
    </row>
    <row r="487" spans="15:55" x14ac:dyDescent="0.35">
      <c r="V487">
        <v>485</v>
      </c>
      <c r="W487">
        <v>109.974765</v>
      </c>
      <c r="X487" s="14">
        <v>0.8972306731510864</v>
      </c>
      <c r="Y487">
        <v>30.347999999999999</v>
      </c>
      <c r="Z487" s="14">
        <v>0.89580258574886351</v>
      </c>
      <c r="AA487">
        <v>26</v>
      </c>
      <c r="AC487">
        <v>485</v>
      </c>
      <c r="AD487">
        <v>109.292925</v>
      </c>
      <c r="AE487" s="14">
        <v>0.90015115858806671</v>
      </c>
      <c r="AF487">
        <v>30.158000000000001</v>
      </c>
      <c r="AG487" s="14">
        <v>0.89774655434167827</v>
      </c>
      <c r="AH487">
        <v>26</v>
      </c>
      <c r="AJ487">
        <v>485</v>
      </c>
      <c r="AK487">
        <v>108.11318</v>
      </c>
      <c r="AL487" s="14">
        <v>0.87846483283121501</v>
      </c>
      <c r="AM487">
        <v>29.838999999999999</v>
      </c>
      <c r="AN487" s="14">
        <v>0.87284268413970623</v>
      </c>
      <c r="AO487">
        <v>26</v>
      </c>
      <c r="AQ487">
        <v>485</v>
      </c>
      <c r="AR487">
        <v>106.984876</v>
      </c>
      <c r="AS487" s="14">
        <v>0.87807825942190509</v>
      </c>
      <c r="AT487">
        <v>29.582000000000001</v>
      </c>
      <c r="AU487" s="14">
        <v>0.87357883235389666</v>
      </c>
      <c r="AV487">
        <v>26</v>
      </c>
      <c r="AX487">
        <v>485</v>
      </c>
      <c r="AY487">
        <v>109.139822</v>
      </c>
      <c r="AZ487" s="14">
        <v>0.88284697760840314</v>
      </c>
      <c r="BA487">
        <v>30.209</v>
      </c>
      <c r="BB487" s="14">
        <v>0.8801130404381774</v>
      </c>
      <c r="BC487">
        <v>26</v>
      </c>
    </row>
    <row r="488" spans="15:55" x14ac:dyDescent="0.35">
      <c r="V488">
        <v>486</v>
      </c>
      <c r="W488">
        <v>109.983262</v>
      </c>
      <c r="X488" s="14">
        <v>0.8972999960455682</v>
      </c>
      <c r="Y488">
        <v>30.347999999999999</v>
      </c>
      <c r="Z488" s="14">
        <v>0.89580258574886351</v>
      </c>
      <c r="AA488">
        <v>26</v>
      </c>
      <c r="AC488">
        <v>486</v>
      </c>
      <c r="AD488">
        <v>109.232783</v>
      </c>
      <c r="AE488" s="14">
        <v>0.89965582102637365</v>
      </c>
      <c r="AF488">
        <v>30.143999999999998</v>
      </c>
      <c r="AG488" s="14">
        <v>0.89732980085136771</v>
      </c>
      <c r="AH488">
        <v>26</v>
      </c>
      <c r="AJ488">
        <v>486</v>
      </c>
      <c r="AK488">
        <v>107.77075499999999</v>
      </c>
      <c r="AL488" s="14">
        <v>0.87568248640146207</v>
      </c>
      <c r="AM488">
        <v>29.776</v>
      </c>
      <c r="AN488" s="14">
        <v>0.87099982448955715</v>
      </c>
      <c r="AO488">
        <v>26</v>
      </c>
      <c r="AQ488">
        <v>486</v>
      </c>
      <c r="AR488">
        <v>106.69705</v>
      </c>
      <c r="AS488" s="14">
        <v>0.87571592782377938</v>
      </c>
      <c r="AT488">
        <v>29.526</v>
      </c>
      <c r="AU488" s="14">
        <v>0.87192511000206718</v>
      </c>
      <c r="AV488">
        <v>26</v>
      </c>
      <c r="AX488">
        <v>486</v>
      </c>
      <c r="AY488">
        <v>109.146468</v>
      </c>
      <c r="AZ488" s="14">
        <v>0.88290073801322755</v>
      </c>
      <c r="BA488">
        <v>30.207999999999998</v>
      </c>
      <c r="BB488" s="14">
        <v>0.88008390630462652</v>
      </c>
      <c r="BC488">
        <v>26</v>
      </c>
    </row>
    <row r="489" spans="15:55" x14ac:dyDescent="0.35">
      <c r="V489">
        <v>487</v>
      </c>
      <c r="W489">
        <v>109.98777699999999</v>
      </c>
      <c r="X489" s="14">
        <v>0.89733683173682222</v>
      </c>
      <c r="Y489">
        <v>30.347000000000001</v>
      </c>
      <c r="Z489" s="14">
        <v>0.89577306806777268</v>
      </c>
      <c r="AA489">
        <v>26</v>
      </c>
      <c r="AC489">
        <v>487</v>
      </c>
      <c r="AD489">
        <v>109.193589</v>
      </c>
      <c r="AE489" s="14">
        <v>0.89933301399646115</v>
      </c>
      <c r="AF489">
        <v>30.135000000000002</v>
      </c>
      <c r="AG489" s="14">
        <v>0.89706188789331109</v>
      </c>
      <c r="AH489">
        <v>26</v>
      </c>
      <c r="AJ489">
        <v>487</v>
      </c>
      <c r="AK489">
        <v>107.498001</v>
      </c>
      <c r="AL489" s="14">
        <v>0.87346624600400047</v>
      </c>
      <c r="AM489">
        <v>29.722000000000001</v>
      </c>
      <c r="AN489" s="14">
        <v>0.86942023050371497</v>
      </c>
      <c r="AO489">
        <v>26</v>
      </c>
      <c r="AQ489">
        <v>487</v>
      </c>
      <c r="AR489">
        <v>106.60358100000001</v>
      </c>
      <c r="AS489" s="14">
        <v>0.8749487811026867</v>
      </c>
      <c r="AT489">
        <v>29.506</v>
      </c>
      <c r="AU489" s="14">
        <v>0.87133449487641379</v>
      </c>
      <c r="AV489">
        <v>26</v>
      </c>
      <c r="AX489">
        <v>487</v>
      </c>
      <c r="AY489">
        <v>109.135407</v>
      </c>
      <c r="AZ489" s="14">
        <v>0.88281126406833399</v>
      </c>
      <c r="BA489">
        <v>30.202999999999999</v>
      </c>
      <c r="BB489" s="14">
        <v>0.87993823563687223</v>
      </c>
      <c r="BC489">
        <v>26</v>
      </c>
    </row>
    <row r="490" spans="15:55" x14ac:dyDescent="0.35">
      <c r="V490">
        <v>488</v>
      </c>
      <c r="W490">
        <v>109.960041</v>
      </c>
      <c r="X490" s="14">
        <v>0.89711054718917616</v>
      </c>
      <c r="Y490">
        <v>30.34</v>
      </c>
      <c r="Z490" s="14">
        <v>0.89556644430013577</v>
      </c>
      <c r="AA490">
        <v>26</v>
      </c>
      <c r="AC490">
        <v>488</v>
      </c>
      <c r="AD490">
        <v>109.18243699999999</v>
      </c>
      <c r="AE490" s="14">
        <v>0.89924116463182402</v>
      </c>
      <c r="AF490">
        <v>30.13</v>
      </c>
      <c r="AG490" s="14">
        <v>0.89691304736105726</v>
      </c>
      <c r="AH490">
        <v>26</v>
      </c>
      <c r="AJ490">
        <v>488</v>
      </c>
      <c r="AK490">
        <v>107.39136999999999</v>
      </c>
      <c r="AL490" s="14">
        <v>0.87259982450396101</v>
      </c>
      <c r="AM490">
        <v>29.699000000000002</v>
      </c>
      <c r="AN490" s="14">
        <v>0.86874744047270813</v>
      </c>
      <c r="AO490">
        <v>26</v>
      </c>
      <c r="AQ490">
        <v>488</v>
      </c>
      <c r="AR490">
        <v>106.63480800000001</v>
      </c>
      <c r="AS490" s="14">
        <v>0.87520507667297798</v>
      </c>
      <c r="AT490">
        <v>29.507999999999999</v>
      </c>
      <c r="AU490" s="14">
        <v>0.87139355638897908</v>
      </c>
      <c r="AV490">
        <v>26</v>
      </c>
      <c r="AX490">
        <v>488</v>
      </c>
      <c r="AY490">
        <v>109.08346400000001</v>
      </c>
      <c r="AZ490" s="14">
        <v>0.88239109002262306</v>
      </c>
      <c r="BA490">
        <v>30.190999999999999</v>
      </c>
      <c r="BB490" s="14">
        <v>0.8795886260342618</v>
      </c>
      <c r="BC490">
        <v>26</v>
      </c>
    </row>
    <row r="491" spans="15:55" x14ac:dyDescent="0.35">
      <c r="V491">
        <v>489</v>
      </c>
      <c r="W491">
        <v>109.91108</v>
      </c>
      <c r="X491" s="14">
        <v>0.89671109817932237</v>
      </c>
      <c r="Y491">
        <v>30.327999999999999</v>
      </c>
      <c r="Z491" s="14">
        <v>0.89521223212704404</v>
      </c>
      <c r="AA491">
        <v>26</v>
      </c>
      <c r="AC491">
        <v>489</v>
      </c>
      <c r="AD491">
        <v>109.205196</v>
      </c>
      <c r="AE491" s="14">
        <v>0.89942861080199754</v>
      </c>
      <c r="AF491">
        <v>30.132999999999999</v>
      </c>
      <c r="AG491" s="14">
        <v>0.89700235168040954</v>
      </c>
      <c r="AH491">
        <v>26</v>
      </c>
      <c r="AJ491">
        <v>489</v>
      </c>
      <c r="AK491">
        <v>107.516947</v>
      </c>
      <c r="AL491" s="14">
        <v>0.87362019018289538</v>
      </c>
      <c r="AM491">
        <v>29.719000000000001</v>
      </c>
      <c r="AN491" s="14">
        <v>0.8693324752822793</v>
      </c>
      <c r="AO491">
        <v>26</v>
      </c>
      <c r="AQ491">
        <v>489</v>
      </c>
      <c r="AR491">
        <v>106.787049</v>
      </c>
      <c r="AS491" s="14">
        <v>0.87645459452345098</v>
      </c>
      <c r="AT491">
        <v>29.533999999999999</v>
      </c>
      <c r="AU491" s="14">
        <v>0.87216135605232847</v>
      </c>
      <c r="AV491">
        <v>26</v>
      </c>
      <c r="AX491">
        <v>489</v>
      </c>
      <c r="AY491">
        <v>109.05296</v>
      </c>
      <c r="AZ491" s="14">
        <v>0.88214433898609512</v>
      </c>
      <c r="BA491">
        <v>30.183</v>
      </c>
      <c r="BB491" s="14">
        <v>0.87935555296585488</v>
      </c>
      <c r="BC491">
        <v>26</v>
      </c>
    </row>
    <row r="492" spans="15:55" x14ac:dyDescent="0.35">
      <c r="V492">
        <v>490</v>
      </c>
      <c r="W492">
        <v>109.88604100000001</v>
      </c>
      <c r="X492" s="14">
        <v>0.89650681714425928</v>
      </c>
      <c r="Y492">
        <v>30.321000000000002</v>
      </c>
      <c r="Z492" s="14">
        <v>0.89500560835940735</v>
      </c>
      <c r="AA492">
        <v>26</v>
      </c>
      <c r="AC492">
        <v>490</v>
      </c>
      <c r="AD492">
        <v>109.207964</v>
      </c>
      <c r="AE492" s="14">
        <v>0.89945140842047999</v>
      </c>
      <c r="AF492">
        <v>30.131</v>
      </c>
      <c r="AG492" s="14">
        <v>0.89694281546750798</v>
      </c>
      <c r="AH492">
        <v>26</v>
      </c>
      <c r="AJ492">
        <v>490</v>
      </c>
      <c r="AK492">
        <v>107.650897</v>
      </c>
      <c r="AL492" s="14">
        <v>0.87470858999092749</v>
      </c>
      <c r="AM492">
        <v>29.741</v>
      </c>
      <c r="AN492" s="14">
        <v>0.86997601357280763</v>
      </c>
      <c r="AO492">
        <v>26</v>
      </c>
      <c r="AQ492">
        <v>490</v>
      </c>
      <c r="AR492">
        <v>106.82875300000001</v>
      </c>
      <c r="AS492" s="14">
        <v>0.8767968800604361</v>
      </c>
      <c r="AT492">
        <v>29.539000000000001</v>
      </c>
      <c r="AU492" s="14">
        <v>0.87230900983374193</v>
      </c>
      <c r="AV492">
        <v>26</v>
      </c>
      <c r="AX492">
        <v>490</v>
      </c>
      <c r="AY492">
        <v>109.034299</v>
      </c>
      <c r="AZ492" s="14">
        <v>0.88199338759963286</v>
      </c>
      <c r="BA492">
        <v>30.177</v>
      </c>
      <c r="BB492" s="14">
        <v>0.87918074816454961</v>
      </c>
      <c r="BC492">
        <v>26</v>
      </c>
    </row>
    <row r="493" spans="15:55" x14ac:dyDescent="0.35">
      <c r="V493">
        <v>491</v>
      </c>
      <c r="W493">
        <v>109.888538</v>
      </c>
      <c r="X493" s="14">
        <v>0.89652718895401806</v>
      </c>
      <c r="Y493">
        <v>30.32</v>
      </c>
      <c r="Z493" s="14">
        <v>0.89497609067831629</v>
      </c>
      <c r="AA493">
        <v>26</v>
      </c>
      <c r="AC493">
        <v>491</v>
      </c>
      <c r="AD493">
        <v>109.13749900000001</v>
      </c>
      <c r="AE493" s="14">
        <v>0.89887104924910721</v>
      </c>
      <c r="AF493">
        <v>30.114999999999998</v>
      </c>
      <c r="AG493" s="14">
        <v>0.89646652576429597</v>
      </c>
      <c r="AH493">
        <v>26</v>
      </c>
      <c r="AJ493">
        <v>491</v>
      </c>
      <c r="AK493">
        <v>107.69355</v>
      </c>
      <c r="AL493" s="14">
        <v>0.87505516346619439</v>
      </c>
      <c r="AM493">
        <v>29.747</v>
      </c>
      <c r="AN493" s="14">
        <v>0.87015152401567897</v>
      </c>
      <c r="AO493">
        <v>26</v>
      </c>
      <c r="AQ493">
        <v>491</v>
      </c>
      <c r="AR493">
        <v>106.797527</v>
      </c>
      <c r="AS493" s="14">
        <v>0.87654059269764373</v>
      </c>
      <c r="AT493">
        <v>29.532</v>
      </c>
      <c r="AU493" s="14">
        <v>0.87210229453976318</v>
      </c>
      <c r="AV493">
        <v>26</v>
      </c>
      <c r="AX493">
        <v>491</v>
      </c>
      <c r="AY493">
        <v>109.03345400000001</v>
      </c>
      <c r="AZ493" s="14">
        <v>0.88198655227882683</v>
      </c>
      <c r="BA493">
        <v>30.173999999999999</v>
      </c>
      <c r="BB493" s="14">
        <v>0.87909334576389697</v>
      </c>
      <c r="BC493">
        <v>26</v>
      </c>
    </row>
    <row r="494" spans="15:55" x14ac:dyDescent="0.35">
      <c r="V494">
        <v>492</v>
      </c>
      <c r="W494">
        <v>109.888684</v>
      </c>
      <c r="X494" s="14">
        <v>0.89652838009707969</v>
      </c>
      <c r="Y494">
        <v>30.318000000000001</v>
      </c>
      <c r="Z494" s="14">
        <v>0.89491705531613441</v>
      </c>
      <c r="AA494">
        <v>26</v>
      </c>
      <c r="AC494">
        <v>492</v>
      </c>
      <c r="AD494">
        <v>109.11391399999999</v>
      </c>
      <c r="AE494" s="14">
        <v>0.89867680003237782</v>
      </c>
      <c r="AF494">
        <v>30.109000000000002</v>
      </c>
      <c r="AG494" s="14">
        <v>0.89628791712559164</v>
      </c>
      <c r="AH494">
        <v>26</v>
      </c>
      <c r="AJ494">
        <v>492</v>
      </c>
      <c r="AK494">
        <v>107.64628500000001</v>
      </c>
      <c r="AL494" s="14">
        <v>0.87467111556080701</v>
      </c>
      <c r="AM494">
        <v>29.736000000000001</v>
      </c>
      <c r="AN494" s="14">
        <v>0.86982975487041481</v>
      </c>
      <c r="AO494">
        <v>26</v>
      </c>
      <c r="AQ494">
        <v>492</v>
      </c>
      <c r="AR494">
        <v>106.799581</v>
      </c>
      <c r="AS494" s="14">
        <v>0.87655745090052517</v>
      </c>
      <c r="AT494">
        <v>29.529</v>
      </c>
      <c r="AU494" s="14">
        <v>0.87201370227091513</v>
      </c>
      <c r="AV494">
        <v>26</v>
      </c>
      <c r="AX494">
        <v>492</v>
      </c>
      <c r="AY494">
        <v>108.96205</v>
      </c>
      <c r="AZ494" s="14">
        <v>0.88140895553701482</v>
      </c>
      <c r="BA494">
        <v>30.16</v>
      </c>
      <c r="BB494" s="14">
        <v>0.87868546789418489</v>
      </c>
      <c r="BC494">
        <v>26</v>
      </c>
    </row>
    <row r="495" spans="15:55" x14ac:dyDescent="0.35">
      <c r="V495">
        <v>493</v>
      </c>
      <c r="W495">
        <v>109.770436</v>
      </c>
      <c r="X495" s="14">
        <v>0.89556365211935895</v>
      </c>
      <c r="Y495">
        <v>30.295000000000002</v>
      </c>
      <c r="Z495" s="14">
        <v>0.89423814865104201</v>
      </c>
      <c r="AA495">
        <v>26</v>
      </c>
      <c r="AC495">
        <v>493</v>
      </c>
      <c r="AD495">
        <v>109.08121800000001</v>
      </c>
      <c r="AE495" s="14">
        <v>0.89840751140018882</v>
      </c>
      <c r="AF495">
        <v>30.102</v>
      </c>
      <c r="AG495" s="14">
        <v>0.89607954038043636</v>
      </c>
      <c r="AH495">
        <v>26</v>
      </c>
      <c r="AJ495">
        <v>493</v>
      </c>
      <c r="AK495">
        <v>107.67376</v>
      </c>
      <c r="AL495" s="14">
        <v>0.87489436143408572</v>
      </c>
      <c r="AM495">
        <v>29.738</v>
      </c>
      <c r="AN495" s="14">
        <v>0.86988825835137185</v>
      </c>
      <c r="AO495">
        <v>26</v>
      </c>
      <c r="AQ495">
        <v>493</v>
      </c>
      <c r="AR495">
        <v>106.77058599999999</v>
      </c>
      <c r="AS495" s="14">
        <v>0.87631947446793157</v>
      </c>
      <c r="AT495">
        <v>29.521000000000001</v>
      </c>
      <c r="AU495" s="14">
        <v>0.87177745622065383</v>
      </c>
      <c r="AV495">
        <v>26</v>
      </c>
    </row>
    <row r="496" spans="15:55" x14ac:dyDescent="0.35">
      <c r="AC496">
        <v>494</v>
      </c>
      <c r="AD496">
        <v>109.117107</v>
      </c>
      <c r="AE496" s="14">
        <v>0.89870309800774439</v>
      </c>
      <c r="AF496">
        <v>30.106000000000002</v>
      </c>
      <c r="AG496" s="14">
        <v>0.89619861280623936</v>
      </c>
      <c r="AH496">
        <v>26</v>
      </c>
      <c r="AJ496">
        <v>494</v>
      </c>
      <c r="AK496">
        <v>107.61446100000001</v>
      </c>
      <c r="AL496" s="14">
        <v>0.87441253224247317</v>
      </c>
      <c r="AM496">
        <v>29.725000000000001</v>
      </c>
      <c r="AN496" s="14">
        <v>0.86950798572515064</v>
      </c>
      <c r="AO496">
        <v>26</v>
      </c>
      <c r="AQ496">
        <v>494</v>
      </c>
      <c r="AR496">
        <v>106.71532500000001</v>
      </c>
      <c r="AS496" s="14">
        <v>0.8758659198674299</v>
      </c>
      <c r="AT496">
        <v>29.509</v>
      </c>
      <c r="AU496" s="14">
        <v>0.87142308714526184</v>
      </c>
      <c r="AV496">
        <v>26</v>
      </c>
    </row>
    <row r="497" spans="29:48" x14ac:dyDescent="0.35">
      <c r="AC497">
        <v>495</v>
      </c>
      <c r="AD497">
        <v>109.081087</v>
      </c>
      <c r="AE497" s="14">
        <v>0.89840643246665508</v>
      </c>
      <c r="AF497">
        <v>30.094999999999999</v>
      </c>
      <c r="AG497" s="14">
        <v>0.89587116363528108</v>
      </c>
      <c r="AH497">
        <v>26</v>
      </c>
      <c r="AJ497">
        <v>495</v>
      </c>
      <c r="AK497">
        <v>107.559623</v>
      </c>
      <c r="AL497" s="14">
        <v>0.87396695054278772</v>
      </c>
      <c r="AM497">
        <v>29.712</v>
      </c>
      <c r="AN497" s="14">
        <v>0.86912771309892933</v>
      </c>
      <c r="AO497">
        <v>26</v>
      </c>
      <c r="AQ497">
        <v>495</v>
      </c>
      <c r="AR497">
        <v>106.676889</v>
      </c>
      <c r="AS497" s="14">
        <v>0.87555045643707408</v>
      </c>
      <c r="AT497">
        <v>29.498999999999999</v>
      </c>
      <c r="AU497" s="14">
        <v>0.87112777958243504</v>
      </c>
      <c r="AV497">
        <v>26</v>
      </c>
    </row>
    <row r="498" spans="29:48" x14ac:dyDescent="0.35">
      <c r="AJ498">
        <v>496</v>
      </c>
      <c r="AK498">
        <v>107.51528399999999</v>
      </c>
      <c r="AL498" s="14">
        <v>0.87360667761193034</v>
      </c>
      <c r="AM498">
        <v>29.702000000000002</v>
      </c>
      <c r="AN498" s="14">
        <v>0.8688351956941438</v>
      </c>
      <c r="AO498">
        <v>26</v>
      </c>
      <c r="AQ498">
        <v>496</v>
      </c>
      <c r="AR498">
        <v>106.682864</v>
      </c>
      <c r="AS498" s="14">
        <v>0.87559949624341127</v>
      </c>
      <c r="AT498">
        <v>29.497</v>
      </c>
      <c r="AU498" s="14">
        <v>0.87106871806986974</v>
      </c>
      <c r="AV498">
        <v>26</v>
      </c>
    </row>
    <row r="499" spans="29:48" x14ac:dyDescent="0.35">
      <c r="AJ499">
        <v>497</v>
      </c>
      <c r="AK499">
        <v>107.54277399999999</v>
      </c>
      <c r="AL499" s="14">
        <v>0.87383004536648656</v>
      </c>
      <c r="AM499">
        <v>29.704000000000001</v>
      </c>
      <c r="AN499" s="14">
        <v>0.86889369917510095</v>
      </c>
      <c r="AO499">
        <v>26</v>
      </c>
      <c r="AQ499">
        <v>497</v>
      </c>
      <c r="AR499">
        <v>106.684335</v>
      </c>
      <c r="AS499" s="14">
        <v>0.875611569474394</v>
      </c>
      <c r="AT499">
        <v>29.495999999999999</v>
      </c>
      <c r="AU499" s="14">
        <v>0.87103918731358709</v>
      </c>
      <c r="AV499">
        <v>26</v>
      </c>
    </row>
    <row r="500" spans="29:48" x14ac:dyDescent="0.35">
      <c r="AJ500">
        <v>498</v>
      </c>
      <c r="AK500">
        <v>107.543027</v>
      </c>
      <c r="AL500" s="14">
        <v>0.87383210109736698</v>
      </c>
      <c r="AM500">
        <v>29.699000000000002</v>
      </c>
      <c r="AN500" s="14">
        <v>0.86874744047270813</v>
      </c>
      <c r="AO500">
        <v>26</v>
      </c>
      <c r="AQ500">
        <v>498</v>
      </c>
      <c r="AR500">
        <v>106.679528</v>
      </c>
      <c r="AS500" s="14">
        <v>0.87557211602685214</v>
      </c>
      <c r="AT500">
        <v>29.49</v>
      </c>
      <c r="AU500" s="14">
        <v>0.8708620027758911</v>
      </c>
      <c r="AV500">
        <v>26</v>
      </c>
    </row>
    <row r="501" spans="29:48" x14ac:dyDescent="0.35">
      <c r="AJ501">
        <v>499</v>
      </c>
      <c r="AK501">
        <v>107.528716</v>
      </c>
      <c r="AL501" s="14">
        <v>0.8737158182332182</v>
      </c>
      <c r="AM501">
        <v>29.696000000000002</v>
      </c>
      <c r="AN501" s="14">
        <v>0.86865968525127246</v>
      </c>
      <c r="AO501">
        <v>26</v>
      </c>
      <c r="AQ501">
        <v>499</v>
      </c>
      <c r="AR501">
        <v>106.615284</v>
      </c>
      <c r="AS501" s="14">
        <v>0.87504483346311579</v>
      </c>
      <c r="AT501">
        <v>29.478000000000002</v>
      </c>
      <c r="AU501" s="14">
        <v>0.87050763370049911</v>
      </c>
      <c r="AV501">
        <v>26</v>
      </c>
    </row>
    <row r="502" spans="29:48" x14ac:dyDescent="0.35">
      <c r="AJ502">
        <v>500</v>
      </c>
      <c r="AK502">
        <v>107.466233</v>
      </c>
      <c r="AL502" s="14">
        <v>0.87320811770910267</v>
      </c>
      <c r="AM502">
        <v>29.681000000000001</v>
      </c>
      <c r="AN502" s="14">
        <v>0.86822090914409411</v>
      </c>
      <c r="AO502">
        <v>26</v>
      </c>
      <c r="AQ502">
        <v>500</v>
      </c>
      <c r="AR502">
        <v>106.59668600000001</v>
      </c>
      <c r="AS502" s="14">
        <v>0.87489219039729837</v>
      </c>
      <c r="AT502">
        <v>29.471</v>
      </c>
      <c r="AU502" s="14">
        <v>0.87030091840652035</v>
      </c>
      <c r="AV502">
        <v>26</v>
      </c>
    </row>
    <row r="503" spans="29:48" x14ac:dyDescent="0.35">
      <c r="AJ503">
        <v>501</v>
      </c>
      <c r="AK503">
        <v>107.445818</v>
      </c>
      <c r="AL503" s="14">
        <v>0.87304223729043173</v>
      </c>
      <c r="AM503">
        <v>29.675999999999998</v>
      </c>
      <c r="AN503" s="14">
        <v>0.86807465044170129</v>
      </c>
      <c r="AO503">
        <v>26</v>
      </c>
      <c r="AQ503">
        <v>501</v>
      </c>
      <c r="AR503">
        <v>106.570973</v>
      </c>
      <c r="AS503" s="14">
        <v>0.87468115097631971</v>
      </c>
      <c r="AT503">
        <v>29.463999999999999</v>
      </c>
      <c r="AU503" s="14">
        <v>0.87009420311254171</v>
      </c>
      <c r="AV503">
        <v>26</v>
      </c>
    </row>
    <row r="504" spans="29:48" x14ac:dyDescent="0.35">
      <c r="AJ504">
        <v>502</v>
      </c>
      <c r="AK504">
        <v>107.448756</v>
      </c>
      <c r="AL504" s="14">
        <v>0.87306610976998378</v>
      </c>
      <c r="AM504">
        <v>29.672000000000001</v>
      </c>
      <c r="AN504" s="14">
        <v>0.8679576434797871</v>
      </c>
      <c r="AO504">
        <v>26</v>
      </c>
      <c r="AQ504">
        <v>502</v>
      </c>
      <c r="AR504">
        <v>106.573981</v>
      </c>
      <c r="AS504" s="14">
        <v>0.8747058391332172</v>
      </c>
      <c r="AT504">
        <v>29.462</v>
      </c>
      <c r="AU504" s="14">
        <v>0.87003514159997641</v>
      </c>
      <c r="AV504">
        <v>26</v>
      </c>
    </row>
    <row r="505" spans="29:48" x14ac:dyDescent="0.35">
      <c r="AJ505">
        <v>503</v>
      </c>
      <c r="AK505">
        <v>107.433697</v>
      </c>
      <c r="AL505" s="14">
        <v>0.87294374909279704</v>
      </c>
      <c r="AM505">
        <v>29.667999999999999</v>
      </c>
      <c r="AN505" s="14">
        <v>0.8678406365178728</v>
      </c>
      <c r="AO505">
        <v>26</v>
      </c>
      <c r="AQ505">
        <v>503</v>
      </c>
      <c r="AR505">
        <v>106.518242</v>
      </c>
      <c r="AS505" s="14">
        <v>0.87424836134820838</v>
      </c>
      <c r="AT505">
        <v>29.45</v>
      </c>
      <c r="AU505" s="14">
        <v>0.86968077252458431</v>
      </c>
      <c r="AV505">
        <v>26</v>
      </c>
    </row>
    <row r="506" spans="29:48" x14ac:dyDescent="0.35">
      <c r="AJ506">
        <v>504</v>
      </c>
      <c r="AK506">
        <v>107.30630499999999</v>
      </c>
      <c r="AL506" s="14">
        <v>0.87190863577928579</v>
      </c>
      <c r="AM506">
        <v>29.641999999999999</v>
      </c>
      <c r="AN506" s="14">
        <v>0.86708009126543029</v>
      </c>
      <c r="AO506">
        <v>26</v>
      </c>
    </row>
  </sheetData>
  <mergeCells count="31">
    <mergeCell ref="C68:G68"/>
    <mergeCell ref="H68:J68"/>
    <mergeCell ref="K68:M68"/>
    <mergeCell ref="C48:G48"/>
    <mergeCell ref="H48:J48"/>
    <mergeCell ref="K48:M48"/>
    <mergeCell ref="C58:G58"/>
    <mergeCell ref="H58:J58"/>
    <mergeCell ref="K58:M58"/>
    <mergeCell ref="C28:G28"/>
    <mergeCell ref="H28:J28"/>
    <mergeCell ref="K28:M28"/>
    <mergeCell ref="C38:G38"/>
    <mergeCell ref="H38:J38"/>
    <mergeCell ref="K38:M38"/>
    <mergeCell ref="E14:K14"/>
    <mergeCell ref="C18:G18"/>
    <mergeCell ref="H18:J18"/>
    <mergeCell ref="K18:M18"/>
    <mergeCell ref="E13:K13"/>
    <mergeCell ref="C1:M1"/>
    <mergeCell ref="C3:M3"/>
    <mergeCell ref="E4:K4"/>
    <mergeCell ref="E5:K5"/>
    <mergeCell ref="E6:K6"/>
    <mergeCell ref="E12:K12"/>
    <mergeCell ref="E7:K7"/>
    <mergeCell ref="E8:K8"/>
    <mergeCell ref="E9:K9"/>
    <mergeCell ref="E10:K10"/>
    <mergeCell ref="E11:K11"/>
  </mergeCells>
  <phoneticPr fontId="4" type="noConversion"/>
  <pageMargins left="0.7" right="0.7" top="0.75" bottom="0.75" header="0.3" footer="0.3"/>
  <pageSetup paperSize="9" orientation="portrait" r:id="rId1"/>
  <drawing r:id="rId2"/>
  <tableParts count="24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59979-9B64-4BFF-B36B-5DF9017BFEB8}">
  <dimension ref="B1:BC521"/>
  <sheetViews>
    <sheetView showGridLines="0" tabSelected="1" workbookViewId="0">
      <selection activeCell="L110" sqref="L110"/>
    </sheetView>
  </sheetViews>
  <sheetFormatPr defaultRowHeight="16.5" x14ac:dyDescent="0.35"/>
  <sheetData>
    <row r="1" spans="2:55" ht="18" x14ac:dyDescent="0.35">
      <c r="C1" s="69" t="s">
        <v>153</v>
      </c>
      <c r="D1" s="70"/>
      <c r="E1" s="70"/>
      <c r="F1" s="70"/>
      <c r="G1" s="70"/>
      <c r="H1" s="70"/>
      <c r="I1" s="70"/>
      <c r="J1" s="70"/>
      <c r="K1" s="70"/>
      <c r="L1" s="70"/>
      <c r="M1" s="71"/>
      <c r="O1" t="s">
        <v>173</v>
      </c>
      <c r="V1" t="s">
        <v>147</v>
      </c>
      <c r="AC1" t="s">
        <v>148</v>
      </c>
      <c r="AJ1" t="s">
        <v>174</v>
      </c>
      <c r="AQ1" t="s">
        <v>150</v>
      </c>
      <c r="AX1" t="s">
        <v>151</v>
      </c>
    </row>
    <row r="2" spans="2:55" x14ac:dyDescent="0.35">
      <c r="B2" s="5" t="s">
        <v>23</v>
      </c>
      <c r="O2" t="s">
        <v>160</v>
      </c>
      <c r="P2" t="s">
        <v>161</v>
      </c>
      <c r="Q2" t="s">
        <v>162</v>
      </c>
      <c r="R2" t="s">
        <v>163</v>
      </c>
      <c r="S2" t="s">
        <v>164</v>
      </c>
      <c r="T2" t="s">
        <v>165</v>
      </c>
      <c r="V2" t="s">
        <v>160</v>
      </c>
      <c r="W2" t="s">
        <v>161</v>
      </c>
      <c r="X2" t="s">
        <v>162</v>
      </c>
      <c r="Y2" t="s">
        <v>163</v>
      </c>
      <c r="Z2" t="s">
        <v>164</v>
      </c>
      <c r="AA2" t="s">
        <v>165</v>
      </c>
      <c r="AC2" t="s">
        <v>160</v>
      </c>
      <c r="AD2" t="s">
        <v>161</v>
      </c>
      <c r="AE2" t="s">
        <v>162</v>
      </c>
      <c r="AF2" t="s">
        <v>163</v>
      </c>
      <c r="AG2" t="s">
        <v>164</v>
      </c>
      <c r="AH2" t="s">
        <v>165</v>
      </c>
      <c r="AJ2" t="s">
        <v>160</v>
      </c>
      <c r="AK2" t="s">
        <v>161</v>
      </c>
      <c r="AL2" t="s">
        <v>162</v>
      </c>
      <c r="AM2" t="s">
        <v>163</v>
      </c>
      <c r="AN2" t="s">
        <v>164</v>
      </c>
      <c r="AO2" t="s">
        <v>165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X2" t="s">
        <v>160</v>
      </c>
      <c r="AY2" t="s">
        <v>161</v>
      </c>
      <c r="AZ2" t="s">
        <v>162</v>
      </c>
      <c r="BA2" t="s">
        <v>163</v>
      </c>
      <c r="BB2" t="s">
        <v>164</v>
      </c>
      <c r="BC2" t="s">
        <v>165</v>
      </c>
    </row>
    <row r="3" spans="2:55" x14ac:dyDescent="0.35">
      <c r="C3" s="80" t="s">
        <v>106</v>
      </c>
      <c r="D3" s="81"/>
      <c r="E3" s="81"/>
      <c r="F3" s="81"/>
      <c r="G3" s="81"/>
      <c r="H3" s="81"/>
      <c r="I3" s="81"/>
      <c r="J3" s="81"/>
      <c r="K3" s="81"/>
      <c r="L3" s="81"/>
      <c r="M3" s="82"/>
      <c r="O3">
        <v>1</v>
      </c>
      <c r="P3">
        <v>122.679857</v>
      </c>
      <c r="Q3" s="14">
        <v>1</v>
      </c>
      <c r="R3">
        <v>33.933999999999997</v>
      </c>
      <c r="S3" s="14">
        <v>1</v>
      </c>
      <c r="T3">
        <v>26</v>
      </c>
      <c r="V3">
        <v>1</v>
      </c>
      <c r="W3">
        <v>122.57133899999999</v>
      </c>
      <c r="X3" s="14">
        <v>1</v>
      </c>
      <c r="Y3">
        <v>33.878</v>
      </c>
      <c r="Z3" s="14">
        <v>1</v>
      </c>
      <c r="AA3">
        <v>26</v>
      </c>
      <c r="AC3">
        <v>1</v>
      </c>
      <c r="AD3">
        <v>121.416191</v>
      </c>
      <c r="AE3" s="14">
        <v>1</v>
      </c>
      <c r="AF3">
        <v>33.593000000000004</v>
      </c>
      <c r="AG3" s="14">
        <v>1</v>
      </c>
      <c r="AH3">
        <v>26</v>
      </c>
      <c r="AJ3">
        <v>1</v>
      </c>
      <c r="AK3">
        <v>123.070584</v>
      </c>
      <c r="AL3" s="14">
        <v>1</v>
      </c>
      <c r="AM3">
        <v>34.186</v>
      </c>
      <c r="AN3" s="14">
        <v>1</v>
      </c>
      <c r="AO3">
        <v>26</v>
      </c>
      <c r="AQ3">
        <v>1</v>
      </c>
      <c r="AR3">
        <v>121.83979600000001</v>
      </c>
      <c r="AS3" s="14">
        <v>1</v>
      </c>
      <c r="AT3">
        <v>33.863</v>
      </c>
      <c r="AU3" s="14">
        <v>1</v>
      </c>
      <c r="AV3">
        <v>26</v>
      </c>
      <c r="AX3">
        <v>1</v>
      </c>
      <c r="AY3">
        <v>123.622581</v>
      </c>
      <c r="AZ3" s="14">
        <v>1</v>
      </c>
      <c r="BA3">
        <v>34.323999999999998</v>
      </c>
      <c r="BB3" s="14">
        <v>1</v>
      </c>
      <c r="BC3">
        <v>26</v>
      </c>
    </row>
    <row r="4" spans="2:55" x14ac:dyDescent="0.35">
      <c r="C4" s="51" t="s">
        <v>24</v>
      </c>
      <c r="D4" s="51" t="s">
        <v>25</v>
      </c>
      <c r="E4" s="75" t="s">
        <v>26</v>
      </c>
      <c r="F4" s="75"/>
      <c r="G4" s="75"/>
      <c r="H4" s="75"/>
      <c r="I4" s="75"/>
      <c r="J4" s="75"/>
      <c r="K4" s="75"/>
      <c r="L4" s="51" t="s">
        <v>27</v>
      </c>
      <c r="M4" s="51" t="s">
        <v>28</v>
      </c>
      <c r="O4">
        <v>2</v>
      </c>
      <c r="P4">
        <v>122.78302499999999</v>
      </c>
      <c r="Q4" s="14">
        <v>1.0008409530506708</v>
      </c>
      <c r="R4">
        <v>33.957999999999998</v>
      </c>
      <c r="S4" s="14">
        <v>1.000707255260211</v>
      </c>
      <c r="T4">
        <v>26</v>
      </c>
      <c r="V4">
        <v>2</v>
      </c>
      <c r="W4">
        <v>122.661974</v>
      </c>
      <c r="X4" s="14">
        <v>1.0007394469273114</v>
      </c>
      <c r="Y4">
        <v>33.896999999999998</v>
      </c>
      <c r="Z4" s="14">
        <v>1.0005608359407285</v>
      </c>
      <c r="AA4">
        <v>26</v>
      </c>
      <c r="AC4">
        <v>2</v>
      </c>
      <c r="AD4">
        <v>121.499414</v>
      </c>
      <c r="AE4" s="14">
        <v>1.0006854357669646</v>
      </c>
      <c r="AF4">
        <v>33.61</v>
      </c>
      <c r="AG4" s="14">
        <v>1.0005060578096625</v>
      </c>
      <c r="AH4">
        <v>26</v>
      </c>
      <c r="AJ4">
        <v>2</v>
      </c>
      <c r="AK4">
        <v>123.142529</v>
      </c>
      <c r="AL4" s="14">
        <v>1.0005845832339595</v>
      </c>
      <c r="AM4">
        <v>34.197000000000003</v>
      </c>
      <c r="AN4" s="14">
        <v>1.0003217691452642</v>
      </c>
      <c r="AO4">
        <v>26</v>
      </c>
      <c r="AQ4">
        <v>2</v>
      </c>
      <c r="AR4">
        <v>121.949957</v>
      </c>
      <c r="AS4" s="14">
        <v>1.0009041462938759</v>
      </c>
      <c r="AT4">
        <v>33.884999999999998</v>
      </c>
      <c r="AU4" s="14">
        <v>1.0006496766382187</v>
      </c>
      <c r="AV4">
        <v>26</v>
      </c>
      <c r="AX4">
        <v>2</v>
      </c>
      <c r="AY4">
        <v>123.716832</v>
      </c>
      <c r="AZ4" s="14">
        <v>1.0007624092559595</v>
      </c>
      <c r="BA4">
        <v>34.341000000000001</v>
      </c>
      <c r="BB4" s="14">
        <v>1.0004952802703648</v>
      </c>
      <c r="BC4">
        <v>26</v>
      </c>
    </row>
    <row r="5" spans="2:55" x14ac:dyDescent="0.35">
      <c r="C5" s="12">
        <v>1</v>
      </c>
      <c r="D5" s="12" t="s">
        <v>56</v>
      </c>
      <c r="E5" s="76"/>
      <c r="F5" s="77"/>
      <c r="G5" s="77"/>
      <c r="H5" s="77"/>
      <c r="I5" s="77"/>
      <c r="J5" s="77"/>
      <c r="K5" s="78"/>
      <c r="L5" s="12"/>
      <c r="M5" s="12"/>
      <c r="O5">
        <v>3</v>
      </c>
      <c r="P5">
        <v>122.75649</v>
      </c>
      <c r="Q5" s="14">
        <v>1.0006246583740313</v>
      </c>
      <c r="R5">
        <v>33.954000000000001</v>
      </c>
      <c r="S5" s="14">
        <v>1.0005893793835092</v>
      </c>
      <c r="T5">
        <v>26</v>
      </c>
      <c r="V5">
        <v>3</v>
      </c>
      <c r="W5">
        <v>122.620801</v>
      </c>
      <c r="X5" s="14">
        <v>1.0004035364254282</v>
      </c>
      <c r="Y5">
        <v>33.887999999999998</v>
      </c>
      <c r="Z5" s="14">
        <v>1.0002951768109096</v>
      </c>
      <c r="AA5">
        <v>26</v>
      </c>
      <c r="AC5">
        <v>3</v>
      </c>
      <c r="AD5">
        <v>121.452581</v>
      </c>
      <c r="AE5" s="14">
        <v>1.0002997129106117</v>
      </c>
      <c r="AF5">
        <v>33.600999999999999</v>
      </c>
      <c r="AG5" s="14">
        <v>1.0002381448516058</v>
      </c>
      <c r="AH5">
        <v>26</v>
      </c>
      <c r="AJ5">
        <v>3</v>
      </c>
      <c r="AK5">
        <v>123.062707</v>
      </c>
      <c r="AL5" s="14">
        <v>0.99993599607847805</v>
      </c>
      <c r="AM5">
        <v>34.174999999999997</v>
      </c>
      <c r="AN5" s="14">
        <v>0.99967823085473573</v>
      </c>
      <c r="AO5">
        <v>26</v>
      </c>
      <c r="AQ5">
        <v>3</v>
      </c>
      <c r="AR5">
        <v>121.90490200000001</v>
      </c>
      <c r="AS5" s="14">
        <v>1.0005343574278474</v>
      </c>
      <c r="AT5">
        <v>33.871000000000002</v>
      </c>
      <c r="AU5" s="14">
        <v>1.0002362460502614</v>
      </c>
      <c r="AV5">
        <v>26</v>
      </c>
      <c r="AX5">
        <v>3</v>
      </c>
      <c r="AY5">
        <v>123.66341300000001</v>
      </c>
      <c r="AZ5" s="14">
        <v>1.000330295643965</v>
      </c>
      <c r="BA5">
        <v>34.326999999999998</v>
      </c>
      <c r="BB5" s="14">
        <v>1.0000874024006525</v>
      </c>
      <c r="BC5">
        <v>26</v>
      </c>
    </row>
    <row r="6" spans="2:55" x14ac:dyDescent="0.35">
      <c r="C6" s="12">
        <v>2</v>
      </c>
      <c r="D6" s="12" t="s">
        <v>57</v>
      </c>
      <c r="E6" s="66" t="s">
        <v>62</v>
      </c>
      <c r="F6" s="67"/>
      <c r="G6" s="67"/>
      <c r="H6" s="67"/>
      <c r="I6" s="67"/>
      <c r="J6" s="67"/>
      <c r="K6" s="68"/>
      <c r="L6" s="12" t="s">
        <v>69</v>
      </c>
      <c r="M6" s="12"/>
      <c r="O6">
        <v>4</v>
      </c>
      <c r="P6">
        <v>122.75290699999999</v>
      </c>
      <c r="Q6" s="14">
        <v>1.0005954522754292</v>
      </c>
      <c r="R6">
        <v>33.956000000000003</v>
      </c>
      <c r="S6" s="14">
        <v>1.0006483173218603</v>
      </c>
      <c r="T6">
        <v>26</v>
      </c>
      <c r="V6">
        <v>4</v>
      </c>
      <c r="W6">
        <v>122.614396</v>
      </c>
      <c r="X6" s="14">
        <v>1.0003512811424864</v>
      </c>
      <c r="Y6">
        <v>33.887</v>
      </c>
      <c r="Z6" s="14">
        <v>1.0002656591298187</v>
      </c>
      <c r="AA6">
        <v>26</v>
      </c>
      <c r="AC6">
        <v>4</v>
      </c>
      <c r="AD6">
        <v>121.453367</v>
      </c>
      <c r="AE6" s="14">
        <v>1.0003061865118137</v>
      </c>
      <c r="AF6">
        <v>33.603000000000002</v>
      </c>
      <c r="AG6" s="14">
        <v>1.0002976810645074</v>
      </c>
      <c r="AH6">
        <v>26</v>
      </c>
      <c r="AJ6">
        <v>4</v>
      </c>
      <c r="AK6">
        <v>123.080855</v>
      </c>
      <c r="AL6" s="14">
        <v>1.0000834561734102</v>
      </c>
      <c r="AM6">
        <v>34.183999999999997</v>
      </c>
      <c r="AN6" s="14">
        <v>0.99994149651904285</v>
      </c>
      <c r="AO6">
        <v>26</v>
      </c>
      <c r="AQ6">
        <v>4</v>
      </c>
      <c r="AR6">
        <v>121.92417500000001</v>
      </c>
      <c r="AS6" s="14">
        <v>1.0006925405554685</v>
      </c>
      <c r="AT6">
        <v>33.880000000000003</v>
      </c>
      <c r="AU6" s="14">
        <v>1.0005020228568056</v>
      </c>
      <c r="AV6">
        <v>26</v>
      </c>
      <c r="AX6">
        <v>4</v>
      </c>
      <c r="AY6">
        <v>123.663427</v>
      </c>
      <c r="AZ6" s="14">
        <v>1.0003304088918836</v>
      </c>
      <c r="BA6">
        <v>34.329000000000001</v>
      </c>
      <c r="BB6" s="14">
        <v>1.0001456706677545</v>
      </c>
      <c r="BC6">
        <v>26</v>
      </c>
    </row>
    <row r="7" spans="2:55" x14ac:dyDescent="0.35">
      <c r="C7" s="12">
        <v>3</v>
      </c>
      <c r="D7" s="12" t="s">
        <v>58</v>
      </c>
      <c r="E7" s="66" t="s">
        <v>63</v>
      </c>
      <c r="F7" s="67"/>
      <c r="G7" s="67"/>
      <c r="H7" s="67"/>
      <c r="I7" s="67"/>
      <c r="J7" s="67"/>
      <c r="K7" s="68"/>
      <c r="L7" s="12"/>
      <c r="M7" s="12"/>
      <c r="O7">
        <v>5</v>
      </c>
      <c r="P7">
        <v>122.747968</v>
      </c>
      <c r="Q7" s="14">
        <v>1.0005551930175465</v>
      </c>
      <c r="R7">
        <v>33.957999999999998</v>
      </c>
      <c r="S7" s="14">
        <v>1.000707255260211</v>
      </c>
      <c r="T7">
        <v>26</v>
      </c>
      <c r="V7">
        <v>5</v>
      </c>
      <c r="W7">
        <v>122.602204</v>
      </c>
      <c r="X7" s="14">
        <v>1.0002518125383293</v>
      </c>
      <c r="Y7">
        <v>33.886000000000003</v>
      </c>
      <c r="Z7" s="14">
        <v>1.000236141448728</v>
      </c>
      <c r="AA7">
        <v>26</v>
      </c>
      <c r="AC7">
        <v>5</v>
      </c>
      <c r="AD7">
        <v>121.44335</v>
      </c>
      <c r="AE7" s="14">
        <v>1.0002236851590904</v>
      </c>
      <c r="AF7">
        <v>33.6</v>
      </c>
      <c r="AG7" s="14">
        <v>1.0002083767451553</v>
      </c>
      <c r="AH7">
        <v>26</v>
      </c>
      <c r="AJ7">
        <v>5</v>
      </c>
      <c r="AK7">
        <v>123.031344</v>
      </c>
      <c r="AL7" s="14">
        <v>0.9996811585780726</v>
      </c>
      <c r="AM7">
        <v>34.167000000000002</v>
      </c>
      <c r="AN7" s="14">
        <v>0.99944421693090746</v>
      </c>
      <c r="AO7">
        <v>26</v>
      </c>
      <c r="AQ7">
        <v>5</v>
      </c>
      <c r="AR7">
        <v>121.916451</v>
      </c>
      <c r="AS7" s="14">
        <v>1.0006291458334351</v>
      </c>
      <c r="AT7">
        <v>33.877000000000002</v>
      </c>
      <c r="AU7" s="14">
        <v>1.0004134305879575</v>
      </c>
      <c r="AV7">
        <v>26</v>
      </c>
      <c r="AX7">
        <v>5</v>
      </c>
      <c r="AY7">
        <v>123.644021</v>
      </c>
      <c r="AZ7" s="14">
        <v>1.0001734310983201</v>
      </c>
      <c r="BA7">
        <v>34.323</v>
      </c>
      <c r="BB7" s="14">
        <v>0.99997086586644923</v>
      </c>
      <c r="BC7">
        <v>26</v>
      </c>
    </row>
    <row r="8" spans="2:55" x14ac:dyDescent="0.35">
      <c r="C8" s="12">
        <v>4</v>
      </c>
      <c r="D8" s="12" t="s">
        <v>59</v>
      </c>
      <c r="E8" s="66" t="s">
        <v>64</v>
      </c>
      <c r="F8" s="67"/>
      <c r="G8" s="67"/>
      <c r="H8" s="67"/>
      <c r="I8" s="67"/>
      <c r="J8" s="67"/>
      <c r="K8" s="68"/>
      <c r="L8" s="12" t="s">
        <v>70</v>
      </c>
      <c r="M8" s="12"/>
      <c r="O8">
        <v>6</v>
      </c>
      <c r="P8">
        <v>122.749576</v>
      </c>
      <c r="Q8" s="14">
        <v>1.0005683003037735</v>
      </c>
      <c r="R8">
        <v>33.960999999999999</v>
      </c>
      <c r="S8" s="14">
        <v>1.0007956621677374</v>
      </c>
      <c r="T8">
        <v>26</v>
      </c>
      <c r="V8">
        <v>6</v>
      </c>
      <c r="W8">
        <v>122.602053</v>
      </c>
      <c r="X8" s="14">
        <v>1.0002505806026971</v>
      </c>
      <c r="Y8">
        <v>33.889000000000003</v>
      </c>
      <c r="Z8" s="14">
        <v>1.0003246944920008</v>
      </c>
      <c r="AA8">
        <v>26</v>
      </c>
      <c r="AC8">
        <v>6</v>
      </c>
      <c r="AD8">
        <v>121.46291600000001</v>
      </c>
      <c r="AE8" s="14">
        <v>1.0003848333538976</v>
      </c>
      <c r="AF8">
        <v>33.606999999999999</v>
      </c>
      <c r="AG8" s="14">
        <v>1.0004167534903103</v>
      </c>
      <c r="AH8">
        <v>26</v>
      </c>
      <c r="AJ8">
        <v>6</v>
      </c>
      <c r="AK8">
        <v>123.049798</v>
      </c>
      <c r="AL8" s="14">
        <v>0.99983110505106565</v>
      </c>
      <c r="AM8">
        <v>34.173000000000002</v>
      </c>
      <c r="AN8" s="14">
        <v>0.9996197273737788</v>
      </c>
      <c r="AO8">
        <v>26</v>
      </c>
      <c r="AQ8">
        <v>6</v>
      </c>
      <c r="AR8">
        <v>121.926407</v>
      </c>
      <c r="AS8" s="14">
        <v>1.0007108596931662</v>
      </c>
      <c r="AT8">
        <v>33.881999999999998</v>
      </c>
      <c r="AU8" s="14">
        <v>1.0005610843693706</v>
      </c>
      <c r="AV8">
        <v>26</v>
      </c>
      <c r="AX8">
        <v>6</v>
      </c>
      <c r="AY8">
        <v>123.65430499999999</v>
      </c>
      <c r="AZ8" s="14">
        <v>1.000256619783727</v>
      </c>
      <c r="BA8">
        <v>34.326000000000001</v>
      </c>
      <c r="BB8" s="14">
        <v>1.0000582682671018</v>
      </c>
      <c r="BC8">
        <v>26</v>
      </c>
    </row>
    <row r="9" spans="2:55" x14ac:dyDescent="0.35">
      <c r="C9" s="12">
        <v>5</v>
      </c>
      <c r="D9" s="12" t="s">
        <v>58</v>
      </c>
      <c r="E9" s="66" t="s">
        <v>63</v>
      </c>
      <c r="F9" s="67"/>
      <c r="G9" s="67"/>
      <c r="H9" s="67"/>
      <c r="I9" s="67"/>
      <c r="J9" s="67"/>
      <c r="K9" s="68"/>
      <c r="L9" s="12"/>
      <c r="M9" s="12"/>
      <c r="O9">
        <v>7</v>
      </c>
      <c r="P9">
        <v>122.72176899999999</v>
      </c>
      <c r="Q9" s="14">
        <v>1.000341637176835</v>
      </c>
      <c r="R9">
        <v>33.957000000000001</v>
      </c>
      <c r="S9" s="14">
        <v>1.0006777862910357</v>
      </c>
      <c r="T9">
        <v>26</v>
      </c>
      <c r="V9">
        <v>7</v>
      </c>
      <c r="W9">
        <v>122.59864899999999</v>
      </c>
      <c r="X9" s="14">
        <v>1.0002228090206309</v>
      </c>
      <c r="Y9">
        <v>33.887</v>
      </c>
      <c r="Z9" s="14">
        <v>1.0002656591298187</v>
      </c>
      <c r="AA9">
        <v>26</v>
      </c>
      <c r="AC9">
        <v>7</v>
      </c>
      <c r="AD9">
        <v>121.435619</v>
      </c>
      <c r="AE9" s="14">
        <v>1.0001600116083365</v>
      </c>
      <c r="AF9">
        <v>33.598999999999997</v>
      </c>
      <c r="AG9" s="14">
        <v>1.0001786086387043</v>
      </c>
      <c r="AH9">
        <v>26</v>
      </c>
      <c r="AJ9">
        <v>7</v>
      </c>
      <c r="AK9">
        <v>123.03245800000001</v>
      </c>
      <c r="AL9" s="14">
        <v>0.99969021029428129</v>
      </c>
      <c r="AM9">
        <v>34.165999999999997</v>
      </c>
      <c r="AN9" s="14">
        <v>0.99941496519042872</v>
      </c>
      <c r="AO9">
        <v>26</v>
      </c>
      <c r="AQ9">
        <v>7</v>
      </c>
      <c r="AR9">
        <v>121.923704</v>
      </c>
      <c r="AS9" s="14">
        <v>1.0006886748234542</v>
      </c>
      <c r="AT9">
        <v>33.881</v>
      </c>
      <c r="AU9" s="14">
        <v>1.0005315536130881</v>
      </c>
      <c r="AV9">
        <v>26</v>
      </c>
      <c r="AX9">
        <v>7</v>
      </c>
      <c r="AY9">
        <v>123.63458199999999</v>
      </c>
      <c r="AZ9" s="14">
        <v>1.0000970777337193</v>
      </c>
      <c r="BA9">
        <v>34.32</v>
      </c>
      <c r="BB9" s="14">
        <v>0.9998834634657966</v>
      </c>
      <c r="BC9">
        <v>26</v>
      </c>
    </row>
    <row r="10" spans="2:55" x14ac:dyDescent="0.35">
      <c r="C10" s="12">
        <v>6</v>
      </c>
      <c r="D10" s="12" t="s">
        <v>57</v>
      </c>
      <c r="E10" s="66" t="s">
        <v>65</v>
      </c>
      <c r="F10" s="67"/>
      <c r="G10" s="67"/>
      <c r="H10" s="67"/>
      <c r="I10" s="67"/>
      <c r="J10" s="67"/>
      <c r="K10" s="68"/>
      <c r="L10" s="12" t="s">
        <v>69</v>
      </c>
      <c r="M10" s="12"/>
      <c r="O10">
        <v>8</v>
      </c>
      <c r="P10">
        <v>122.65976999999999</v>
      </c>
      <c r="Q10" s="14">
        <v>0.99983626488902733</v>
      </c>
      <c r="R10">
        <v>33.944000000000003</v>
      </c>
      <c r="S10" s="14">
        <v>1.0002946896917548</v>
      </c>
      <c r="T10">
        <v>26</v>
      </c>
      <c r="V10">
        <v>8</v>
      </c>
      <c r="W10">
        <v>122.534998</v>
      </c>
      <c r="X10" s="14">
        <v>0.99970351143834701</v>
      </c>
      <c r="Y10">
        <v>33.869999999999997</v>
      </c>
      <c r="Z10" s="14">
        <v>0.99976385855127214</v>
      </c>
      <c r="AA10">
        <v>26</v>
      </c>
      <c r="AC10">
        <v>8</v>
      </c>
      <c r="AD10">
        <v>121.375643</v>
      </c>
      <c r="AE10" s="14">
        <v>0.99966604124486169</v>
      </c>
      <c r="AF10">
        <v>33.582999999999998</v>
      </c>
      <c r="AG10" s="14">
        <v>0.99970231893549233</v>
      </c>
      <c r="AH10">
        <v>26</v>
      </c>
      <c r="AJ10">
        <v>8</v>
      </c>
      <c r="AK10">
        <v>122.978354</v>
      </c>
      <c r="AL10" s="14">
        <v>0.99925059265177452</v>
      </c>
      <c r="AM10">
        <v>34.152999999999999</v>
      </c>
      <c r="AN10" s="14">
        <v>0.99903469256420752</v>
      </c>
      <c r="AO10">
        <v>26</v>
      </c>
      <c r="AQ10">
        <v>8</v>
      </c>
      <c r="AR10">
        <v>121.848366</v>
      </c>
      <c r="AS10" s="14">
        <v>1.0000703382661604</v>
      </c>
      <c r="AT10">
        <v>33.862000000000002</v>
      </c>
      <c r="AU10" s="14">
        <v>0.99997046924371735</v>
      </c>
      <c r="AV10">
        <v>26</v>
      </c>
      <c r="AX10">
        <v>8</v>
      </c>
      <c r="AY10">
        <v>123.573292</v>
      </c>
      <c r="AZ10" s="14">
        <v>0.9996012945240158</v>
      </c>
      <c r="BA10">
        <v>34.305</v>
      </c>
      <c r="BB10" s="14">
        <v>0.99944645146253352</v>
      </c>
      <c r="BC10">
        <v>26</v>
      </c>
    </row>
    <row r="11" spans="2:55" x14ac:dyDescent="0.35">
      <c r="C11" s="12">
        <v>7</v>
      </c>
      <c r="D11" s="12" t="s">
        <v>58</v>
      </c>
      <c r="E11" s="66" t="s">
        <v>63</v>
      </c>
      <c r="F11" s="67"/>
      <c r="G11" s="67"/>
      <c r="H11" s="67"/>
      <c r="I11" s="67"/>
      <c r="J11" s="67"/>
      <c r="K11" s="68"/>
      <c r="L11" s="12"/>
      <c r="M11" s="12"/>
      <c r="O11">
        <v>9</v>
      </c>
      <c r="P11">
        <v>122.632456</v>
      </c>
      <c r="Q11" s="14">
        <v>0.99961362035170942</v>
      </c>
      <c r="R11">
        <v>33.938000000000002</v>
      </c>
      <c r="S11" s="14">
        <v>1.000117875876702</v>
      </c>
      <c r="T11">
        <v>26</v>
      </c>
      <c r="V11">
        <v>9</v>
      </c>
      <c r="W11">
        <v>122.516246</v>
      </c>
      <c r="X11" s="14">
        <v>0.99955052298155933</v>
      </c>
      <c r="Y11">
        <v>33.865000000000002</v>
      </c>
      <c r="Z11" s="14">
        <v>0.99961627014581744</v>
      </c>
      <c r="AA11">
        <v>26</v>
      </c>
      <c r="AC11">
        <v>9</v>
      </c>
      <c r="AD11">
        <v>121.344311</v>
      </c>
      <c r="AE11" s="14">
        <v>0.99940798669923692</v>
      </c>
      <c r="AF11">
        <v>33.573999999999998</v>
      </c>
      <c r="AG11" s="14">
        <v>0.9994344059774356</v>
      </c>
      <c r="AH11">
        <v>26</v>
      </c>
      <c r="AJ11">
        <v>9</v>
      </c>
      <c r="AK11">
        <v>122.952612</v>
      </c>
      <c r="AL11" s="14">
        <v>0.99904142812875585</v>
      </c>
      <c r="AM11">
        <v>34.146000000000001</v>
      </c>
      <c r="AN11" s="14">
        <v>0.99882993038085766</v>
      </c>
      <c r="AO11">
        <v>26</v>
      </c>
      <c r="AQ11">
        <v>9</v>
      </c>
      <c r="AR11">
        <v>121.833297</v>
      </c>
      <c r="AS11" s="14">
        <v>0.99994665946420325</v>
      </c>
      <c r="AT11">
        <v>33.854999999999997</v>
      </c>
      <c r="AU11" s="14">
        <v>0.9997637539497386</v>
      </c>
      <c r="AV11">
        <v>26</v>
      </c>
      <c r="AX11">
        <v>9</v>
      </c>
      <c r="AY11">
        <v>123.54012</v>
      </c>
      <c r="AZ11" s="14">
        <v>0.99933296166984253</v>
      </c>
      <c r="BA11">
        <v>34.295999999999999</v>
      </c>
      <c r="BB11" s="14">
        <v>0.99918424426057573</v>
      </c>
      <c r="BC11">
        <v>26</v>
      </c>
    </row>
    <row r="12" spans="2:55" x14ac:dyDescent="0.35">
      <c r="C12" s="12">
        <v>8</v>
      </c>
      <c r="D12" s="12" t="s">
        <v>60</v>
      </c>
      <c r="E12" s="66" t="s">
        <v>66</v>
      </c>
      <c r="F12" s="67"/>
      <c r="G12" s="67"/>
      <c r="H12" s="67"/>
      <c r="I12" s="67"/>
      <c r="J12" s="67"/>
      <c r="K12" s="68"/>
      <c r="L12" s="12"/>
      <c r="M12" s="12" t="s">
        <v>71</v>
      </c>
      <c r="O12">
        <v>10</v>
      </c>
      <c r="P12">
        <v>122.585977</v>
      </c>
      <c r="Q12" s="14">
        <v>0.99923475619962621</v>
      </c>
      <c r="R12">
        <v>33.927999999999997</v>
      </c>
      <c r="S12" s="14">
        <v>0.99982318618494725</v>
      </c>
      <c r="T12">
        <v>26</v>
      </c>
      <c r="V12">
        <v>10</v>
      </c>
      <c r="W12">
        <v>122.46290500000001</v>
      </c>
      <c r="X12" s="14">
        <v>0.99911533967985788</v>
      </c>
      <c r="Y12">
        <v>33.853000000000002</v>
      </c>
      <c r="Z12" s="14">
        <v>0.99926205797272571</v>
      </c>
      <c r="AA12">
        <v>26</v>
      </c>
      <c r="AC12">
        <v>10</v>
      </c>
      <c r="AD12">
        <v>121.30143</v>
      </c>
      <c r="AE12" s="14">
        <v>0.99905481304383859</v>
      </c>
      <c r="AF12">
        <v>33.564</v>
      </c>
      <c r="AG12" s="14">
        <v>0.99913672491292815</v>
      </c>
      <c r="AH12">
        <v>26</v>
      </c>
      <c r="AJ12">
        <v>10</v>
      </c>
      <c r="AK12">
        <v>122.891206</v>
      </c>
      <c r="AL12" s="14">
        <v>0.99854247868036439</v>
      </c>
      <c r="AM12">
        <v>34.128</v>
      </c>
      <c r="AN12" s="14">
        <v>0.99830339905224363</v>
      </c>
      <c r="AO12">
        <v>26</v>
      </c>
      <c r="AQ12">
        <v>10</v>
      </c>
      <c r="AR12">
        <v>121.787497</v>
      </c>
      <c r="AS12" s="14">
        <v>0.99957075601144307</v>
      </c>
      <c r="AT12">
        <v>33.844000000000001</v>
      </c>
      <c r="AU12" s="14">
        <v>0.99943891563062937</v>
      </c>
      <c r="AV12">
        <v>26</v>
      </c>
      <c r="AX12">
        <v>10</v>
      </c>
      <c r="AY12">
        <v>123.485795</v>
      </c>
      <c r="AZ12" s="14">
        <v>0.99889351929968195</v>
      </c>
      <c r="BA12">
        <v>34.279000000000003</v>
      </c>
      <c r="BB12" s="14">
        <v>0.99868896399021112</v>
      </c>
      <c r="BC12">
        <v>26</v>
      </c>
    </row>
    <row r="13" spans="2:55" x14ac:dyDescent="0.35">
      <c r="C13" s="12">
        <v>9</v>
      </c>
      <c r="D13" s="12" t="s">
        <v>60</v>
      </c>
      <c r="E13" s="66" t="s">
        <v>67</v>
      </c>
      <c r="F13" s="67"/>
      <c r="G13" s="67"/>
      <c r="H13" s="67"/>
      <c r="I13" s="67"/>
      <c r="J13" s="67"/>
      <c r="K13" s="68"/>
      <c r="L13" s="12"/>
      <c r="M13" s="12" t="s">
        <v>72</v>
      </c>
      <c r="O13">
        <v>11</v>
      </c>
      <c r="P13">
        <v>122.58901899999999</v>
      </c>
      <c r="Q13" s="14">
        <v>0.99925955244633191</v>
      </c>
      <c r="R13">
        <v>33.933</v>
      </c>
      <c r="S13" s="14">
        <v>0.99997053103082456</v>
      </c>
      <c r="T13">
        <v>26</v>
      </c>
      <c r="V13">
        <v>11</v>
      </c>
      <c r="W13">
        <v>122.474039</v>
      </c>
      <c r="X13" s="14">
        <v>0.99920617657607547</v>
      </c>
      <c r="Y13">
        <v>33.857999999999997</v>
      </c>
      <c r="Z13" s="14">
        <v>0.99940964637818042</v>
      </c>
      <c r="AA13">
        <v>26</v>
      </c>
      <c r="AC13">
        <v>11</v>
      </c>
      <c r="AD13">
        <v>121.32065799999999</v>
      </c>
      <c r="AE13" s="14">
        <v>0.99921317742540616</v>
      </c>
      <c r="AF13">
        <v>33.569000000000003</v>
      </c>
      <c r="AG13" s="14">
        <v>0.99928556544518199</v>
      </c>
      <c r="AH13">
        <v>26</v>
      </c>
      <c r="AJ13">
        <v>11</v>
      </c>
      <c r="AK13">
        <v>122.879695</v>
      </c>
      <c r="AL13" s="14">
        <v>0.99844894698801467</v>
      </c>
      <c r="AM13">
        <v>34.125</v>
      </c>
      <c r="AN13" s="14">
        <v>0.99821564383080796</v>
      </c>
      <c r="AO13">
        <v>26</v>
      </c>
      <c r="AQ13">
        <v>11</v>
      </c>
      <c r="AR13">
        <v>121.781885</v>
      </c>
      <c r="AS13" s="14">
        <v>0.99952469552723144</v>
      </c>
      <c r="AT13">
        <v>33.843000000000004</v>
      </c>
      <c r="AU13" s="14">
        <v>0.99940938487434672</v>
      </c>
      <c r="AV13">
        <v>26</v>
      </c>
      <c r="AX13">
        <v>11</v>
      </c>
      <c r="AY13">
        <v>123.492386</v>
      </c>
      <c r="AZ13" s="14">
        <v>0.99894683480196877</v>
      </c>
      <c r="BA13">
        <v>34.281999999999996</v>
      </c>
      <c r="BB13" s="14">
        <v>0.99877636639086353</v>
      </c>
      <c r="BC13">
        <v>26</v>
      </c>
    </row>
    <row r="14" spans="2:55" x14ac:dyDescent="0.35">
      <c r="C14" s="12">
        <v>10</v>
      </c>
      <c r="D14" s="12" t="s">
        <v>61</v>
      </c>
      <c r="E14" s="66" t="s">
        <v>68</v>
      </c>
      <c r="F14" s="67"/>
      <c r="G14" s="67"/>
      <c r="H14" s="67"/>
      <c r="I14" s="67"/>
      <c r="J14" s="67"/>
      <c r="K14" s="68"/>
      <c r="L14" s="12"/>
      <c r="M14" s="12"/>
      <c r="O14">
        <v>12</v>
      </c>
      <c r="P14">
        <v>122.563554</v>
      </c>
      <c r="Q14" s="14">
        <v>0.99905197965791559</v>
      </c>
      <c r="R14">
        <v>33.929000000000002</v>
      </c>
      <c r="S14" s="14">
        <v>0.9998526551541228</v>
      </c>
      <c r="T14">
        <v>26</v>
      </c>
      <c r="V14">
        <v>12</v>
      </c>
      <c r="W14">
        <v>122.451556</v>
      </c>
      <c r="X14" s="14">
        <v>0.99902274870310426</v>
      </c>
      <c r="Y14">
        <v>33.853999999999999</v>
      </c>
      <c r="Z14" s="14">
        <v>0.99929157565381665</v>
      </c>
      <c r="AA14">
        <v>26</v>
      </c>
      <c r="AC14">
        <v>12</v>
      </c>
      <c r="AD14">
        <v>121.284819</v>
      </c>
      <c r="AE14" s="14">
        <v>0.99891800262454289</v>
      </c>
      <c r="AF14">
        <v>33.557000000000002</v>
      </c>
      <c r="AG14" s="14">
        <v>0.99892834816777298</v>
      </c>
      <c r="AH14">
        <v>26</v>
      </c>
      <c r="AJ14">
        <v>12</v>
      </c>
      <c r="AK14">
        <v>122.84354399999999</v>
      </c>
      <c r="AL14" s="14">
        <v>0.9981552049838327</v>
      </c>
      <c r="AM14">
        <v>34.112000000000002</v>
      </c>
      <c r="AN14" s="14">
        <v>0.99783537120458676</v>
      </c>
      <c r="AO14">
        <v>26</v>
      </c>
      <c r="AQ14">
        <v>12</v>
      </c>
      <c r="AR14">
        <v>121.77969400000001</v>
      </c>
      <c r="AS14" s="14">
        <v>0.99950671289699133</v>
      </c>
      <c r="AT14">
        <v>33.841000000000001</v>
      </c>
      <c r="AU14" s="14">
        <v>0.99935032336178131</v>
      </c>
      <c r="AV14">
        <v>26</v>
      </c>
      <c r="AX14">
        <v>12</v>
      </c>
      <c r="AY14">
        <v>123.450744</v>
      </c>
      <c r="AZ14" s="14">
        <v>0.99860998695699454</v>
      </c>
      <c r="BA14">
        <v>34.270000000000003</v>
      </c>
      <c r="BB14" s="14">
        <v>0.99842675678825321</v>
      </c>
      <c r="BC14">
        <v>26</v>
      </c>
    </row>
    <row r="15" spans="2:55" x14ac:dyDescent="0.35">
      <c r="B15" s="5" t="s">
        <v>83</v>
      </c>
      <c r="E15" s="5" t="s">
        <v>84</v>
      </c>
      <c r="H15" s="5" t="s">
        <v>85</v>
      </c>
      <c r="K15" s="5" t="s">
        <v>86</v>
      </c>
      <c r="O15">
        <v>13</v>
      </c>
      <c r="P15">
        <v>122.496618</v>
      </c>
      <c r="Q15" s="14">
        <v>0.99850636441481999</v>
      </c>
      <c r="R15">
        <v>33.914999999999999</v>
      </c>
      <c r="S15" s="14">
        <v>0.99944008958566632</v>
      </c>
      <c r="T15">
        <v>26</v>
      </c>
      <c r="V15">
        <v>13</v>
      </c>
      <c r="W15">
        <v>122.383504</v>
      </c>
      <c r="X15" s="14">
        <v>0.99846754550017613</v>
      </c>
      <c r="Y15">
        <v>33.837000000000003</v>
      </c>
      <c r="Z15" s="14">
        <v>0.99878977507527023</v>
      </c>
      <c r="AA15">
        <v>26</v>
      </c>
      <c r="AC15">
        <v>13</v>
      </c>
      <c r="AD15">
        <v>121.24944600000001</v>
      </c>
      <c r="AE15" s="14">
        <v>0.9986266658620514</v>
      </c>
      <c r="AF15">
        <v>33.548999999999999</v>
      </c>
      <c r="AG15" s="14">
        <v>0.99869020331616698</v>
      </c>
      <c r="AH15">
        <v>26</v>
      </c>
      <c r="AJ15">
        <v>13</v>
      </c>
      <c r="AK15">
        <v>122.808165</v>
      </c>
      <c r="AL15" s="14">
        <v>0.99786773580273258</v>
      </c>
      <c r="AM15">
        <v>34.103999999999999</v>
      </c>
      <c r="AN15" s="14">
        <v>0.99760135728075816</v>
      </c>
      <c r="AO15">
        <v>26</v>
      </c>
      <c r="AQ15">
        <v>13</v>
      </c>
      <c r="AR15">
        <v>121.70703399999999</v>
      </c>
      <c r="AS15" s="14">
        <v>0.99891035602193545</v>
      </c>
      <c r="AT15">
        <v>33.822000000000003</v>
      </c>
      <c r="AU15" s="14">
        <v>0.99878923899241068</v>
      </c>
      <c r="AV15">
        <v>26</v>
      </c>
      <c r="AX15">
        <v>13</v>
      </c>
      <c r="AY15">
        <v>123.410342</v>
      </c>
      <c r="AZ15" s="14">
        <v>0.99828316964196051</v>
      </c>
      <c r="BA15">
        <v>34.26</v>
      </c>
      <c r="BB15" s="14">
        <v>0.99813541545274442</v>
      </c>
      <c r="BC15">
        <v>26</v>
      </c>
    </row>
    <row r="16" spans="2:55" x14ac:dyDescent="0.35">
      <c r="B16" s="5" t="s">
        <v>87</v>
      </c>
      <c r="E16" s="5" t="s">
        <v>88</v>
      </c>
      <c r="H16" s="5" t="s">
        <v>89</v>
      </c>
      <c r="O16">
        <v>14</v>
      </c>
      <c r="P16">
        <v>122.47638999999999</v>
      </c>
      <c r="Q16" s="14">
        <v>0.99834147997091316</v>
      </c>
      <c r="R16">
        <v>33.914999999999999</v>
      </c>
      <c r="S16" s="14">
        <v>0.99944008958566632</v>
      </c>
      <c r="T16">
        <v>26</v>
      </c>
      <c r="V16">
        <v>14</v>
      </c>
      <c r="W16">
        <v>122.36730900000001</v>
      </c>
      <c r="X16" s="14">
        <v>0.99833541836399464</v>
      </c>
      <c r="Y16">
        <v>33.832999999999998</v>
      </c>
      <c r="Z16" s="14">
        <v>0.99867170435090613</v>
      </c>
      <c r="AA16">
        <v>26</v>
      </c>
      <c r="AC16">
        <v>14</v>
      </c>
      <c r="AD16">
        <v>121.243875</v>
      </c>
      <c r="AE16" s="14">
        <v>0.99858078236040204</v>
      </c>
      <c r="AF16">
        <v>33.545999999999999</v>
      </c>
      <c r="AG16" s="14">
        <v>0.9986008989968147</v>
      </c>
      <c r="AH16">
        <v>26</v>
      </c>
      <c r="AJ16">
        <v>14</v>
      </c>
      <c r="AK16">
        <v>122.789058</v>
      </c>
      <c r="AL16" s="14">
        <v>0.99771248343145913</v>
      </c>
      <c r="AM16">
        <v>34.097000000000001</v>
      </c>
      <c r="AN16" s="14">
        <v>0.9973965950974083</v>
      </c>
      <c r="AO16">
        <v>26</v>
      </c>
      <c r="AQ16">
        <v>14</v>
      </c>
      <c r="AR16">
        <v>121.69211799999999</v>
      </c>
      <c r="AS16" s="14">
        <v>0.99878793296732038</v>
      </c>
      <c r="AT16">
        <v>33.817</v>
      </c>
      <c r="AU16" s="14">
        <v>0.99864158521099722</v>
      </c>
      <c r="AV16">
        <v>26</v>
      </c>
      <c r="AX16">
        <v>14</v>
      </c>
      <c r="AY16">
        <v>123.390479</v>
      </c>
      <c r="AZ16" s="14">
        <v>0.99812249511276585</v>
      </c>
      <c r="BA16">
        <v>34.256</v>
      </c>
      <c r="BB16" s="14">
        <v>0.99801887891854102</v>
      </c>
      <c r="BC16">
        <v>26</v>
      </c>
    </row>
    <row r="17" spans="3:55" x14ac:dyDescent="0.35">
      <c r="O17">
        <v>15</v>
      </c>
      <c r="P17">
        <v>122.434291</v>
      </c>
      <c r="Q17" s="14">
        <v>0.99799831850146359</v>
      </c>
      <c r="R17">
        <v>33.906999999999996</v>
      </c>
      <c r="S17" s="14">
        <v>0.99920433783226259</v>
      </c>
      <c r="T17">
        <v>26</v>
      </c>
      <c r="V17">
        <v>15</v>
      </c>
      <c r="W17">
        <v>122.348522</v>
      </c>
      <c r="X17" s="14">
        <v>0.99818214435921282</v>
      </c>
      <c r="Y17">
        <v>33.829000000000001</v>
      </c>
      <c r="Z17" s="14">
        <v>0.99855363362654226</v>
      </c>
      <c r="AA17">
        <v>26</v>
      </c>
      <c r="AC17">
        <v>15</v>
      </c>
      <c r="AD17">
        <v>121.210688</v>
      </c>
      <c r="AE17" s="14">
        <v>0.99830744978649522</v>
      </c>
      <c r="AF17">
        <v>33.537999999999997</v>
      </c>
      <c r="AG17" s="14">
        <v>0.99836275414520859</v>
      </c>
      <c r="AH17">
        <v>26</v>
      </c>
      <c r="AJ17">
        <v>15</v>
      </c>
      <c r="AK17">
        <v>122.739425</v>
      </c>
      <c r="AL17" s="14">
        <v>0.9973091945350645</v>
      </c>
      <c r="AM17">
        <v>34.082999999999998</v>
      </c>
      <c r="AN17" s="14">
        <v>0.99698707073070847</v>
      </c>
      <c r="AO17">
        <v>26</v>
      </c>
      <c r="AQ17">
        <v>15</v>
      </c>
      <c r="AR17">
        <v>121.651275</v>
      </c>
      <c r="AS17" s="14">
        <v>0.99845271408694736</v>
      </c>
      <c r="AT17">
        <v>33.804000000000002</v>
      </c>
      <c r="AU17" s="14">
        <v>0.99825768537932269</v>
      </c>
      <c r="AV17">
        <v>26</v>
      </c>
      <c r="AX17">
        <v>15</v>
      </c>
      <c r="AY17">
        <v>123.352985</v>
      </c>
      <c r="AZ17" s="14">
        <v>0.99781920100826893</v>
      </c>
      <c r="BA17">
        <v>34.244</v>
      </c>
      <c r="BB17" s="14">
        <v>0.99766926931593058</v>
      </c>
      <c r="BC17">
        <v>26</v>
      </c>
    </row>
    <row r="18" spans="3:55" x14ac:dyDescent="0.35">
      <c r="C18" s="79" t="s">
        <v>173</v>
      </c>
      <c r="D18" s="79"/>
      <c r="E18" s="79"/>
      <c r="F18" s="79"/>
      <c r="G18" s="79"/>
      <c r="H18" s="79" t="s">
        <v>114</v>
      </c>
      <c r="I18" s="79"/>
      <c r="J18" s="79"/>
      <c r="K18" s="79" t="s">
        <v>115</v>
      </c>
      <c r="L18" s="79"/>
      <c r="M18" s="79"/>
      <c r="O18">
        <v>16</v>
      </c>
      <c r="P18">
        <v>122.419719</v>
      </c>
      <c r="Q18" s="14">
        <v>0.99787953779567906</v>
      </c>
      <c r="R18">
        <v>33.909999999999997</v>
      </c>
      <c r="S18" s="14">
        <v>0.99929274473978902</v>
      </c>
      <c r="T18">
        <v>26</v>
      </c>
      <c r="V18">
        <v>16</v>
      </c>
      <c r="W18">
        <v>122.345423</v>
      </c>
      <c r="X18" s="14">
        <v>0.9981568611239533</v>
      </c>
      <c r="Y18">
        <v>33.83</v>
      </c>
      <c r="Z18" s="14">
        <v>0.9985831513076332</v>
      </c>
      <c r="AA18">
        <v>26</v>
      </c>
      <c r="AC18">
        <v>16</v>
      </c>
      <c r="AD18">
        <v>121.219475</v>
      </c>
      <c r="AE18" s="14">
        <v>0.9983798206945893</v>
      </c>
      <c r="AF18">
        <v>33.542000000000002</v>
      </c>
      <c r="AG18" s="14">
        <v>0.99848182657101181</v>
      </c>
      <c r="AH18">
        <v>26</v>
      </c>
      <c r="AJ18">
        <v>16</v>
      </c>
      <c r="AK18">
        <v>122.747371</v>
      </c>
      <c r="AL18" s="14">
        <v>0.997373759110463</v>
      </c>
      <c r="AM18">
        <v>34.085000000000001</v>
      </c>
      <c r="AN18" s="14">
        <v>0.99704557421166562</v>
      </c>
      <c r="AO18">
        <v>26</v>
      </c>
      <c r="AQ18">
        <v>16</v>
      </c>
      <c r="AR18">
        <v>121.645574</v>
      </c>
      <c r="AS18" s="14">
        <v>0.9984059231353275</v>
      </c>
      <c r="AT18">
        <v>33.802999999999997</v>
      </c>
      <c r="AU18" s="14">
        <v>0.99822815462303982</v>
      </c>
      <c r="AV18">
        <v>26</v>
      </c>
      <c r="AX18">
        <v>16</v>
      </c>
      <c r="AY18">
        <v>123.35408</v>
      </c>
      <c r="AZ18" s="14">
        <v>0.99782805861333701</v>
      </c>
      <c r="BA18">
        <v>34.247</v>
      </c>
      <c r="BB18" s="14">
        <v>0.99775667171658322</v>
      </c>
      <c r="BC18">
        <v>26</v>
      </c>
    </row>
    <row r="19" spans="3:55" x14ac:dyDescent="0.35">
      <c r="C19" t="s">
        <v>160</v>
      </c>
      <c r="D19" t="s">
        <v>166</v>
      </c>
      <c r="E19" t="s">
        <v>167</v>
      </c>
      <c r="F19" t="s">
        <v>164</v>
      </c>
      <c r="G19" t="s">
        <v>162</v>
      </c>
      <c r="H19" s="15" t="s">
        <v>168</v>
      </c>
      <c r="I19" s="15" t="s">
        <v>169</v>
      </c>
      <c r="J19" s="15" t="s">
        <v>170</v>
      </c>
      <c r="K19" s="15" t="s">
        <v>168</v>
      </c>
      <c r="L19" s="15" t="s">
        <v>169</v>
      </c>
      <c r="M19" s="15" t="s">
        <v>170</v>
      </c>
      <c r="O19">
        <v>17</v>
      </c>
      <c r="P19">
        <v>122.381265</v>
      </c>
      <c r="Q19" s="14">
        <v>0.99756608780527023</v>
      </c>
      <c r="R19">
        <v>33.902000000000001</v>
      </c>
      <c r="S19" s="14">
        <v>0.99905699298638539</v>
      </c>
      <c r="T19">
        <v>26</v>
      </c>
      <c r="V19">
        <v>17</v>
      </c>
      <c r="W19">
        <v>122.321625</v>
      </c>
      <c r="X19" s="14">
        <v>0.99796270480491367</v>
      </c>
      <c r="Y19">
        <v>33.826000000000001</v>
      </c>
      <c r="Z19" s="14">
        <v>0.99846508058326944</v>
      </c>
      <c r="AA19">
        <v>26</v>
      </c>
      <c r="AC19">
        <v>17</v>
      </c>
      <c r="AD19">
        <v>121.207639</v>
      </c>
      <c r="AE19" s="14">
        <v>0.99828233781440234</v>
      </c>
      <c r="AF19">
        <v>33.536000000000001</v>
      </c>
      <c r="AG19" s="14">
        <v>0.99830321793230725</v>
      </c>
      <c r="AH19">
        <v>26</v>
      </c>
      <c r="AJ19">
        <v>17</v>
      </c>
      <c r="AK19">
        <v>122.72221500000001</v>
      </c>
      <c r="AL19" s="14">
        <v>0.99716935608268509</v>
      </c>
      <c r="AM19">
        <v>34.073999999999998</v>
      </c>
      <c r="AN19" s="14">
        <v>0.99672380506640135</v>
      </c>
      <c r="AO19">
        <v>26</v>
      </c>
      <c r="AQ19">
        <v>17</v>
      </c>
      <c r="AR19">
        <v>121.647716</v>
      </c>
      <c r="AS19" s="14">
        <v>0.99842350359811827</v>
      </c>
      <c r="AT19">
        <v>33.801000000000002</v>
      </c>
      <c r="AU19" s="14">
        <v>0.99816909311047464</v>
      </c>
      <c r="AV19">
        <v>26</v>
      </c>
      <c r="AX19">
        <v>17</v>
      </c>
      <c r="AY19">
        <v>123.327798</v>
      </c>
      <c r="AZ19" s="14">
        <v>0.99761545991342804</v>
      </c>
      <c r="BA19">
        <v>34.237000000000002</v>
      </c>
      <c r="BB19" s="14">
        <v>0.99746533038107454</v>
      </c>
      <c r="BC19">
        <v>26</v>
      </c>
    </row>
    <row r="20" spans="3:55" x14ac:dyDescent="0.35">
      <c r="C20">
        <v>0</v>
      </c>
      <c r="D20">
        <v>33.9</v>
      </c>
      <c r="E20">
        <v>123.30119666666667</v>
      </c>
      <c r="F20" s="14">
        <v>1</v>
      </c>
      <c r="G20" s="14">
        <v>1</v>
      </c>
      <c r="I20">
        <v>3.3332401684852866</v>
      </c>
      <c r="K20" s="14"/>
      <c r="L20" s="14">
        <v>0</v>
      </c>
      <c r="M20" s="14"/>
      <c r="O20">
        <v>18</v>
      </c>
      <c r="P20">
        <v>122.361622</v>
      </c>
      <c r="Q20" s="14">
        <v>0.99740597187034541</v>
      </c>
      <c r="R20">
        <v>33.9</v>
      </c>
      <c r="S20" s="14">
        <v>0.99899805504803441</v>
      </c>
      <c r="T20">
        <v>26</v>
      </c>
      <c r="V20">
        <v>18</v>
      </c>
      <c r="W20">
        <v>122.30967699999999</v>
      </c>
      <c r="X20" s="14">
        <v>0.99786522687820189</v>
      </c>
      <c r="Y20">
        <v>33.822000000000003</v>
      </c>
      <c r="Z20" s="14">
        <v>0.99834700985890557</v>
      </c>
      <c r="AA20">
        <v>26</v>
      </c>
      <c r="AC20">
        <v>18</v>
      </c>
      <c r="AD20">
        <v>121.213745</v>
      </c>
      <c r="AE20" s="14">
        <v>0.99833262764765862</v>
      </c>
      <c r="AF20">
        <v>33.537999999999997</v>
      </c>
      <c r="AG20" s="14">
        <v>0.99836275414520859</v>
      </c>
      <c r="AH20">
        <v>26</v>
      </c>
      <c r="AJ20">
        <v>18</v>
      </c>
      <c r="AK20">
        <v>122.722748</v>
      </c>
      <c r="AL20" s="14">
        <v>0.99717368693074537</v>
      </c>
      <c r="AM20">
        <v>34.075000000000003</v>
      </c>
      <c r="AN20" s="14">
        <v>0.99675305680688009</v>
      </c>
      <c r="AO20">
        <v>26</v>
      </c>
      <c r="AQ20">
        <v>18</v>
      </c>
      <c r="AR20">
        <v>121.63382900000001</v>
      </c>
      <c r="AS20" s="14">
        <v>0.99830952605994183</v>
      </c>
      <c r="AT20">
        <v>33.798000000000002</v>
      </c>
      <c r="AU20" s="14">
        <v>0.99808050084162658</v>
      </c>
      <c r="AV20">
        <v>26</v>
      </c>
      <c r="AX20">
        <v>18</v>
      </c>
      <c r="AY20">
        <v>123.321744</v>
      </c>
      <c r="AZ20" s="14">
        <v>0.9975664882777362</v>
      </c>
      <c r="BA20">
        <v>34.237000000000002</v>
      </c>
      <c r="BB20" s="14">
        <v>0.99746533038107454</v>
      </c>
      <c r="BC20">
        <v>26</v>
      </c>
    </row>
    <row r="21" spans="3:55" x14ac:dyDescent="0.35">
      <c r="C21">
        <v>75</v>
      </c>
      <c r="D21">
        <v>33.507333333333328</v>
      </c>
      <c r="E21">
        <v>121.77005766666667</v>
      </c>
      <c r="F21" s="14">
        <v>0.9884169124877088</v>
      </c>
      <c r="G21" s="14">
        <v>0.98758212376365428</v>
      </c>
      <c r="I21">
        <v>3.6221958544805957</v>
      </c>
      <c r="K21" s="14"/>
      <c r="L21" s="14">
        <v>8.6689128712443858E-2</v>
      </c>
      <c r="M21" s="14"/>
      <c r="O21">
        <v>19</v>
      </c>
      <c r="P21">
        <v>122.39144400000001</v>
      </c>
      <c r="Q21" s="14">
        <v>0.99764905986155505</v>
      </c>
      <c r="R21">
        <v>33.905999999999999</v>
      </c>
      <c r="S21" s="14">
        <v>0.99917486886308726</v>
      </c>
      <c r="T21">
        <v>26</v>
      </c>
      <c r="V21">
        <v>19</v>
      </c>
      <c r="W21">
        <v>122.336305</v>
      </c>
      <c r="X21" s="14">
        <v>0.99808247179220255</v>
      </c>
      <c r="Y21">
        <v>33.828000000000003</v>
      </c>
      <c r="Z21" s="14">
        <v>0.99852411594545143</v>
      </c>
      <c r="AA21">
        <v>26</v>
      </c>
      <c r="AC21">
        <v>19</v>
      </c>
      <c r="AD21">
        <v>121.233113</v>
      </c>
      <c r="AE21" s="14">
        <v>0.99849214508796447</v>
      </c>
      <c r="AF21">
        <v>33.542999999999999</v>
      </c>
      <c r="AG21" s="14">
        <v>0.99851159467746242</v>
      </c>
      <c r="AH21">
        <v>26</v>
      </c>
      <c r="AJ21">
        <v>19</v>
      </c>
      <c r="AK21">
        <v>122.737641</v>
      </c>
      <c r="AL21" s="14">
        <v>0.99729469878846111</v>
      </c>
      <c r="AM21">
        <v>34.079000000000001</v>
      </c>
      <c r="AN21" s="14">
        <v>0.99687006376879428</v>
      </c>
      <c r="AO21">
        <v>26</v>
      </c>
      <c r="AQ21">
        <v>19</v>
      </c>
      <c r="AR21">
        <v>121.63691799999999</v>
      </c>
      <c r="AS21" s="14">
        <v>0.99833487902425566</v>
      </c>
      <c r="AT21">
        <v>33.799999999999997</v>
      </c>
      <c r="AU21" s="14">
        <v>0.99813956235419177</v>
      </c>
      <c r="AV21">
        <v>26</v>
      </c>
      <c r="AX21">
        <v>19</v>
      </c>
      <c r="AY21">
        <v>123.339607</v>
      </c>
      <c r="AZ21" s="14">
        <v>0.99771098453283391</v>
      </c>
      <c r="BA21">
        <v>34.24</v>
      </c>
      <c r="BB21" s="14">
        <v>0.99755273278172718</v>
      </c>
      <c r="BC21">
        <v>26</v>
      </c>
    </row>
    <row r="22" spans="3:55" x14ac:dyDescent="0.35">
      <c r="C22">
        <v>150</v>
      </c>
      <c r="D22">
        <v>32.953000000000003</v>
      </c>
      <c r="E22">
        <v>119.91305699999999</v>
      </c>
      <c r="F22" s="14">
        <v>0.97206489675516239</v>
      </c>
      <c r="G22" s="14">
        <v>0.9725214372750477</v>
      </c>
      <c r="I22">
        <v>3.9246261694626856</v>
      </c>
      <c r="K22" s="14"/>
      <c r="L22" s="14">
        <v>0.17742075910663846</v>
      </c>
      <c r="M22" s="14"/>
      <c r="O22">
        <v>20</v>
      </c>
      <c r="P22">
        <v>122.335525</v>
      </c>
      <c r="Q22" s="14">
        <v>0.99719324746196925</v>
      </c>
      <c r="R22">
        <v>33.895000000000003</v>
      </c>
      <c r="S22" s="14">
        <v>0.99885071020215732</v>
      </c>
      <c r="T22">
        <v>26</v>
      </c>
      <c r="V22">
        <v>20</v>
      </c>
      <c r="W22">
        <v>122.297793</v>
      </c>
      <c r="X22" s="14">
        <v>0.99776827109639399</v>
      </c>
      <c r="Y22">
        <v>33.817</v>
      </c>
      <c r="Z22" s="14">
        <v>0.99819942145345064</v>
      </c>
      <c r="AA22">
        <v>26</v>
      </c>
      <c r="AC22">
        <v>20</v>
      </c>
      <c r="AD22">
        <v>121.189937</v>
      </c>
      <c r="AE22" s="14">
        <v>0.99813654177308198</v>
      </c>
      <c r="AF22">
        <v>33.530999999999999</v>
      </c>
      <c r="AG22" s="14">
        <v>0.99815437740005342</v>
      </c>
      <c r="AH22">
        <v>26</v>
      </c>
      <c r="AJ22">
        <v>20</v>
      </c>
      <c r="AK22">
        <v>122.684702</v>
      </c>
      <c r="AL22" s="14">
        <v>0.99686454725850659</v>
      </c>
      <c r="AM22">
        <v>34.063000000000002</v>
      </c>
      <c r="AN22" s="14">
        <v>0.99640203592113741</v>
      </c>
      <c r="AO22">
        <v>26</v>
      </c>
      <c r="AQ22">
        <v>20</v>
      </c>
      <c r="AR22">
        <v>121.589296</v>
      </c>
      <c r="AS22" s="14">
        <v>0.9979440215083748</v>
      </c>
      <c r="AT22">
        <v>33.784999999999997</v>
      </c>
      <c r="AU22" s="14">
        <v>0.99769660100995172</v>
      </c>
      <c r="AV22">
        <v>26</v>
      </c>
      <c r="AX22">
        <v>20</v>
      </c>
      <c r="AY22">
        <v>123.293294</v>
      </c>
      <c r="AZ22" s="14">
        <v>0.9973363523287061</v>
      </c>
      <c r="BA22">
        <v>34.228000000000002</v>
      </c>
      <c r="BB22" s="14">
        <v>0.99720312317911675</v>
      </c>
      <c r="BC22">
        <v>26</v>
      </c>
    </row>
    <row r="23" spans="3:55" x14ac:dyDescent="0.35">
      <c r="C23">
        <v>225</v>
      </c>
      <c r="D23">
        <v>32.377333333333333</v>
      </c>
      <c r="E23">
        <v>117.91545433333334</v>
      </c>
      <c r="F23" s="14">
        <v>0.95508357915437558</v>
      </c>
      <c r="G23" s="14">
        <v>0.95632043744155071</v>
      </c>
      <c r="I23">
        <v>4.2685613139273633</v>
      </c>
      <c r="K23" s="14"/>
      <c r="L23" s="14">
        <v>0.28060418636653822</v>
      </c>
      <c r="M23" s="14"/>
      <c r="O23">
        <v>21</v>
      </c>
      <c r="P23">
        <v>122.24704300000001</v>
      </c>
      <c r="Q23" s="14">
        <v>0.99647200436498717</v>
      </c>
      <c r="R23">
        <v>33.869999999999997</v>
      </c>
      <c r="S23" s="14">
        <v>0.99811398597277068</v>
      </c>
      <c r="T23">
        <v>26</v>
      </c>
      <c r="V23">
        <v>21</v>
      </c>
      <c r="W23">
        <v>122.237854</v>
      </c>
      <c r="X23" s="14">
        <v>0.99727925791852534</v>
      </c>
      <c r="Y23">
        <v>33.796999999999997</v>
      </c>
      <c r="Z23" s="14">
        <v>0.99760906783163106</v>
      </c>
      <c r="AA23">
        <v>26</v>
      </c>
      <c r="AC23">
        <v>21</v>
      </c>
      <c r="AD23">
        <v>121.08714500000001</v>
      </c>
      <c r="AE23" s="14">
        <v>0.99728993310290892</v>
      </c>
      <c r="AF23">
        <v>33.503</v>
      </c>
      <c r="AG23" s="14">
        <v>0.99732087041943251</v>
      </c>
      <c r="AH23">
        <v>26</v>
      </c>
      <c r="AJ23">
        <v>21</v>
      </c>
      <c r="AK23">
        <v>122.585233</v>
      </c>
      <c r="AL23" s="14">
        <v>0.99605632000576194</v>
      </c>
      <c r="AM23">
        <v>34.033000000000001</v>
      </c>
      <c r="AN23" s="14">
        <v>0.99552448370678059</v>
      </c>
      <c r="AO23">
        <v>26</v>
      </c>
      <c r="AQ23">
        <v>21</v>
      </c>
      <c r="AR23">
        <v>121.509207</v>
      </c>
      <c r="AS23" s="14">
        <v>0.99728669112348145</v>
      </c>
      <c r="AT23">
        <v>33.759</v>
      </c>
      <c r="AU23" s="14">
        <v>0.99692880134660256</v>
      </c>
      <c r="AV23">
        <v>26</v>
      </c>
      <c r="AX23">
        <v>21</v>
      </c>
      <c r="AY23">
        <v>123.185906</v>
      </c>
      <c r="AZ23" s="14">
        <v>0.99646767607934028</v>
      </c>
      <c r="BA23">
        <v>34.195999999999998</v>
      </c>
      <c r="BB23" s="14">
        <v>0.99627083090548885</v>
      </c>
      <c r="BC23">
        <v>26</v>
      </c>
    </row>
    <row r="24" spans="3:55" x14ac:dyDescent="0.35">
      <c r="C24">
        <v>300</v>
      </c>
      <c r="D24">
        <v>31.823666666666668</v>
      </c>
      <c r="E24">
        <v>115.98812700000001</v>
      </c>
      <c r="F24" s="14">
        <v>0.93875122910521147</v>
      </c>
      <c r="G24" s="14">
        <v>0.94068938611815045</v>
      </c>
      <c r="K24" s="14"/>
      <c r="L24" s="14"/>
      <c r="M24" s="14"/>
      <c r="O24">
        <v>22</v>
      </c>
      <c r="P24">
        <v>122.130027</v>
      </c>
      <c r="Q24" s="14">
        <v>0.9955181721478531</v>
      </c>
      <c r="R24">
        <v>33.847000000000001</v>
      </c>
      <c r="S24" s="14">
        <v>0.99743619968173525</v>
      </c>
      <c r="T24">
        <v>26</v>
      </c>
      <c r="V24">
        <v>22</v>
      </c>
      <c r="W24">
        <v>122.14257000000001</v>
      </c>
      <c r="X24" s="14">
        <v>0.99650188205906776</v>
      </c>
      <c r="Y24">
        <v>33.773000000000003</v>
      </c>
      <c r="Z24" s="14">
        <v>0.99690064348544782</v>
      </c>
      <c r="AA24">
        <v>26</v>
      </c>
      <c r="AC24">
        <v>22</v>
      </c>
      <c r="AD24">
        <v>120.996968</v>
      </c>
      <c r="AE24" s="14">
        <v>0.99654722326118761</v>
      </c>
      <c r="AF24">
        <v>33.478000000000002</v>
      </c>
      <c r="AG24" s="14">
        <v>0.99657666775816389</v>
      </c>
      <c r="AH24">
        <v>26</v>
      </c>
      <c r="AJ24">
        <v>22</v>
      </c>
      <c r="AK24">
        <v>122.469115</v>
      </c>
      <c r="AL24" s="14">
        <v>0.99511281266041607</v>
      </c>
      <c r="AM24">
        <v>34.000999999999998</v>
      </c>
      <c r="AN24" s="14">
        <v>0.99458842801146663</v>
      </c>
      <c r="AO24">
        <v>26</v>
      </c>
      <c r="AQ24">
        <v>22</v>
      </c>
      <c r="AR24">
        <v>121.410466</v>
      </c>
      <c r="AS24" s="14">
        <v>0.99647627446782649</v>
      </c>
      <c r="AT24">
        <v>33.732999999999997</v>
      </c>
      <c r="AU24" s="14">
        <v>0.99616100168325306</v>
      </c>
      <c r="AV24">
        <v>26</v>
      </c>
      <c r="AX24">
        <v>22</v>
      </c>
      <c r="AY24">
        <v>123.072108</v>
      </c>
      <c r="AZ24" s="14">
        <v>0.9955471484614935</v>
      </c>
      <c r="BA24">
        <v>34.165999999999997</v>
      </c>
      <c r="BB24" s="14">
        <v>0.99539680689896282</v>
      </c>
      <c r="BC24">
        <v>26</v>
      </c>
    </row>
    <row r="25" spans="3:55" x14ac:dyDescent="0.35">
      <c r="C25">
        <v>375</v>
      </c>
      <c r="D25">
        <v>31.228333333333335</v>
      </c>
      <c r="E25">
        <v>113.86918800000001</v>
      </c>
      <c r="F25" s="14">
        <v>0.92118977384464118</v>
      </c>
      <c r="G25" s="14">
        <v>0.92350432176124597</v>
      </c>
      <c r="K25" s="14"/>
      <c r="L25" s="14"/>
      <c r="M25" s="14"/>
      <c r="O25">
        <v>23</v>
      </c>
      <c r="P25">
        <v>122.08763399999999</v>
      </c>
      <c r="Q25" s="14">
        <v>0.99517261419696634</v>
      </c>
      <c r="R25">
        <v>33.835000000000001</v>
      </c>
      <c r="S25" s="14">
        <v>0.99708257205162976</v>
      </c>
      <c r="T25">
        <v>26</v>
      </c>
      <c r="V25">
        <v>23</v>
      </c>
      <c r="W25">
        <v>122.05856900000001</v>
      </c>
      <c r="X25" s="14">
        <v>0.99581655871443164</v>
      </c>
      <c r="Y25">
        <v>33.755000000000003</v>
      </c>
      <c r="Z25" s="14">
        <v>0.99636932522581034</v>
      </c>
      <c r="AA25">
        <v>26</v>
      </c>
      <c r="AC25">
        <v>23</v>
      </c>
      <c r="AD25">
        <v>120.95542500000001</v>
      </c>
      <c r="AE25" s="14">
        <v>0.9962050695528738</v>
      </c>
      <c r="AF25">
        <v>33.466999999999999</v>
      </c>
      <c r="AG25" s="14">
        <v>0.9962492185872055</v>
      </c>
      <c r="AH25">
        <v>26</v>
      </c>
      <c r="AJ25">
        <v>23</v>
      </c>
      <c r="AK25">
        <v>122.42907599999999</v>
      </c>
      <c r="AL25" s="14">
        <v>0.99478747902910736</v>
      </c>
      <c r="AM25">
        <v>33.991</v>
      </c>
      <c r="AN25" s="14">
        <v>0.9942959106066811</v>
      </c>
      <c r="AO25">
        <v>26</v>
      </c>
      <c r="AQ25">
        <v>23</v>
      </c>
      <c r="AR25">
        <v>121.35076599999999</v>
      </c>
      <c r="AS25" s="14">
        <v>0.99598628677940326</v>
      </c>
      <c r="AT25">
        <v>33.716999999999999</v>
      </c>
      <c r="AU25" s="14">
        <v>0.99568850958273036</v>
      </c>
      <c r="AV25">
        <v>26</v>
      </c>
      <c r="AX25">
        <v>23</v>
      </c>
      <c r="AY25">
        <v>123.025865</v>
      </c>
      <c r="AZ25" s="14">
        <v>0.99517308249695902</v>
      </c>
      <c r="BA25">
        <v>34.154000000000003</v>
      </c>
      <c r="BB25" s="14">
        <v>0.9950471972963526</v>
      </c>
      <c r="BC25">
        <v>26</v>
      </c>
    </row>
    <row r="26" spans="3:55" x14ac:dyDescent="0.35">
      <c r="C26">
        <v>450</v>
      </c>
      <c r="D26">
        <v>30.625666666666664</v>
      </c>
      <c r="E26">
        <v>111.61792800000001</v>
      </c>
      <c r="F26" s="14">
        <v>0.90341199606686329</v>
      </c>
      <c r="G26" s="14">
        <v>0.90524610480260548</v>
      </c>
      <c r="K26" s="14"/>
      <c r="L26" s="14"/>
      <c r="M26" s="14"/>
      <c r="O26">
        <v>24</v>
      </c>
      <c r="P26">
        <v>122.06599</v>
      </c>
      <c r="Q26" s="14">
        <v>0.99499618751593422</v>
      </c>
      <c r="R26">
        <v>33.834000000000003</v>
      </c>
      <c r="S26" s="14">
        <v>0.99705310308245432</v>
      </c>
      <c r="T26">
        <v>26</v>
      </c>
      <c r="V26">
        <v>24</v>
      </c>
      <c r="W26">
        <v>122.055847</v>
      </c>
      <c r="X26" s="14">
        <v>0.99579435123899562</v>
      </c>
      <c r="Y26">
        <v>33.753999999999998</v>
      </c>
      <c r="Z26" s="14">
        <v>0.99633980754471918</v>
      </c>
      <c r="AA26">
        <v>26</v>
      </c>
      <c r="AC26">
        <v>24</v>
      </c>
      <c r="AD26">
        <v>120.95050000000001</v>
      </c>
      <c r="AE26" s="14">
        <v>0.99616450659368816</v>
      </c>
      <c r="AF26">
        <v>33.466999999999999</v>
      </c>
      <c r="AG26" s="14">
        <v>0.9962492185872055</v>
      </c>
      <c r="AH26">
        <v>26</v>
      </c>
      <c r="AJ26">
        <v>24</v>
      </c>
      <c r="AK26">
        <v>122.432052</v>
      </c>
      <c r="AL26" s="14">
        <v>0.99481166027456247</v>
      </c>
      <c r="AM26">
        <v>33.988999999999997</v>
      </c>
      <c r="AN26" s="14">
        <v>0.99423740712572395</v>
      </c>
      <c r="AO26">
        <v>26</v>
      </c>
      <c r="AQ26">
        <v>24</v>
      </c>
      <c r="AR26">
        <v>121.331374</v>
      </c>
      <c r="AS26" s="14">
        <v>0.9958271269594049</v>
      </c>
      <c r="AT26">
        <v>33.710999999999999</v>
      </c>
      <c r="AU26" s="14">
        <v>0.99551132504503437</v>
      </c>
      <c r="AV26">
        <v>26</v>
      </c>
      <c r="AX26">
        <v>24</v>
      </c>
      <c r="AY26">
        <v>123.03044</v>
      </c>
      <c r="AZ26" s="14">
        <v>0.99521009029895602</v>
      </c>
      <c r="BA26">
        <v>34.154000000000003</v>
      </c>
      <c r="BB26" s="14">
        <v>0.9950471972963526</v>
      </c>
      <c r="BC26">
        <v>26</v>
      </c>
    </row>
    <row r="27" spans="3:55" x14ac:dyDescent="0.35">
      <c r="O27">
        <v>25</v>
      </c>
      <c r="P27">
        <v>122.04494800000001</v>
      </c>
      <c r="Q27" s="14">
        <v>0.99482466791594004</v>
      </c>
      <c r="R27">
        <v>33.831000000000003</v>
      </c>
      <c r="S27" s="14">
        <v>0.996964696174928</v>
      </c>
      <c r="T27">
        <v>26</v>
      </c>
      <c r="V27">
        <v>25</v>
      </c>
      <c r="W27">
        <v>122.050281</v>
      </c>
      <c r="X27" s="14">
        <v>0.99574894094940092</v>
      </c>
      <c r="Y27">
        <v>33.755000000000003</v>
      </c>
      <c r="Z27" s="14">
        <v>0.99636932522581034</v>
      </c>
      <c r="AA27">
        <v>26</v>
      </c>
      <c r="AC27">
        <v>25</v>
      </c>
      <c r="AD27">
        <v>120.953096</v>
      </c>
      <c r="AE27" s="14">
        <v>0.99618588759714921</v>
      </c>
      <c r="AF27">
        <v>33.463999999999999</v>
      </c>
      <c r="AG27" s="14">
        <v>0.99615991426785333</v>
      </c>
      <c r="AH27">
        <v>26</v>
      </c>
      <c r="AJ27">
        <v>25</v>
      </c>
      <c r="AK27">
        <v>122.449358</v>
      </c>
      <c r="AL27" s="14">
        <v>0.994952278767118</v>
      </c>
      <c r="AM27">
        <v>33.994</v>
      </c>
      <c r="AN27" s="14">
        <v>0.99438366582811677</v>
      </c>
      <c r="AO27">
        <v>26</v>
      </c>
      <c r="AQ27">
        <v>25</v>
      </c>
      <c r="AR27">
        <v>121.328304</v>
      </c>
      <c r="AS27" s="14">
        <v>0.99580192993757144</v>
      </c>
      <c r="AT27">
        <v>33.710999999999999</v>
      </c>
      <c r="AU27" s="14">
        <v>0.99551132504503437</v>
      </c>
      <c r="AV27">
        <v>26</v>
      </c>
      <c r="AX27">
        <v>25</v>
      </c>
      <c r="AY27">
        <v>123.02016</v>
      </c>
      <c r="AZ27" s="14">
        <v>0.99512693397009733</v>
      </c>
      <c r="BA27">
        <v>34.15</v>
      </c>
      <c r="BB27" s="14">
        <v>0.99493066076214898</v>
      </c>
      <c r="BC27">
        <v>26</v>
      </c>
    </row>
    <row r="28" spans="3:55" x14ac:dyDescent="0.35">
      <c r="C28" s="79" t="s">
        <v>147</v>
      </c>
      <c r="D28" s="79"/>
      <c r="E28" s="79"/>
      <c r="F28" s="79"/>
      <c r="G28" s="79"/>
      <c r="H28" s="79" t="s">
        <v>114</v>
      </c>
      <c r="I28" s="79"/>
      <c r="J28" s="79"/>
      <c r="K28" s="79" t="s">
        <v>115</v>
      </c>
      <c r="L28" s="79"/>
      <c r="M28" s="79"/>
      <c r="O28">
        <v>26</v>
      </c>
      <c r="P28">
        <v>121.98954999999999</v>
      </c>
      <c r="Q28" s="14">
        <v>0.99437310234230214</v>
      </c>
      <c r="R28">
        <v>33.813000000000002</v>
      </c>
      <c r="S28" s="14">
        <v>0.99643425472976965</v>
      </c>
      <c r="T28">
        <v>26</v>
      </c>
      <c r="V28">
        <v>26</v>
      </c>
      <c r="W28">
        <v>122.00037500000001</v>
      </c>
      <c r="X28" s="14">
        <v>0.99534178214370339</v>
      </c>
      <c r="Y28">
        <v>33.738999999999997</v>
      </c>
      <c r="Z28" s="14">
        <v>0.99589704232835463</v>
      </c>
      <c r="AA28">
        <v>26</v>
      </c>
      <c r="AC28">
        <v>26</v>
      </c>
      <c r="AD28">
        <v>120.907315</v>
      </c>
      <c r="AE28" s="14">
        <v>0.99580882915360114</v>
      </c>
      <c r="AF28">
        <v>33.451999999999998</v>
      </c>
      <c r="AG28" s="14">
        <v>0.99580269699044432</v>
      </c>
      <c r="AH28">
        <v>26</v>
      </c>
      <c r="AJ28">
        <v>26</v>
      </c>
      <c r="AK28">
        <v>122.40485</v>
      </c>
      <c r="AL28" s="14">
        <v>0.99459063264053416</v>
      </c>
      <c r="AM28">
        <v>33.981999999999999</v>
      </c>
      <c r="AN28" s="14">
        <v>0.99403264494237409</v>
      </c>
      <c r="AO28">
        <v>26</v>
      </c>
      <c r="AQ28">
        <v>26</v>
      </c>
      <c r="AR28">
        <v>121.278083</v>
      </c>
      <c r="AS28" s="14">
        <v>0.99538974113187118</v>
      </c>
      <c r="AT28">
        <v>33.694000000000003</v>
      </c>
      <c r="AU28" s="14">
        <v>0.99500930218822914</v>
      </c>
      <c r="AV28">
        <v>26</v>
      </c>
      <c r="AX28">
        <v>26</v>
      </c>
      <c r="AY28">
        <v>122.96968200000001</v>
      </c>
      <c r="AZ28" s="14">
        <v>0.99471861051016242</v>
      </c>
      <c r="BA28">
        <v>34.136000000000003</v>
      </c>
      <c r="BB28" s="14">
        <v>0.9945227828924369</v>
      </c>
      <c r="BC28">
        <v>26</v>
      </c>
    </row>
    <row r="29" spans="3:55" x14ac:dyDescent="0.35">
      <c r="C29" t="s">
        <v>160</v>
      </c>
      <c r="D29" t="s">
        <v>166</v>
      </c>
      <c r="E29" t="s">
        <v>167</v>
      </c>
      <c r="F29" t="s">
        <v>164</v>
      </c>
      <c r="G29" t="s">
        <v>162</v>
      </c>
      <c r="H29" s="15" t="s">
        <v>168</v>
      </c>
      <c r="I29" s="15" t="s">
        <v>169</v>
      </c>
      <c r="J29" s="15" t="s">
        <v>170</v>
      </c>
      <c r="K29" s="15" t="s">
        <v>168</v>
      </c>
      <c r="L29" s="15" t="s">
        <v>169</v>
      </c>
      <c r="M29" s="15" t="s">
        <v>170</v>
      </c>
      <c r="O29">
        <v>27</v>
      </c>
      <c r="P29">
        <v>121.936504</v>
      </c>
      <c r="Q29" s="14">
        <v>0.99394070862016082</v>
      </c>
      <c r="R29">
        <v>33.805</v>
      </c>
      <c r="S29" s="14">
        <v>0.99619850297636592</v>
      </c>
      <c r="T29">
        <v>26</v>
      </c>
      <c r="V29">
        <v>27</v>
      </c>
      <c r="W29">
        <v>121.951967</v>
      </c>
      <c r="X29" s="14">
        <v>0.99494684479215811</v>
      </c>
      <c r="Y29">
        <v>33.728000000000002</v>
      </c>
      <c r="Z29" s="14">
        <v>0.99557234783635407</v>
      </c>
      <c r="AA29">
        <v>26</v>
      </c>
      <c r="AC29">
        <v>27</v>
      </c>
      <c r="AD29">
        <v>120.86775299999999</v>
      </c>
      <c r="AE29" s="14">
        <v>0.99548299122643369</v>
      </c>
      <c r="AF29">
        <v>33.442</v>
      </c>
      <c r="AG29" s="14">
        <v>0.99550501592593688</v>
      </c>
      <c r="AH29">
        <v>26</v>
      </c>
      <c r="AJ29">
        <v>27</v>
      </c>
      <c r="AK29">
        <v>122.299201</v>
      </c>
      <c r="AL29" s="14">
        <v>0.99373219030146143</v>
      </c>
      <c r="AM29">
        <v>33.951999999999998</v>
      </c>
      <c r="AN29" s="14">
        <v>0.99315509272801727</v>
      </c>
      <c r="AO29">
        <v>26</v>
      </c>
      <c r="AQ29">
        <v>27</v>
      </c>
      <c r="AR29">
        <v>121.210733</v>
      </c>
      <c r="AS29" s="14">
        <v>0.99483696607633842</v>
      </c>
      <c r="AT29">
        <v>33.676000000000002</v>
      </c>
      <c r="AU29" s="14">
        <v>0.99447774857514104</v>
      </c>
      <c r="AV29">
        <v>26</v>
      </c>
      <c r="AX29">
        <v>27</v>
      </c>
      <c r="AY29">
        <v>122.908519</v>
      </c>
      <c r="AZ29" s="14">
        <v>0.99422385462086416</v>
      </c>
      <c r="BA29">
        <v>34.119</v>
      </c>
      <c r="BB29" s="14">
        <v>0.99402750262207207</v>
      </c>
      <c r="BC29">
        <v>26</v>
      </c>
    </row>
    <row r="30" spans="3:55" x14ac:dyDescent="0.35">
      <c r="C30">
        <v>0</v>
      </c>
      <c r="D30">
        <v>33.87833333333333</v>
      </c>
      <c r="E30">
        <v>123.28206366666666</v>
      </c>
      <c r="F30" s="14">
        <v>1</v>
      </c>
      <c r="G30" s="14">
        <v>1</v>
      </c>
      <c r="I30">
        <v>3.31721842330407</v>
      </c>
      <c r="K30" s="14"/>
      <c r="L30" s="14">
        <v>0</v>
      </c>
      <c r="M30" s="14"/>
      <c r="O30">
        <v>28</v>
      </c>
      <c r="P30">
        <v>121.931487</v>
      </c>
      <c r="Q30" s="14">
        <v>0.99389981356108037</v>
      </c>
      <c r="R30">
        <v>33.805</v>
      </c>
      <c r="S30" s="14">
        <v>0.99619850297636592</v>
      </c>
      <c r="T30">
        <v>26</v>
      </c>
      <c r="V30">
        <v>28</v>
      </c>
      <c r="W30">
        <v>121.95868400000001</v>
      </c>
      <c r="X30" s="14">
        <v>0.99500164553150561</v>
      </c>
      <c r="Y30">
        <v>33.731000000000002</v>
      </c>
      <c r="Z30" s="14">
        <v>0.99566090087962689</v>
      </c>
      <c r="AA30">
        <v>26</v>
      </c>
      <c r="AC30">
        <v>28</v>
      </c>
      <c r="AD30">
        <v>120.885571</v>
      </c>
      <c r="AE30" s="14">
        <v>0.99562974265928006</v>
      </c>
      <c r="AF30">
        <v>33.445999999999998</v>
      </c>
      <c r="AG30" s="14">
        <v>0.99562408835173977</v>
      </c>
      <c r="AH30">
        <v>26</v>
      </c>
      <c r="AJ30">
        <v>28</v>
      </c>
      <c r="AK30">
        <v>122.27665500000001</v>
      </c>
      <c r="AL30" s="14">
        <v>0.9935489946159678</v>
      </c>
      <c r="AM30">
        <v>33.945999999999998</v>
      </c>
      <c r="AN30" s="14">
        <v>0.99297958228514593</v>
      </c>
      <c r="AO30">
        <v>26</v>
      </c>
      <c r="AQ30">
        <v>28</v>
      </c>
      <c r="AR30">
        <v>121.176891</v>
      </c>
      <c r="AS30" s="14">
        <v>0.9945592078962443</v>
      </c>
      <c r="AT30">
        <v>33.665999999999997</v>
      </c>
      <c r="AU30" s="14">
        <v>0.99418244101231423</v>
      </c>
      <c r="AV30">
        <v>26</v>
      </c>
      <c r="AX30">
        <v>28</v>
      </c>
      <c r="AY30">
        <v>122.917958</v>
      </c>
      <c r="AZ30" s="14">
        <v>0.99430020798546503</v>
      </c>
      <c r="BA30">
        <v>34.121000000000002</v>
      </c>
      <c r="BB30" s="14">
        <v>0.99408577088917383</v>
      </c>
      <c r="BC30">
        <v>26</v>
      </c>
    </row>
    <row r="31" spans="3:55" x14ac:dyDescent="0.35">
      <c r="C31">
        <v>75</v>
      </c>
      <c r="D31">
        <v>33.438000000000002</v>
      </c>
      <c r="E31">
        <v>121.67862466666666</v>
      </c>
      <c r="F31" s="14">
        <v>0.98700250897820652</v>
      </c>
      <c r="G31" s="14">
        <v>0.98699373653952271</v>
      </c>
      <c r="I31">
        <v>3.5479273670841032</v>
      </c>
      <c r="K31" s="14"/>
      <c r="L31" s="14">
        <v>6.9548915488730059E-2</v>
      </c>
      <c r="M31" s="14"/>
      <c r="O31">
        <v>29</v>
      </c>
      <c r="P31">
        <v>121.925971</v>
      </c>
      <c r="Q31" s="14">
        <v>0.99385485100459492</v>
      </c>
      <c r="R31">
        <v>33.805</v>
      </c>
      <c r="S31" s="14">
        <v>0.99619850297636592</v>
      </c>
      <c r="T31">
        <v>26</v>
      </c>
      <c r="V31">
        <v>29</v>
      </c>
      <c r="W31">
        <v>121.958617</v>
      </c>
      <c r="X31" s="14">
        <v>0.99500109891105959</v>
      </c>
      <c r="Y31">
        <v>33.726999999999997</v>
      </c>
      <c r="Z31" s="14">
        <v>0.9955428301552629</v>
      </c>
      <c r="AA31">
        <v>26</v>
      </c>
      <c r="AC31">
        <v>29</v>
      </c>
      <c r="AD31">
        <v>120.871692</v>
      </c>
      <c r="AE31" s="14">
        <v>0.99551543335764836</v>
      </c>
      <c r="AF31">
        <v>33.441000000000003</v>
      </c>
      <c r="AG31" s="14">
        <v>0.99547524781948615</v>
      </c>
      <c r="AH31">
        <v>26</v>
      </c>
      <c r="AJ31">
        <v>29</v>
      </c>
      <c r="AK31">
        <v>122.242654</v>
      </c>
      <c r="AL31" s="14">
        <v>0.99327272226156016</v>
      </c>
      <c r="AM31">
        <v>33.933999999999997</v>
      </c>
      <c r="AN31" s="14">
        <v>0.99262856139940314</v>
      </c>
      <c r="AO31">
        <v>26</v>
      </c>
      <c r="AQ31">
        <v>29</v>
      </c>
      <c r="AR31">
        <v>121.16636</v>
      </c>
      <c r="AS31" s="14">
        <v>0.99447277472460627</v>
      </c>
      <c r="AT31">
        <v>33.659999999999997</v>
      </c>
      <c r="AU31" s="14">
        <v>0.99400525647461824</v>
      </c>
      <c r="AV31">
        <v>26</v>
      </c>
      <c r="AX31">
        <v>29</v>
      </c>
      <c r="AY31">
        <v>122.896396</v>
      </c>
      <c r="AZ31" s="14">
        <v>0.99412579001242496</v>
      </c>
      <c r="BA31">
        <v>34.113</v>
      </c>
      <c r="BB31" s="14">
        <v>0.99385269782076691</v>
      </c>
      <c r="BC31">
        <v>26</v>
      </c>
    </row>
    <row r="32" spans="3:55" x14ac:dyDescent="0.35">
      <c r="C32">
        <v>150</v>
      </c>
      <c r="D32">
        <v>32.902333333333338</v>
      </c>
      <c r="E32">
        <v>119.83872566666666</v>
      </c>
      <c r="F32" s="14">
        <v>0.97119102671323876</v>
      </c>
      <c r="G32" s="14">
        <v>0.97206943250633615</v>
      </c>
      <c r="I32">
        <v>3.7910642885713957</v>
      </c>
      <c r="K32" s="14"/>
      <c r="L32" s="14">
        <v>0.14284433667028715</v>
      </c>
      <c r="M32" s="14"/>
      <c r="O32">
        <v>30</v>
      </c>
      <c r="P32">
        <v>121.927997</v>
      </c>
      <c r="Q32" s="14">
        <v>0.99387136553313726</v>
      </c>
      <c r="R32">
        <v>33.805</v>
      </c>
      <c r="S32" s="14">
        <v>0.99619850297636592</v>
      </c>
      <c r="T32">
        <v>26</v>
      </c>
      <c r="V32">
        <v>30</v>
      </c>
      <c r="W32">
        <v>121.967973</v>
      </c>
      <c r="X32" s="14">
        <v>0.99507742996917092</v>
      </c>
      <c r="Y32">
        <v>33.729999999999997</v>
      </c>
      <c r="Z32" s="14">
        <v>0.99563138319853584</v>
      </c>
      <c r="AA32">
        <v>26</v>
      </c>
      <c r="AC32">
        <v>30</v>
      </c>
      <c r="AD32">
        <v>120.89360600000001</v>
      </c>
      <c r="AE32" s="14">
        <v>0.99569591999472296</v>
      </c>
      <c r="AF32">
        <v>33.445</v>
      </c>
      <c r="AG32" s="14">
        <v>0.99559432024528915</v>
      </c>
      <c r="AH32">
        <v>26</v>
      </c>
      <c r="AJ32">
        <v>30</v>
      </c>
      <c r="AK32">
        <v>122.25314299999999</v>
      </c>
      <c r="AL32" s="14">
        <v>0.99335794977620318</v>
      </c>
      <c r="AM32">
        <v>33.933999999999997</v>
      </c>
      <c r="AN32" s="14">
        <v>0.99262856139940314</v>
      </c>
      <c r="AO32">
        <v>26</v>
      </c>
      <c r="AQ32">
        <v>30</v>
      </c>
      <c r="AR32">
        <v>121.17527699999999</v>
      </c>
      <c r="AS32" s="14">
        <v>0.99454596099290893</v>
      </c>
      <c r="AT32">
        <v>33.661999999999999</v>
      </c>
      <c r="AU32" s="14">
        <v>0.99406431798718364</v>
      </c>
      <c r="AV32">
        <v>26</v>
      </c>
      <c r="AX32">
        <v>30</v>
      </c>
      <c r="AY32">
        <v>122.903407</v>
      </c>
      <c r="AZ32" s="14">
        <v>0.99418250295227217</v>
      </c>
      <c r="BA32">
        <v>34.113999999999997</v>
      </c>
      <c r="BB32" s="14">
        <v>0.99388183195431767</v>
      </c>
      <c r="BC32">
        <v>26</v>
      </c>
    </row>
    <row r="33" spans="3:55" x14ac:dyDescent="0.35">
      <c r="C33">
        <v>225</v>
      </c>
      <c r="D33">
        <v>32.403333333333336</v>
      </c>
      <c r="E33">
        <v>118.11790233333333</v>
      </c>
      <c r="F33" s="14">
        <v>0.95646184877256868</v>
      </c>
      <c r="G33" s="14">
        <v>0.95811100836780017</v>
      </c>
      <c r="I33">
        <v>4.2767436451160572</v>
      </c>
      <c r="K33" s="14"/>
      <c r="L33" s="14">
        <v>0.28925596670727072</v>
      </c>
      <c r="M33" s="14"/>
      <c r="O33">
        <v>31</v>
      </c>
      <c r="P33">
        <v>121.861574</v>
      </c>
      <c r="Q33" s="14">
        <v>0.99332993190561025</v>
      </c>
      <c r="R33">
        <v>33.786000000000001</v>
      </c>
      <c r="S33" s="14">
        <v>0.99563859256203224</v>
      </c>
      <c r="T33">
        <v>26</v>
      </c>
      <c r="V33">
        <v>31</v>
      </c>
      <c r="W33">
        <v>121.921644</v>
      </c>
      <c r="X33" s="14">
        <v>0.99469945416848227</v>
      </c>
      <c r="Y33">
        <v>33.718000000000004</v>
      </c>
      <c r="Z33" s="14">
        <v>0.99527717102544433</v>
      </c>
      <c r="AA33">
        <v>26</v>
      </c>
      <c r="AC33">
        <v>31</v>
      </c>
      <c r="AD33">
        <v>120.83598600000001</v>
      </c>
      <c r="AE33" s="14">
        <v>0.99522135396258649</v>
      </c>
      <c r="AF33">
        <v>33.43</v>
      </c>
      <c r="AG33" s="14">
        <v>0.99514779864852787</v>
      </c>
      <c r="AH33">
        <v>26</v>
      </c>
      <c r="AJ33">
        <v>31</v>
      </c>
      <c r="AK33">
        <v>122.206574</v>
      </c>
      <c r="AL33" s="14">
        <v>0.99297955716209174</v>
      </c>
      <c r="AM33">
        <v>33.920999999999999</v>
      </c>
      <c r="AN33" s="14">
        <v>0.99224828877318194</v>
      </c>
      <c r="AO33">
        <v>26</v>
      </c>
      <c r="AQ33">
        <v>31</v>
      </c>
      <c r="AR33">
        <v>121.136987</v>
      </c>
      <c r="AS33" s="14">
        <v>0.99423169585740279</v>
      </c>
      <c r="AT33">
        <v>33.649000000000001</v>
      </c>
      <c r="AU33" s="14">
        <v>0.993680418155509</v>
      </c>
      <c r="AV33">
        <v>26</v>
      </c>
      <c r="AX33">
        <v>31</v>
      </c>
      <c r="AY33">
        <v>122.847426</v>
      </c>
      <c r="AZ33" s="14">
        <v>0.99372966497115933</v>
      </c>
      <c r="BA33">
        <v>34.095999999999997</v>
      </c>
      <c r="BB33" s="14">
        <v>0.99335741755040197</v>
      </c>
      <c r="BC33">
        <v>26</v>
      </c>
    </row>
    <row r="34" spans="3:55" x14ac:dyDescent="0.35">
      <c r="C34">
        <v>300</v>
      </c>
      <c r="D34">
        <v>31.881333333333334</v>
      </c>
      <c r="E34">
        <v>116.29117633333333</v>
      </c>
      <c r="F34" s="14">
        <v>0.94105377084665731</v>
      </c>
      <c r="G34" s="14">
        <v>0.943293556861317</v>
      </c>
      <c r="K34" s="14"/>
      <c r="L34" s="14"/>
      <c r="M34" s="14"/>
      <c r="O34">
        <v>32</v>
      </c>
      <c r="P34">
        <v>121.817599</v>
      </c>
      <c r="Q34" s="14">
        <v>0.9929714786022289</v>
      </c>
      <c r="R34">
        <v>33.774000000000001</v>
      </c>
      <c r="S34" s="14">
        <v>0.99528496493192675</v>
      </c>
      <c r="T34">
        <v>26</v>
      </c>
      <c r="V34">
        <v>32</v>
      </c>
      <c r="W34">
        <v>121.87447400000001</v>
      </c>
      <c r="X34" s="14">
        <v>0.99431461705741842</v>
      </c>
      <c r="Y34">
        <v>33.704999999999998</v>
      </c>
      <c r="Z34" s="14">
        <v>0.99489344117126155</v>
      </c>
      <c r="AA34">
        <v>26</v>
      </c>
      <c r="AC34">
        <v>32</v>
      </c>
      <c r="AD34">
        <v>120.787784</v>
      </c>
      <c r="AE34" s="14">
        <v>0.99482435583900009</v>
      </c>
      <c r="AF34">
        <v>33.415999999999997</v>
      </c>
      <c r="AG34" s="14">
        <v>0.99473104515821731</v>
      </c>
      <c r="AH34">
        <v>26</v>
      </c>
      <c r="AJ34">
        <v>32</v>
      </c>
      <c r="AK34">
        <v>122.13406500000001</v>
      </c>
      <c r="AL34" s="14">
        <v>0.99239039119209838</v>
      </c>
      <c r="AM34">
        <v>33.902000000000001</v>
      </c>
      <c r="AN34" s="14">
        <v>0.9916925057040894</v>
      </c>
      <c r="AO34">
        <v>26</v>
      </c>
      <c r="AQ34">
        <v>32</v>
      </c>
      <c r="AR34">
        <v>121.057149</v>
      </c>
      <c r="AS34" s="14">
        <v>0.99357642555475045</v>
      </c>
      <c r="AT34">
        <v>33.627000000000002</v>
      </c>
      <c r="AU34" s="14">
        <v>0.99303074151729032</v>
      </c>
      <c r="AV34">
        <v>26</v>
      </c>
      <c r="AX34">
        <v>32</v>
      </c>
      <c r="AY34">
        <v>122.796054</v>
      </c>
      <c r="AZ34" s="14">
        <v>0.99331410982270307</v>
      </c>
      <c r="BA34">
        <v>34.082000000000001</v>
      </c>
      <c r="BB34" s="14">
        <v>0.99294953968069</v>
      </c>
      <c r="BC34">
        <v>26</v>
      </c>
    </row>
    <row r="35" spans="3:55" x14ac:dyDescent="0.35">
      <c r="C35">
        <v>375</v>
      </c>
      <c r="D35">
        <v>31.265000000000001</v>
      </c>
      <c r="E35">
        <v>114.107376</v>
      </c>
      <c r="F35" s="14">
        <v>0.92286121906823448</v>
      </c>
      <c r="G35" s="14">
        <v>0.9255797040235032</v>
      </c>
      <c r="K35" s="14"/>
      <c r="L35" s="14"/>
      <c r="M35" s="14"/>
      <c r="O35">
        <v>33</v>
      </c>
      <c r="P35">
        <v>121.84329700000001</v>
      </c>
      <c r="Q35" s="14">
        <v>0.99318095064294054</v>
      </c>
      <c r="R35">
        <v>33.781999999999996</v>
      </c>
      <c r="S35" s="14">
        <v>0.99552071668533026</v>
      </c>
      <c r="T35">
        <v>26</v>
      </c>
      <c r="V35">
        <v>33</v>
      </c>
      <c r="W35">
        <v>121.853188</v>
      </c>
      <c r="X35" s="14">
        <v>0.99414095492584942</v>
      </c>
      <c r="Y35">
        <v>33.701000000000001</v>
      </c>
      <c r="Z35" s="14">
        <v>0.99477537044689768</v>
      </c>
      <c r="AA35">
        <v>26</v>
      </c>
      <c r="AC35">
        <v>33</v>
      </c>
      <c r="AD35">
        <v>120.79701799999999</v>
      </c>
      <c r="AE35" s="14">
        <v>0.99490040829892279</v>
      </c>
      <c r="AF35">
        <v>33.417999999999999</v>
      </c>
      <c r="AG35" s="14">
        <v>0.99479058137111886</v>
      </c>
      <c r="AH35">
        <v>26</v>
      </c>
      <c r="AJ35">
        <v>33</v>
      </c>
      <c r="AK35">
        <v>122.107049</v>
      </c>
      <c r="AL35" s="14">
        <v>0.99217087488591105</v>
      </c>
      <c r="AM35">
        <v>33.893999999999998</v>
      </c>
      <c r="AN35" s="14">
        <v>0.99145849178026091</v>
      </c>
      <c r="AO35">
        <v>26</v>
      </c>
      <c r="AQ35">
        <v>33</v>
      </c>
      <c r="AR35">
        <v>121.03733699999999</v>
      </c>
      <c r="AS35" s="14">
        <v>0.99341381858518529</v>
      </c>
      <c r="AT35">
        <v>33.621000000000002</v>
      </c>
      <c r="AU35" s="14">
        <v>0.99285355697959432</v>
      </c>
      <c r="AV35">
        <v>26</v>
      </c>
      <c r="AX35">
        <v>33</v>
      </c>
      <c r="AY35">
        <v>122.788449</v>
      </c>
      <c r="AZ35" s="14">
        <v>0.99325259193544913</v>
      </c>
      <c r="BA35">
        <v>34.08</v>
      </c>
      <c r="BB35" s="14">
        <v>0.99289127141358813</v>
      </c>
      <c r="BC35">
        <v>26</v>
      </c>
    </row>
    <row r="36" spans="3:55" x14ac:dyDescent="0.35">
      <c r="C36">
        <v>450</v>
      </c>
      <c r="D36">
        <v>30.647333333333332</v>
      </c>
      <c r="E36">
        <v>111.77698533333334</v>
      </c>
      <c r="F36" s="14">
        <v>0.90462931076892805</v>
      </c>
      <c r="G36" s="14">
        <v>0.90667678662127971</v>
      </c>
      <c r="K36" s="14"/>
      <c r="L36" s="14"/>
      <c r="M36" s="14"/>
      <c r="O36">
        <v>34</v>
      </c>
      <c r="P36">
        <v>121.849811</v>
      </c>
      <c r="Q36" s="14">
        <v>0.99323404819423622</v>
      </c>
      <c r="R36">
        <v>33.781999999999996</v>
      </c>
      <c r="S36" s="14">
        <v>0.99552071668533026</v>
      </c>
      <c r="T36">
        <v>26</v>
      </c>
      <c r="V36">
        <v>34</v>
      </c>
      <c r="W36">
        <v>121.877161</v>
      </c>
      <c r="X36" s="14">
        <v>0.99433653898486007</v>
      </c>
      <c r="Y36">
        <v>33.704999999999998</v>
      </c>
      <c r="Z36" s="14">
        <v>0.99489344117126155</v>
      </c>
      <c r="AA36">
        <v>26</v>
      </c>
      <c r="AC36">
        <v>34</v>
      </c>
      <c r="AD36">
        <v>120.813395</v>
      </c>
      <c r="AE36" s="14">
        <v>0.99503529146289893</v>
      </c>
      <c r="AF36">
        <v>33.421999999999997</v>
      </c>
      <c r="AG36" s="14">
        <v>0.99490965379692176</v>
      </c>
      <c r="AH36">
        <v>26</v>
      </c>
      <c r="AJ36">
        <v>34</v>
      </c>
      <c r="AK36">
        <v>122.121672</v>
      </c>
      <c r="AL36" s="14">
        <v>0.99228969288063185</v>
      </c>
      <c r="AM36">
        <v>33.896000000000001</v>
      </c>
      <c r="AN36" s="14">
        <v>0.99151699526121806</v>
      </c>
      <c r="AO36">
        <v>26</v>
      </c>
      <c r="AQ36">
        <v>34</v>
      </c>
      <c r="AR36">
        <v>121.048349</v>
      </c>
      <c r="AS36" s="14">
        <v>0.99350419956382718</v>
      </c>
      <c r="AT36">
        <v>33.622</v>
      </c>
      <c r="AU36" s="14">
        <v>0.99288308773587697</v>
      </c>
      <c r="AV36">
        <v>26</v>
      </c>
      <c r="AX36">
        <v>34</v>
      </c>
      <c r="AY36">
        <v>122.79233499999999</v>
      </c>
      <c r="AZ36" s="14">
        <v>0.99328402632201962</v>
      </c>
      <c r="BA36">
        <v>34.08</v>
      </c>
      <c r="BB36" s="14">
        <v>0.99289127141358813</v>
      </c>
      <c r="BC36">
        <v>26</v>
      </c>
    </row>
    <row r="37" spans="3:55" x14ac:dyDescent="0.35">
      <c r="O37">
        <v>35</v>
      </c>
      <c r="P37">
        <v>121.81547999999999</v>
      </c>
      <c r="Q37" s="14">
        <v>0.99295420600302786</v>
      </c>
      <c r="R37">
        <v>33.771000000000001</v>
      </c>
      <c r="S37" s="14">
        <v>0.99519655802440044</v>
      </c>
      <c r="T37">
        <v>26</v>
      </c>
      <c r="V37">
        <v>35</v>
      </c>
      <c r="W37">
        <v>121.874948</v>
      </c>
      <c r="X37" s="14">
        <v>0.99431848419311153</v>
      </c>
      <c r="Y37">
        <v>33.704000000000001</v>
      </c>
      <c r="Z37" s="14">
        <v>0.99486392349017061</v>
      </c>
      <c r="AA37">
        <v>26</v>
      </c>
      <c r="AC37">
        <v>35</v>
      </c>
      <c r="AD37">
        <v>120.80225</v>
      </c>
      <c r="AE37" s="14">
        <v>0.99494349975119878</v>
      </c>
      <c r="AF37">
        <v>33.417000000000002</v>
      </c>
      <c r="AG37" s="14">
        <v>0.99476081326466814</v>
      </c>
      <c r="AH37">
        <v>26</v>
      </c>
      <c r="AJ37">
        <v>35</v>
      </c>
      <c r="AK37">
        <v>122.112201</v>
      </c>
      <c r="AL37" s="14">
        <v>0.9922127370420214</v>
      </c>
      <c r="AM37">
        <v>33.892000000000003</v>
      </c>
      <c r="AN37" s="14">
        <v>0.99139998829930387</v>
      </c>
      <c r="AO37">
        <v>26</v>
      </c>
      <c r="AQ37">
        <v>35</v>
      </c>
      <c r="AR37">
        <v>121.03069000000001</v>
      </c>
      <c r="AS37" s="14">
        <v>0.99335926333954139</v>
      </c>
      <c r="AT37">
        <v>33.619</v>
      </c>
      <c r="AU37" s="14">
        <v>0.99279449546702891</v>
      </c>
      <c r="AV37">
        <v>26</v>
      </c>
      <c r="AX37">
        <v>35</v>
      </c>
      <c r="AY37">
        <v>122.775307</v>
      </c>
      <c r="AZ37" s="14">
        <v>0.99314628449635756</v>
      </c>
      <c r="BA37">
        <v>34.073</v>
      </c>
      <c r="BB37" s="14">
        <v>0.9926873324787322</v>
      </c>
      <c r="BC37">
        <v>26</v>
      </c>
    </row>
    <row r="38" spans="3:55" x14ac:dyDescent="0.35">
      <c r="C38" s="79" t="s">
        <v>148</v>
      </c>
      <c r="D38" s="79"/>
      <c r="E38" s="79"/>
      <c r="F38" s="79"/>
      <c r="G38" s="79"/>
      <c r="H38" s="79" t="s">
        <v>114</v>
      </c>
      <c r="I38" s="79"/>
      <c r="J38" s="79"/>
      <c r="K38" s="79" t="s">
        <v>115</v>
      </c>
      <c r="L38" s="79"/>
      <c r="M38" s="79"/>
      <c r="O38">
        <v>36</v>
      </c>
      <c r="P38">
        <v>121.770769</v>
      </c>
      <c r="Q38" s="14">
        <v>0.99258975334475652</v>
      </c>
      <c r="R38">
        <v>33.759</v>
      </c>
      <c r="S38" s="14">
        <v>0.99484293039429494</v>
      </c>
      <c r="T38">
        <v>26</v>
      </c>
      <c r="V38">
        <v>36</v>
      </c>
      <c r="W38">
        <v>121.806179</v>
      </c>
      <c r="X38" s="14">
        <v>0.99375743133555883</v>
      </c>
      <c r="Y38">
        <v>33.685000000000002</v>
      </c>
      <c r="Z38" s="14">
        <v>0.99430308754944219</v>
      </c>
      <c r="AA38">
        <v>26</v>
      </c>
      <c r="AC38">
        <v>36</v>
      </c>
      <c r="AD38">
        <v>120.733763</v>
      </c>
      <c r="AE38" s="14">
        <v>0.99437943165257092</v>
      </c>
      <c r="AF38">
        <v>33.399000000000001</v>
      </c>
      <c r="AG38" s="14">
        <v>0.99422498734855469</v>
      </c>
      <c r="AH38">
        <v>26</v>
      </c>
      <c r="AJ38">
        <v>36</v>
      </c>
      <c r="AK38">
        <v>122.079294</v>
      </c>
      <c r="AL38" s="14">
        <v>0.99194535389545246</v>
      </c>
      <c r="AM38">
        <v>33.881999999999998</v>
      </c>
      <c r="AN38" s="14">
        <v>0.99110747089451812</v>
      </c>
      <c r="AO38">
        <v>26</v>
      </c>
      <c r="AQ38">
        <v>36</v>
      </c>
      <c r="AR38">
        <v>120.978381</v>
      </c>
      <c r="AS38" s="14">
        <v>0.99292993727599477</v>
      </c>
      <c r="AT38">
        <v>33.600999999999999</v>
      </c>
      <c r="AU38" s="14">
        <v>0.99226294185394082</v>
      </c>
      <c r="AV38">
        <v>26</v>
      </c>
      <c r="AX38">
        <v>36</v>
      </c>
      <c r="AY38">
        <v>122.714602</v>
      </c>
      <c r="AZ38" s="14">
        <v>0.99265523343182749</v>
      </c>
      <c r="BA38">
        <v>34.055999999999997</v>
      </c>
      <c r="BB38" s="14">
        <v>0.99219205220836726</v>
      </c>
      <c r="BC38">
        <v>26</v>
      </c>
    </row>
    <row r="39" spans="3:55" x14ac:dyDescent="0.35">
      <c r="C39" t="s">
        <v>160</v>
      </c>
      <c r="D39" t="s">
        <v>166</v>
      </c>
      <c r="E39" t="s">
        <v>167</v>
      </c>
      <c r="F39" t="s">
        <v>164</v>
      </c>
      <c r="G39" t="s">
        <v>162</v>
      </c>
      <c r="H39" s="15" t="s">
        <v>168</v>
      </c>
      <c r="I39" s="15" t="s">
        <v>169</v>
      </c>
      <c r="J39" s="15" t="s">
        <v>170</v>
      </c>
      <c r="K39" s="15" t="s">
        <v>168</v>
      </c>
      <c r="L39" s="15" t="s">
        <v>169</v>
      </c>
      <c r="M39" s="15" t="s">
        <v>170</v>
      </c>
      <c r="O39">
        <v>37</v>
      </c>
      <c r="P39">
        <v>121.68765</v>
      </c>
      <c r="Q39" s="14">
        <v>0.9919122256557571</v>
      </c>
      <c r="R39">
        <v>33.734999999999999</v>
      </c>
      <c r="S39" s="14">
        <v>0.99413567513408385</v>
      </c>
      <c r="T39">
        <v>26</v>
      </c>
      <c r="V39">
        <v>37</v>
      </c>
      <c r="W39">
        <v>121.770152</v>
      </c>
      <c r="X39" s="14">
        <v>0.99346350454733956</v>
      </c>
      <c r="Y39">
        <v>33.673000000000002</v>
      </c>
      <c r="Z39" s="14">
        <v>0.99394887537635046</v>
      </c>
      <c r="AA39">
        <v>26</v>
      </c>
      <c r="AC39">
        <v>37</v>
      </c>
      <c r="AD39">
        <v>120.674207</v>
      </c>
      <c r="AE39" s="14">
        <v>0.99388892046531085</v>
      </c>
      <c r="AF39">
        <v>33.381</v>
      </c>
      <c r="AG39" s="14">
        <v>0.99368916143244124</v>
      </c>
      <c r="AH39">
        <v>26</v>
      </c>
      <c r="AJ39">
        <v>37</v>
      </c>
      <c r="AK39">
        <v>121.98491300000001</v>
      </c>
      <c r="AL39" s="14">
        <v>0.99117846877203419</v>
      </c>
      <c r="AM39">
        <v>33.856000000000002</v>
      </c>
      <c r="AN39" s="14">
        <v>0.99034692564207571</v>
      </c>
      <c r="AO39">
        <v>26</v>
      </c>
      <c r="AQ39">
        <v>37</v>
      </c>
      <c r="AR39">
        <v>120.910264</v>
      </c>
      <c r="AS39" s="14">
        <v>0.9923708670687531</v>
      </c>
      <c r="AT39">
        <v>33.582000000000001</v>
      </c>
      <c r="AU39" s="14">
        <v>0.99170185748457018</v>
      </c>
      <c r="AV39">
        <v>26</v>
      </c>
      <c r="AX39">
        <v>37</v>
      </c>
      <c r="AY39">
        <v>122.648104</v>
      </c>
      <c r="AZ39" s="14">
        <v>0.99211732199637548</v>
      </c>
      <c r="BA39">
        <v>34.037999999999997</v>
      </c>
      <c r="BB39" s="14">
        <v>0.99166763780445166</v>
      </c>
      <c r="BC39">
        <v>26</v>
      </c>
    </row>
    <row r="40" spans="3:55" x14ac:dyDescent="0.35">
      <c r="C40">
        <v>0</v>
      </c>
      <c r="D40">
        <v>33.564999999999998</v>
      </c>
      <c r="E40">
        <v>122.07270266666667</v>
      </c>
      <c r="F40" s="14">
        <v>1</v>
      </c>
      <c r="G40" s="14">
        <v>1</v>
      </c>
      <c r="I40">
        <v>3.3666930157613528</v>
      </c>
      <c r="K40" s="14"/>
      <c r="L40" s="14">
        <v>0</v>
      </c>
      <c r="M40" s="14"/>
      <c r="O40">
        <v>38</v>
      </c>
      <c r="P40">
        <v>121.675077</v>
      </c>
      <c r="Q40" s="14">
        <v>0.99180973939348493</v>
      </c>
      <c r="R40">
        <v>33.731999999999999</v>
      </c>
      <c r="S40" s="14">
        <v>0.99404726822655753</v>
      </c>
      <c r="T40">
        <v>26</v>
      </c>
      <c r="V40">
        <v>38</v>
      </c>
      <c r="W40">
        <v>121.72474800000001</v>
      </c>
      <c r="X40" s="14">
        <v>0.99309307537221247</v>
      </c>
      <c r="Y40">
        <v>33.661999999999999</v>
      </c>
      <c r="Z40" s="14">
        <v>0.99362418088434967</v>
      </c>
      <c r="AA40">
        <v>26</v>
      </c>
      <c r="AC40">
        <v>38</v>
      </c>
      <c r="AD40">
        <v>120.64898100000001</v>
      </c>
      <c r="AE40" s="14">
        <v>0.99368115575294247</v>
      </c>
      <c r="AF40">
        <v>33.375</v>
      </c>
      <c r="AG40" s="14">
        <v>0.99351055279373668</v>
      </c>
      <c r="AH40">
        <v>26</v>
      </c>
      <c r="AJ40">
        <v>38</v>
      </c>
      <c r="AK40">
        <v>121.92880100000001</v>
      </c>
      <c r="AL40" s="14">
        <v>0.9907225352891802</v>
      </c>
      <c r="AM40">
        <v>33.840000000000003</v>
      </c>
      <c r="AN40" s="14">
        <v>0.98987889779441884</v>
      </c>
      <c r="AO40">
        <v>26</v>
      </c>
      <c r="AQ40">
        <v>38</v>
      </c>
      <c r="AR40">
        <v>120.86714499999999</v>
      </c>
      <c r="AS40" s="14">
        <v>0.99201696792072758</v>
      </c>
      <c r="AT40">
        <v>33.569000000000003</v>
      </c>
      <c r="AU40" s="14">
        <v>0.99131795765289554</v>
      </c>
      <c r="AV40">
        <v>26</v>
      </c>
      <c r="AX40">
        <v>38</v>
      </c>
      <c r="AY40">
        <v>122.598793</v>
      </c>
      <c r="AZ40" s="14">
        <v>0.99171843855937614</v>
      </c>
      <c r="BA40">
        <v>34.024999999999999</v>
      </c>
      <c r="BB40" s="14">
        <v>0.99128889406829046</v>
      </c>
      <c r="BC40">
        <v>26</v>
      </c>
    </row>
    <row r="41" spans="3:55" x14ac:dyDescent="0.35">
      <c r="C41">
        <v>75</v>
      </c>
      <c r="D41">
        <v>33.168333333333329</v>
      </c>
      <c r="E41">
        <v>120.71780366666667</v>
      </c>
      <c r="F41" s="14">
        <v>0.98818213416753553</v>
      </c>
      <c r="G41" s="14">
        <v>0.98890088471540027</v>
      </c>
      <c r="I41">
        <v>3.4857605700297003</v>
      </c>
      <c r="K41" s="14"/>
      <c r="L41" s="14">
        <v>3.5366323484477609E-2</v>
      </c>
      <c r="M41" s="14"/>
      <c r="O41">
        <v>39</v>
      </c>
      <c r="P41">
        <v>121.676466</v>
      </c>
      <c r="Q41" s="14">
        <v>0.99182106154558047</v>
      </c>
      <c r="R41">
        <v>33.731000000000002</v>
      </c>
      <c r="S41" s="14">
        <v>0.9940177992573821</v>
      </c>
      <c r="T41">
        <v>26</v>
      </c>
      <c r="V41">
        <v>39</v>
      </c>
      <c r="W41">
        <v>121.717389</v>
      </c>
      <c r="X41" s="14">
        <v>0.99303303686679967</v>
      </c>
      <c r="Y41">
        <v>33.658999999999999</v>
      </c>
      <c r="Z41" s="14">
        <v>0.99353562784107674</v>
      </c>
      <c r="AA41">
        <v>26</v>
      </c>
      <c r="AC41">
        <v>39</v>
      </c>
      <c r="AD41">
        <v>120.644738</v>
      </c>
      <c r="AE41" s="14">
        <v>0.993646209837039</v>
      </c>
      <c r="AF41">
        <v>33.372</v>
      </c>
      <c r="AG41" s="14">
        <v>0.9934212484743844</v>
      </c>
      <c r="AH41">
        <v>26</v>
      </c>
      <c r="AJ41">
        <v>39</v>
      </c>
      <c r="AK41">
        <v>121.92740000000001</v>
      </c>
      <c r="AL41" s="14">
        <v>0.99071115157786205</v>
      </c>
      <c r="AM41">
        <v>33.838000000000001</v>
      </c>
      <c r="AN41" s="14">
        <v>0.98982039431346169</v>
      </c>
      <c r="AO41">
        <v>26</v>
      </c>
      <c r="AQ41">
        <v>39</v>
      </c>
      <c r="AR41">
        <v>120.82696</v>
      </c>
      <c r="AS41" s="14">
        <v>0.99168714957467585</v>
      </c>
      <c r="AT41">
        <v>33.566000000000003</v>
      </c>
      <c r="AU41" s="14">
        <v>0.9912293653840476</v>
      </c>
      <c r="AV41">
        <v>26</v>
      </c>
      <c r="AX41">
        <v>39</v>
      </c>
      <c r="AY41">
        <v>122.59566700000001</v>
      </c>
      <c r="AZ41" s="14">
        <v>0.99169315191696261</v>
      </c>
      <c r="BA41">
        <v>34.021999999999998</v>
      </c>
      <c r="BB41" s="14">
        <v>0.99120149166763782</v>
      </c>
      <c r="BC41">
        <v>26</v>
      </c>
    </row>
    <row r="42" spans="3:55" x14ac:dyDescent="0.35">
      <c r="C42">
        <v>150</v>
      </c>
      <c r="D42">
        <v>32.664999999999999</v>
      </c>
      <c r="E42">
        <v>118.98783600000002</v>
      </c>
      <c r="F42" s="14">
        <v>0.97318635483390437</v>
      </c>
      <c r="G42" s="14">
        <v>0.97472926707381724</v>
      </c>
      <c r="I42">
        <v>3.7309280973619692</v>
      </c>
      <c r="K42" s="14"/>
      <c r="L42" s="14">
        <v>0.10818779137136365</v>
      </c>
      <c r="M42" s="14"/>
      <c r="O42">
        <v>40</v>
      </c>
      <c r="P42">
        <v>121.63094700000001</v>
      </c>
      <c r="Q42" s="14">
        <v>0.99145002263900595</v>
      </c>
      <c r="R42">
        <v>33.716999999999999</v>
      </c>
      <c r="S42" s="14">
        <v>0.99360523368892562</v>
      </c>
      <c r="T42">
        <v>26</v>
      </c>
      <c r="V42">
        <v>40</v>
      </c>
      <c r="W42">
        <v>121.70383099999999</v>
      </c>
      <c r="X42" s="14">
        <v>0.99292242373235395</v>
      </c>
      <c r="Y42">
        <v>33.654000000000003</v>
      </c>
      <c r="Z42" s="14">
        <v>0.99338803943562204</v>
      </c>
      <c r="AA42">
        <v>26</v>
      </c>
      <c r="AC42">
        <v>40</v>
      </c>
      <c r="AD42">
        <v>120.622427</v>
      </c>
      <c r="AE42" s="14">
        <v>0.99346245345482798</v>
      </c>
      <c r="AF42">
        <v>33.366</v>
      </c>
      <c r="AG42" s="14">
        <v>0.99324263983567995</v>
      </c>
      <c r="AH42">
        <v>26</v>
      </c>
      <c r="AJ42">
        <v>40</v>
      </c>
      <c r="AK42">
        <v>121.88085700000001</v>
      </c>
      <c r="AL42" s="14">
        <v>0.99033297022463151</v>
      </c>
      <c r="AM42">
        <v>33.828000000000003</v>
      </c>
      <c r="AN42" s="14">
        <v>0.98952787690867616</v>
      </c>
      <c r="AO42">
        <v>26</v>
      </c>
      <c r="AQ42">
        <v>40</v>
      </c>
      <c r="AR42">
        <v>120.766762</v>
      </c>
      <c r="AS42" s="14">
        <v>0.99119307455176631</v>
      </c>
      <c r="AT42">
        <v>33.548000000000002</v>
      </c>
      <c r="AU42" s="14">
        <v>0.9906978117709595</v>
      </c>
      <c r="AV42">
        <v>26</v>
      </c>
      <c r="AX42">
        <v>40</v>
      </c>
      <c r="AY42">
        <v>122.568303</v>
      </c>
      <c r="AZ42" s="14">
        <v>0.99147180077076702</v>
      </c>
      <c r="BA42">
        <v>34.014000000000003</v>
      </c>
      <c r="BB42" s="14">
        <v>0.99096841859923102</v>
      </c>
      <c r="BC42">
        <v>26</v>
      </c>
    </row>
    <row r="43" spans="3:55" x14ac:dyDescent="0.35">
      <c r="C43">
        <v>225</v>
      </c>
      <c r="D43">
        <v>32.207666666666661</v>
      </c>
      <c r="E43">
        <v>117.40709600000001</v>
      </c>
      <c r="F43" s="14">
        <v>0.95956105069765119</v>
      </c>
      <c r="G43" s="14">
        <v>0.96178009854171387</v>
      </c>
      <c r="I43">
        <v>4.2523494576539829</v>
      </c>
      <c r="K43" s="14"/>
      <c r="L43" s="14">
        <v>0.26306421100658189</v>
      </c>
      <c r="M43" s="14"/>
      <c r="O43">
        <v>41</v>
      </c>
      <c r="P43">
        <v>121.541836</v>
      </c>
      <c r="Q43" s="14">
        <v>0.99072365237595605</v>
      </c>
      <c r="R43">
        <v>33.692</v>
      </c>
      <c r="S43" s="14">
        <v>0.99286850945953919</v>
      </c>
      <c r="T43">
        <v>26</v>
      </c>
      <c r="V43">
        <v>41</v>
      </c>
      <c r="W43">
        <v>121.640856</v>
      </c>
      <c r="X43" s="14">
        <v>0.99240864130561557</v>
      </c>
      <c r="Y43">
        <v>33.634999999999998</v>
      </c>
      <c r="Z43" s="14">
        <v>0.9928272034948934</v>
      </c>
      <c r="AA43">
        <v>26</v>
      </c>
      <c r="AC43">
        <v>41</v>
      </c>
      <c r="AD43">
        <v>120.542987</v>
      </c>
      <c r="AE43" s="14">
        <v>0.9928081749821982</v>
      </c>
      <c r="AF43">
        <v>33.341999999999999</v>
      </c>
      <c r="AG43" s="14">
        <v>0.99252820528086194</v>
      </c>
      <c r="AH43">
        <v>26</v>
      </c>
      <c r="AJ43">
        <v>41</v>
      </c>
      <c r="AK43">
        <v>121.789592</v>
      </c>
      <c r="AL43" s="14">
        <v>0.98959140390525813</v>
      </c>
      <c r="AM43">
        <v>33.799999999999997</v>
      </c>
      <c r="AN43" s="14">
        <v>0.98870882817527639</v>
      </c>
      <c r="AO43">
        <v>26</v>
      </c>
      <c r="AQ43">
        <v>41</v>
      </c>
      <c r="AR43">
        <v>120.72381900000001</v>
      </c>
      <c r="AS43" s="14">
        <v>0.99084061992355932</v>
      </c>
      <c r="AT43">
        <v>33.536000000000001</v>
      </c>
      <c r="AU43" s="14">
        <v>0.99034344269556751</v>
      </c>
      <c r="AV43">
        <v>26</v>
      </c>
      <c r="AX43">
        <v>41</v>
      </c>
      <c r="AY43">
        <v>122.471633</v>
      </c>
      <c r="AZ43" s="14">
        <v>0.9906898238922871</v>
      </c>
      <c r="BA43">
        <v>33.985999999999997</v>
      </c>
      <c r="BB43" s="14">
        <v>0.99015266285980652</v>
      </c>
      <c r="BC43">
        <v>26</v>
      </c>
    </row>
    <row r="44" spans="3:55" x14ac:dyDescent="0.35">
      <c r="C44">
        <v>300</v>
      </c>
      <c r="D44">
        <v>31.698666666666668</v>
      </c>
      <c r="E44">
        <v>115.61854699999999</v>
      </c>
      <c r="F44" s="14">
        <v>0.94439644470927064</v>
      </c>
      <c r="G44" s="14">
        <v>0.94712859201380606</v>
      </c>
      <c r="K44" s="14"/>
      <c r="L44" s="14"/>
      <c r="M44" s="14"/>
      <c r="O44">
        <v>42</v>
      </c>
      <c r="P44">
        <v>121.501954</v>
      </c>
      <c r="Q44" s="14">
        <v>0.99039856233285306</v>
      </c>
      <c r="R44">
        <v>33.680999999999997</v>
      </c>
      <c r="S44" s="14">
        <v>0.99254435079860903</v>
      </c>
      <c r="T44">
        <v>26</v>
      </c>
      <c r="V44">
        <v>42</v>
      </c>
      <c r="W44">
        <v>121.55452</v>
      </c>
      <c r="X44" s="14">
        <v>0.99170426783050813</v>
      </c>
      <c r="Y44">
        <v>33.612000000000002</v>
      </c>
      <c r="Z44" s="14">
        <v>0.9921482968298011</v>
      </c>
      <c r="AA44">
        <v>26</v>
      </c>
      <c r="AC44">
        <v>42</v>
      </c>
      <c r="AD44">
        <v>120.468767</v>
      </c>
      <c r="AE44" s="14">
        <v>0.99219688912823822</v>
      </c>
      <c r="AF44">
        <v>33.323</v>
      </c>
      <c r="AG44" s="14">
        <v>0.99196261125829777</v>
      </c>
      <c r="AH44">
        <v>26</v>
      </c>
      <c r="AJ44">
        <v>42</v>
      </c>
      <c r="AK44">
        <v>121.699062</v>
      </c>
      <c r="AL44" s="14">
        <v>0.98885580976848209</v>
      </c>
      <c r="AM44">
        <v>33.777000000000001</v>
      </c>
      <c r="AN44" s="14">
        <v>0.98803603814426966</v>
      </c>
      <c r="AO44">
        <v>26</v>
      </c>
      <c r="AQ44">
        <v>42</v>
      </c>
      <c r="AR44">
        <v>120.62296000000001</v>
      </c>
      <c r="AS44" s="14">
        <v>0.99001281978508893</v>
      </c>
      <c r="AT44">
        <v>33.509</v>
      </c>
      <c r="AU44" s="14">
        <v>0.98954611227593536</v>
      </c>
      <c r="AV44">
        <v>26</v>
      </c>
      <c r="AX44">
        <v>42</v>
      </c>
      <c r="AY44">
        <v>122.372378</v>
      </c>
      <c r="AZ44" s="14">
        <v>0.98988693659453686</v>
      </c>
      <c r="BA44">
        <v>33.960999999999999</v>
      </c>
      <c r="BB44" s="14">
        <v>0.98942430952103488</v>
      </c>
      <c r="BC44">
        <v>26</v>
      </c>
    </row>
    <row r="45" spans="3:55" x14ac:dyDescent="0.35">
      <c r="C45">
        <v>375</v>
      </c>
      <c r="D45">
        <v>31.066999999999997</v>
      </c>
      <c r="E45">
        <v>113.37950499999999</v>
      </c>
      <c r="F45" s="14">
        <v>0.92557723819454785</v>
      </c>
      <c r="G45" s="14">
        <v>0.92878671908817778</v>
      </c>
      <c r="K45" s="14"/>
      <c r="L45" s="14"/>
      <c r="M45" s="14"/>
      <c r="O45">
        <v>43</v>
      </c>
      <c r="P45">
        <v>121.497806</v>
      </c>
      <c r="Q45" s="14">
        <v>0.99036475075121744</v>
      </c>
      <c r="R45">
        <v>33.680999999999997</v>
      </c>
      <c r="S45" s="14">
        <v>0.99254435079860903</v>
      </c>
      <c r="T45">
        <v>26</v>
      </c>
      <c r="V45">
        <v>43</v>
      </c>
      <c r="W45">
        <v>121.529332</v>
      </c>
      <c r="X45" s="14">
        <v>0.99149877117684093</v>
      </c>
      <c r="Y45">
        <v>33.604999999999997</v>
      </c>
      <c r="Z45" s="14">
        <v>0.99194167306216419</v>
      </c>
      <c r="AA45">
        <v>26</v>
      </c>
      <c r="AC45">
        <v>43</v>
      </c>
      <c r="AD45">
        <v>120.456464</v>
      </c>
      <c r="AE45" s="14">
        <v>0.99209555997354582</v>
      </c>
      <c r="AF45">
        <v>33.32</v>
      </c>
      <c r="AG45" s="14">
        <v>0.99187330693894549</v>
      </c>
      <c r="AH45">
        <v>26</v>
      </c>
      <c r="AJ45">
        <v>43</v>
      </c>
      <c r="AK45">
        <v>121.66247799999999</v>
      </c>
      <c r="AL45" s="14">
        <v>0.98855854945808985</v>
      </c>
      <c r="AM45">
        <v>33.768000000000001</v>
      </c>
      <c r="AN45" s="14">
        <v>0.98777277247996254</v>
      </c>
      <c r="AO45">
        <v>26</v>
      </c>
      <c r="AQ45">
        <v>43</v>
      </c>
      <c r="AR45">
        <v>120.55617700000001</v>
      </c>
      <c r="AS45" s="14">
        <v>0.98946469838147133</v>
      </c>
      <c r="AT45">
        <v>33.493000000000002</v>
      </c>
      <c r="AU45" s="14">
        <v>0.98907362017541278</v>
      </c>
      <c r="AV45">
        <v>26</v>
      </c>
      <c r="AX45">
        <v>43</v>
      </c>
      <c r="AY45">
        <v>122.347905</v>
      </c>
      <c r="AZ45" s="14">
        <v>0.98968897114354859</v>
      </c>
      <c r="BA45">
        <v>33.954000000000001</v>
      </c>
      <c r="BB45" s="14">
        <v>0.98922037058617884</v>
      </c>
      <c r="BC45">
        <v>26</v>
      </c>
    </row>
    <row r="46" spans="3:55" x14ac:dyDescent="0.35">
      <c r="C46">
        <v>450</v>
      </c>
      <c r="D46">
        <v>30.472333333333335</v>
      </c>
      <c r="E46">
        <v>111.14495866666668</v>
      </c>
      <c r="F46" s="14">
        <v>0.90786037042554257</v>
      </c>
      <c r="G46" s="14">
        <v>0.91048167394278612</v>
      </c>
      <c r="K46" s="14"/>
      <c r="L46" s="14"/>
      <c r="M46" s="14"/>
      <c r="O46">
        <v>44</v>
      </c>
      <c r="P46">
        <v>121.524326</v>
      </c>
      <c r="Q46" s="14">
        <v>0.99058092315839597</v>
      </c>
      <c r="R46">
        <v>33.688000000000002</v>
      </c>
      <c r="S46" s="14">
        <v>0.99275063358283744</v>
      </c>
      <c r="T46">
        <v>26</v>
      </c>
      <c r="V46">
        <v>44</v>
      </c>
      <c r="W46">
        <v>121.547912</v>
      </c>
      <c r="X46" s="14">
        <v>0.99165035636919985</v>
      </c>
      <c r="Y46">
        <v>33.609000000000002</v>
      </c>
      <c r="Z46" s="14">
        <v>0.99205974378652817</v>
      </c>
      <c r="AA46">
        <v>26</v>
      </c>
      <c r="AC46">
        <v>44</v>
      </c>
      <c r="AD46">
        <v>120.476077</v>
      </c>
      <c r="AE46" s="14">
        <v>0.99225709526664374</v>
      </c>
      <c r="AF46">
        <v>33.325000000000003</v>
      </c>
      <c r="AG46" s="14">
        <v>0.99202214747119932</v>
      </c>
      <c r="AH46">
        <v>26</v>
      </c>
      <c r="AJ46">
        <v>44</v>
      </c>
      <c r="AK46">
        <v>121.635042</v>
      </c>
      <c r="AL46" s="14">
        <v>0.98833562047613266</v>
      </c>
      <c r="AM46">
        <v>33.761000000000003</v>
      </c>
      <c r="AN46" s="14">
        <v>0.98756801029661279</v>
      </c>
      <c r="AO46">
        <v>26</v>
      </c>
      <c r="AQ46">
        <v>44</v>
      </c>
      <c r="AR46">
        <v>120.516378</v>
      </c>
      <c r="AS46" s="14">
        <v>0.98913804813002149</v>
      </c>
      <c r="AT46">
        <v>33.479999999999997</v>
      </c>
      <c r="AU46" s="14">
        <v>0.98868972034373792</v>
      </c>
      <c r="AV46">
        <v>26</v>
      </c>
      <c r="AX46">
        <v>44</v>
      </c>
      <c r="AY46">
        <v>122.35611900000001</v>
      </c>
      <c r="AZ46" s="14">
        <v>0.98975541531526523</v>
      </c>
      <c r="BA46">
        <v>33.954999999999998</v>
      </c>
      <c r="BB46" s="14">
        <v>0.98924950471972961</v>
      </c>
      <c r="BC46">
        <v>26</v>
      </c>
    </row>
    <row r="47" spans="3:55" x14ac:dyDescent="0.35">
      <c r="O47">
        <v>45</v>
      </c>
      <c r="P47">
        <v>121.50391</v>
      </c>
      <c r="Q47" s="14">
        <v>0.99041450627057714</v>
      </c>
      <c r="R47">
        <v>33.679000000000002</v>
      </c>
      <c r="S47" s="14">
        <v>0.99248541286025826</v>
      </c>
      <c r="T47">
        <v>26</v>
      </c>
      <c r="V47">
        <v>45</v>
      </c>
      <c r="W47">
        <v>121.572225</v>
      </c>
      <c r="X47" s="14">
        <v>0.99184871432301158</v>
      </c>
      <c r="Y47">
        <v>33.615000000000002</v>
      </c>
      <c r="Z47" s="14">
        <v>0.99223684987307403</v>
      </c>
      <c r="AA47">
        <v>26</v>
      </c>
      <c r="AC47">
        <v>45</v>
      </c>
      <c r="AD47">
        <v>120.496284</v>
      </c>
      <c r="AE47" s="14">
        <v>0.99242352282324531</v>
      </c>
      <c r="AF47">
        <v>33.326999999999998</v>
      </c>
      <c r="AG47" s="14">
        <v>0.99208168368410066</v>
      </c>
      <c r="AH47">
        <v>26</v>
      </c>
      <c r="AJ47">
        <v>45</v>
      </c>
      <c r="AK47">
        <v>121.634196</v>
      </c>
      <c r="AL47" s="14">
        <v>0.9883287463720819</v>
      </c>
      <c r="AM47">
        <v>33.756999999999998</v>
      </c>
      <c r="AN47" s="14">
        <v>0.98745100333469837</v>
      </c>
      <c r="AO47">
        <v>26</v>
      </c>
      <c r="AQ47">
        <v>45</v>
      </c>
      <c r="AR47">
        <v>120.525514</v>
      </c>
      <c r="AS47" s="14">
        <v>0.98921303184059828</v>
      </c>
      <c r="AT47">
        <v>33.482999999999997</v>
      </c>
      <c r="AU47" s="14">
        <v>0.98877831261258597</v>
      </c>
      <c r="AV47">
        <v>26</v>
      </c>
      <c r="AX47">
        <v>45</v>
      </c>
      <c r="AY47">
        <v>122.356521</v>
      </c>
      <c r="AZ47" s="14">
        <v>0.98975866714835858</v>
      </c>
      <c r="BA47">
        <v>33.957000000000001</v>
      </c>
      <c r="BB47" s="14">
        <v>0.98930777298683148</v>
      </c>
      <c r="BC47">
        <v>26</v>
      </c>
    </row>
    <row r="48" spans="3:55" x14ac:dyDescent="0.35">
      <c r="C48" s="79" t="s">
        <v>174</v>
      </c>
      <c r="D48" s="79"/>
      <c r="E48" s="79"/>
      <c r="F48" s="79"/>
      <c r="G48" s="79"/>
      <c r="H48" s="79" t="s">
        <v>114</v>
      </c>
      <c r="I48" s="79"/>
      <c r="J48" s="79"/>
      <c r="K48" s="79" t="s">
        <v>115</v>
      </c>
      <c r="L48" s="79"/>
      <c r="M48" s="79"/>
      <c r="O48">
        <v>46</v>
      </c>
      <c r="P48">
        <v>121.439694</v>
      </c>
      <c r="Q48" s="14">
        <v>0.98989106255642278</v>
      </c>
      <c r="R48">
        <v>33.661000000000001</v>
      </c>
      <c r="S48" s="14">
        <v>0.99195497141510003</v>
      </c>
      <c r="T48">
        <v>26</v>
      </c>
      <c r="V48">
        <v>46</v>
      </c>
      <c r="W48">
        <v>121.53917</v>
      </c>
      <c r="X48" s="14">
        <v>0.99157903463875841</v>
      </c>
      <c r="Y48">
        <v>33.601999999999997</v>
      </c>
      <c r="Z48" s="14">
        <v>0.99185312001889125</v>
      </c>
      <c r="AA48">
        <v>26</v>
      </c>
      <c r="AC48">
        <v>46</v>
      </c>
      <c r="AD48">
        <v>120.44016499999999</v>
      </c>
      <c r="AE48" s="14">
        <v>0.99196131922800967</v>
      </c>
      <c r="AF48">
        <v>33.311999999999998</v>
      </c>
      <c r="AG48" s="14">
        <v>0.99163516208733948</v>
      </c>
      <c r="AH48">
        <v>26</v>
      </c>
      <c r="AJ48">
        <v>46</v>
      </c>
      <c r="AK48">
        <v>121.605248</v>
      </c>
      <c r="AL48" s="14">
        <v>0.98809353175735326</v>
      </c>
      <c r="AM48">
        <v>33.747999999999998</v>
      </c>
      <c r="AN48" s="14">
        <v>0.98718773767039136</v>
      </c>
      <c r="AO48">
        <v>26</v>
      </c>
      <c r="AQ48">
        <v>46</v>
      </c>
      <c r="AR48">
        <v>120.512744</v>
      </c>
      <c r="AS48" s="14">
        <v>0.98910822207876969</v>
      </c>
      <c r="AT48">
        <v>33.478000000000002</v>
      </c>
      <c r="AU48" s="14">
        <v>0.98863065883117274</v>
      </c>
      <c r="AV48">
        <v>26</v>
      </c>
      <c r="AX48">
        <v>46</v>
      </c>
      <c r="AY48">
        <v>122.30507</v>
      </c>
      <c r="AZ48" s="14">
        <v>0.98934247295807554</v>
      </c>
      <c r="BA48">
        <v>33.939</v>
      </c>
      <c r="BB48" s="14">
        <v>0.98878335858291577</v>
      </c>
      <c r="BC48">
        <v>26</v>
      </c>
    </row>
    <row r="49" spans="3:55" x14ac:dyDescent="0.35">
      <c r="C49" t="s">
        <v>160</v>
      </c>
      <c r="D49" t="s">
        <v>166</v>
      </c>
      <c r="E49" t="s">
        <v>167</v>
      </c>
      <c r="F49" t="s">
        <v>164</v>
      </c>
      <c r="G49" t="s">
        <v>162</v>
      </c>
      <c r="H49" s="15" t="s">
        <v>168</v>
      </c>
      <c r="I49" s="15" t="s">
        <v>169</v>
      </c>
      <c r="J49" s="15" t="s">
        <v>170</v>
      </c>
      <c r="K49" s="15" t="s">
        <v>168</v>
      </c>
      <c r="L49" s="15" t="s">
        <v>169</v>
      </c>
      <c r="M49" s="15" t="s">
        <v>170</v>
      </c>
      <c r="O49">
        <v>47</v>
      </c>
      <c r="P49">
        <v>121.422489</v>
      </c>
      <c r="Q49" s="14">
        <v>0.98975081948457111</v>
      </c>
      <c r="R49">
        <v>33.655999999999999</v>
      </c>
      <c r="S49" s="14">
        <v>0.99180762656922261</v>
      </c>
      <c r="T49">
        <v>26</v>
      </c>
      <c r="V49">
        <v>47</v>
      </c>
      <c r="W49">
        <v>121.489014</v>
      </c>
      <c r="X49" s="14">
        <v>0.9911698362045307</v>
      </c>
      <c r="Y49">
        <v>33.588999999999999</v>
      </c>
      <c r="Z49" s="14">
        <v>0.99146939016470859</v>
      </c>
      <c r="AA49">
        <v>26</v>
      </c>
      <c r="AC49">
        <v>47</v>
      </c>
      <c r="AD49">
        <v>120.393711</v>
      </c>
      <c r="AE49" s="14">
        <v>0.99157871786638407</v>
      </c>
      <c r="AF49">
        <v>33.298999999999999</v>
      </c>
      <c r="AG49" s="14">
        <v>0.99124817670347976</v>
      </c>
      <c r="AH49">
        <v>26</v>
      </c>
      <c r="AJ49">
        <v>47</v>
      </c>
      <c r="AK49">
        <v>121.540486</v>
      </c>
      <c r="AL49" s="14">
        <v>0.9875673134044769</v>
      </c>
      <c r="AM49">
        <v>33.731000000000002</v>
      </c>
      <c r="AN49" s="14">
        <v>0.98669045808225597</v>
      </c>
      <c r="AO49">
        <v>26</v>
      </c>
      <c r="AQ49">
        <v>47</v>
      </c>
      <c r="AR49">
        <v>120.440535</v>
      </c>
      <c r="AS49" s="14">
        <v>0.98851556678574859</v>
      </c>
      <c r="AT49">
        <v>33.46</v>
      </c>
      <c r="AU49" s="14">
        <v>0.98809910521808464</v>
      </c>
      <c r="AV49">
        <v>26</v>
      </c>
      <c r="AX49">
        <v>47</v>
      </c>
      <c r="AY49">
        <v>122.24347899999999</v>
      </c>
      <c r="AZ49" s="14">
        <v>0.98884425491812045</v>
      </c>
      <c r="BA49">
        <v>33.924999999999997</v>
      </c>
      <c r="BB49" s="14">
        <v>0.98837548071320358</v>
      </c>
      <c r="BC49">
        <v>26</v>
      </c>
    </row>
    <row r="50" spans="3:55" x14ac:dyDescent="0.35">
      <c r="C50">
        <v>0</v>
      </c>
      <c r="D50">
        <v>34.199999999999996</v>
      </c>
      <c r="E50">
        <v>123.79991566666668</v>
      </c>
      <c r="F50" s="14">
        <v>1</v>
      </c>
      <c r="G50" s="14">
        <v>1</v>
      </c>
      <c r="I50">
        <v>3.3894578718804662</v>
      </c>
      <c r="K50" s="14"/>
      <c r="L50" s="14">
        <v>0</v>
      </c>
      <c r="M50" s="14"/>
      <c r="O50">
        <v>48</v>
      </c>
      <c r="P50">
        <v>121.354045</v>
      </c>
      <c r="Q50" s="14">
        <v>0.98919291208498883</v>
      </c>
      <c r="R50">
        <v>33.634999999999998</v>
      </c>
      <c r="S50" s="14">
        <v>0.99118877821653795</v>
      </c>
      <c r="T50">
        <v>26</v>
      </c>
      <c r="V50">
        <v>48</v>
      </c>
      <c r="W50">
        <v>121.476015</v>
      </c>
      <c r="X50" s="14">
        <v>0.99106378367947834</v>
      </c>
      <c r="Y50">
        <v>33.585999999999999</v>
      </c>
      <c r="Z50" s="14">
        <v>0.99138083712143565</v>
      </c>
      <c r="AA50">
        <v>26</v>
      </c>
      <c r="AC50">
        <v>48</v>
      </c>
      <c r="AD50">
        <v>120.400909</v>
      </c>
      <c r="AE50" s="14">
        <v>0.9916380015577988</v>
      </c>
      <c r="AF50">
        <v>33.301000000000002</v>
      </c>
      <c r="AG50" s="14">
        <v>0.99130771291638131</v>
      </c>
      <c r="AH50">
        <v>26</v>
      </c>
      <c r="AJ50">
        <v>48</v>
      </c>
      <c r="AK50">
        <v>121.502259</v>
      </c>
      <c r="AL50" s="14">
        <v>0.9872567030314896</v>
      </c>
      <c r="AM50">
        <v>33.722000000000001</v>
      </c>
      <c r="AN50" s="14">
        <v>0.98642719241794896</v>
      </c>
      <c r="AO50">
        <v>26</v>
      </c>
      <c r="AQ50">
        <v>48</v>
      </c>
      <c r="AR50">
        <v>120.372248</v>
      </c>
      <c r="AS50" s="14">
        <v>0.98795510130368236</v>
      </c>
      <c r="AT50">
        <v>33.442999999999998</v>
      </c>
      <c r="AU50" s="14">
        <v>0.98759708236127919</v>
      </c>
      <c r="AV50">
        <v>26</v>
      </c>
      <c r="AX50">
        <v>48</v>
      </c>
      <c r="AY50">
        <v>122.24068200000001</v>
      </c>
      <c r="AZ50" s="14">
        <v>0.98882162960179587</v>
      </c>
      <c r="BA50">
        <v>33.923000000000002</v>
      </c>
      <c r="BB50" s="14">
        <v>0.98831721244610193</v>
      </c>
      <c r="BC50">
        <v>26</v>
      </c>
    </row>
    <row r="51" spans="3:55" x14ac:dyDescent="0.35">
      <c r="C51">
        <v>75</v>
      </c>
      <c r="D51">
        <v>33.506999999999998</v>
      </c>
      <c r="E51">
        <v>121.500671</v>
      </c>
      <c r="F51" s="14">
        <v>0.97973684210526324</v>
      </c>
      <c r="G51" s="14">
        <v>0.98142773640607772</v>
      </c>
      <c r="I51">
        <v>3.5947754176798332</v>
      </c>
      <c r="K51" s="14"/>
      <c r="L51" s="14">
        <v>6.057533492382873E-2</v>
      </c>
      <c r="M51" s="14"/>
      <c r="O51">
        <v>49</v>
      </c>
      <c r="P51">
        <v>121.265072</v>
      </c>
      <c r="Q51" s="14">
        <v>0.98846766670098096</v>
      </c>
      <c r="R51">
        <v>33.612000000000002</v>
      </c>
      <c r="S51" s="14">
        <v>0.99051099192550263</v>
      </c>
      <c r="T51">
        <v>26</v>
      </c>
      <c r="V51">
        <v>49</v>
      </c>
      <c r="W51">
        <v>121.39152199999999</v>
      </c>
      <c r="X51" s="14">
        <v>0.99037444634589489</v>
      </c>
      <c r="Y51">
        <v>33.56</v>
      </c>
      <c r="Z51" s="14">
        <v>0.99061337741307054</v>
      </c>
      <c r="AA51">
        <v>26</v>
      </c>
      <c r="AC51">
        <v>49</v>
      </c>
      <c r="AD51">
        <v>120.249416</v>
      </c>
      <c r="AE51" s="14">
        <v>0.99039028493325076</v>
      </c>
      <c r="AF51">
        <v>33.259</v>
      </c>
      <c r="AG51" s="14">
        <v>0.99005745244544985</v>
      </c>
      <c r="AH51">
        <v>26</v>
      </c>
      <c r="AJ51">
        <v>49</v>
      </c>
      <c r="AK51">
        <v>121.433526</v>
      </c>
      <c r="AL51" s="14">
        <v>0.98669821864175122</v>
      </c>
      <c r="AM51">
        <v>33.698</v>
      </c>
      <c r="AN51" s="14">
        <v>0.98572515064646349</v>
      </c>
      <c r="AO51">
        <v>26</v>
      </c>
      <c r="AQ51">
        <v>49</v>
      </c>
      <c r="AR51">
        <v>120.379012</v>
      </c>
      <c r="AS51" s="14">
        <v>0.98801061682670577</v>
      </c>
      <c r="AT51">
        <v>33.441000000000003</v>
      </c>
      <c r="AU51" s="14">
        <v>0.987538020848714</v>
      </c>
      <c r="AV51">
        <v>26</v>
      </c>
      <c r="AX51">
        <v>49</v>
      </c>
      <c r="AY51">
        <v>122.10382</v>
      </c>
      <c r="AZ51" s="14">
        <v>0.98771453412706212</v>
      </c>
      <c r="BA51">
        <v>33.884999999999998</v>
      </c>
      <c r="BB51" s="14">
        <v>0.98721011537116887</v>
      </c>
      <c r="BC51">
        <v>26</v>
      </c>
    </row>
    <row r="52" spans="3:55" x14ac:dyDescent="0.35">
      <c r="C52">
        <v>150</v>
      </c>
      <c r="D52">
        <v>32.788333333333334</v>
      </c>
      <c r="E52">
        <v>119.07541933333333</v>
      </c>
      <c r="F52" s="14">
        <v>0.95872319688109175</v>
      </c>
      <c r="G52" s="14">
        <v>0.96183764497825563</v>
      </c>
      <c r="I52">
        <v>3.8325177764414731</v>
      </c>
      <c r="K52" s="14"/>
      <c r="L52" s="14">
        <v>0.13071704128164835</v>
      </c>
      <c r="M52" s="14"/>
      <c r="O52">
        <v>50</v>
      </c>
      <c r="P52">
        <v>121.078192</v>
      </c>
      <c r="Q52" s="14">
        <v>0.98694435224194954</v>
      </c>
      <c r="R52">
        <v>33.561999999999998</v>
      </c>
      <c r="S52" s="14">
        <v>0.98903754346672956</v>
      </c>
      <c r="T52">
        <v>26</v>
      </c>
      <c r="V52">
        <v>50</v>
      </c>
      <c r="W52">
        <v>121.29874599999999</v>
      </c>
      <c r="X52" s="14">
        <v>0.98961753203985148</v>
      </c>
      <c r="Y52">
        <v>33.534999999999997</v>
      </c>
      <c r="Z52" s="14">
        <v>0.98987543538579603</v>
      </c>
      <c r="AA52">
        <v>26</v>
      </c>
      <c r="AC52">
        <v>50</v>
      </c>
      <c r="AD52">
        <v>120.101435</v>
      </c>
      <c r="AE52" s="14">
        <v>0.98917149361076562</v>
      </c>
      <c r="AF52">
        <v>33.216000000000001</v>
      </c>
      <c r="AG52" s="14">
        <v>0.98877742386806766</v>
      </c>
      <c r="AH52">
        <v>26</v>
      </c>
      <c r="AJ52">
        <v>50</v>
      </c>
      <c r="AK52">
        <v>121.326277</v>
      </c>
      <c r="AL52" s="14">
        <v>0.98582677563307908</v>
      </c>
      <c r="AM52">
        <v>33.671999999999997</v>
      </c>
      <c r="AN52" s="14">
        <v>0.98496460539402086</v>
      </c>
      <c r="AO52">
        <v>26</v>
      </c>
      <c r="AQ52">
        <v>50</v>
      </c>
      <c r="AR52">
        <v>120.22045199999999</v>
      </c>
      <c r="AS52" s="14">
        <v>0.98670923579025027</v>
      </c>
      <c r="AT52">
        <v>33.399000000000001</v>
      </c>
      <c r="AU52" s="14">
        <v>0.98629772908484192</v>
      </c>
      <c r="AV52">
        <v>26</v>
      </c>
      <c r="AX52">
        <v>50</v>
      </c>
      <c r="AY52">
        <v>121.962773</v>
      </c>
      <c r="AZ52" s="14">
        <v>0.98657358561378039</v>
      </c>
      <c r="BA52">
        <v>33.845999999999997</v>
      </c>
      <c r="BB52" s="14">
        <v>0.98607388416268493</v>
      </c>
      <c r="BC52">
        <v>26</v>
      </c>
    </row>
    <row r="53" spans="3:55" x14ac:dyDescent="0.35">
      <c r="C53">
        <v>225</v>
      </c>
      <c r="D53">
        <v>32.178666666666665</v>
      </c>
      <c r="E53">
        <v>117.02976566666666</v>
      </c>
      <c r="F53" s="14">
        <v>0.94089668615984412</v>
      </c>
      <c r="G53" s="14">
        <v>0.94531377534837135</v>
      </c>
      <c r="I53">
        <v>4.0991984431037132</v>
      </c>
      <c r="K53" s="14"/>
      <c r="L53" s="14">
        <v>0.20939648700501001</v>
      </c>
      <c r="M53" s="14"/>
      <c r="O53">
        <v>51</v>
      </c>
      <c r="P53">
        <v>120.99804</v>
      </c>
      <c r="Q53" s="14">
        <v>0.98629100945235049</v>
      </c>
      <c r="R53">
        <v>33.54</v>
      </c>
      <c r="S53" s="14">
        <v>0.98838922614486946</v>
      </c>
      <c r="T53">
        <v>26</v>
      </c>
      <c r="V53">
        <v>51</v>
      </c>
      <c r="W53">
        <v>121.11096499999999</v>
      </c>
      <c r="X53" s="14">
        <v>0.98808551809979006</v>
      </c>
      <c r="Y53">
        <v>33.484999999999999</v>
      </c>
      <c r="Z53" s="14">
        <v>0.98839955133124735</v>
      </c>
      <c r="AA53">
        <v>26</v>
      </c>
      <c r="AC53">
        <v>51</v>
      </c>
      <c r="AD53">
        <v>119.95384799999999</v>
      </c>
      <c r="AE53" s="14">
        <v>0.98795594732501524</v>
      </c>
      <c r="AF53">
        <v>33.18</v>
      </c>
      <c r="AG53" s="14">
        <v>0.98770577203584065</v>
      </c>
      <c r="AH53">
        <v>26</v>
      </c>
      <c r="AJ53">
        <v>51</v>
      </c>
      <c r="AK53">
        <v>121.09989299999999</v>
      </c>
      <c r="AL53" s="14">
        <v>0.98398731089144742</v>
      </c>
      <c r="AM53">
        <v>33.613</v>
      </c>
      <c r="AN53" s="14">
        <v>0.98323875270578598</v>
      </c>
      <c r="AO53">
        <v>26</v>
      </c>
      <c r="AQ53">
        <v>51</v>
      </c>
      <c r="AR53">
        <v>120.021012</v>
      </c>
      <c r="AS53" s="14">
        <v>0.98507233219595991</v>
      </c>
      <c r="AT53">
        <v>33.344000000000001</v>
      </c>
      <c r="AU53" s="14">
        <v>0.9846735374892952</v>
      </c>
      <c r="AV53">
        <v>26</v>
      </c>
      <c r="AX53">
        <v>51</v>
      </c>
      <c r="AY53">
        <v>121.793043</v>
      </c>
      <c r="AZ53" s="14">
        <v>0.98520061638253609</v>
      </c>
      <c r="BA53">
        <v>33.805</v>
      </c>
      <c r="BB53" s="14">
        <v>0.98487938468709946</v>
      </c>
      <c r="BC53">
        <v>26</v>
      </c>
    </row>
    <row r="54" spans="3:55" x14ac:dyDescent="0.35">
      <c r="C54">
        <v>300</v>
      </c>
      <c r="D54">
        <v>31.48266666666667</v>
      </c>
      <c r="E54">
        <v>114.58193166666666</v>
      </c>
      <c r="F54" s="14">
        <v>0.92054580896686178</v>
      </c>
      <c r="G54" s="14">
        <v>0.92554127399553654</v>
      </c>
      <c r="K54" s="14"/>
      <c r="L54" s="14"/>
      <c r="M54" s="14"/>
      <c r="O54">
        <v>52</v>
      </c>
      <c r="P54">
        <v>121.00162400000001</v>
      </c>
      <c r="Q54" s="14">
        <v>0.9863202237022497</v>
      </c>
      <c r="R54">
        <v>33.542000000000002</v>
      </c>
      <c r="S54" s="14">
        <v>0.98844816408322045</v>
      </c>
      <c r="T54">
        <v>26</v>
      </c>
      <c r="V54">
        <v>52</v>
      </c>
      <c r="W54">
        <v>121.01997799999999</v>
      </c>
      <c r="X54" s="14">
        <v>0.98734319937550818</v>
      </c>
      <c r="Y54">
        <v>33.460999999999999</v>
      </c>
      <c r="Z54" s="14">
        <v>0.98769112698506401</v>
      </c>
      <c r="AA54">
        <v>26</v>
      </c>
      <c r="AC54">
        <v>52</v>
      </c>
      <c r="AD54">
        <v>119.859436</v>
      </c>
      <c r="AE54" s="14">
        <v>0.98717835745646154</v>
      </c>
      <c r="AF54">
        <v>33.155000000000001</v>
      </c>
      <c r="AG54" s="14">
        <v>0.98696156937457202</v>
      </c>
      <c r="AH54">
        <v>26</v>
      </c>
      <c r="AJ54">
        <v>52</v>
      </c>
      <c r="AK54">
        <v>120.980463</v>
      </c>
      <c r="AL54" s="14">
        <v>0.98301689216003074</v>
      </c>
      <c r="AM54">
        <v>33.582000000000001</v>
      </c>
      <c r="AN54" s="14">
        <v>0.98233194875095076</v>
      </c>
      <c r="AO54">
        <v>26</v>
      </c>
      <c r="AQ54">
        <v>52</v>
      </c>
      <c r="AR54">
        <v>119.89290699999999</v>
      </c>
      <c r="AS54" s="14">
        <v>0.98402091054059204</v>
      </c>
      <c r="AT54">
        <v>33.311</v>
      </c>
      <c r="AU54" s="14">
        <v>0.98369902253196706</v>
      </c>
      <c r="AV54">
        <v>26</v>
      </c>
      <c r="AX54">
        <v>52</v>
      </c>
      <c r="AY54">
        <v>121.707545</v>
      </c>
      <c r="AZ54" s="14">
        <v>0.98450901134316227</v>
      </c>
      <c r="BA54">
        <v>33.780999999999999</v>
      </c>
      <c r="BB54" s="14">
        <v>0.98418016548187859</v>
      </c>
      <c r="BC54">
        <v>26</v>
      </c>
    </row>
    <row r="55" spans="3:55" x14ac:dyDescent="0.35">
      <c r="C55">
        <v>375</v>
      </c>
      <c r="D55">
        <v>30.833666666666669</v>
      </c>
      <c r="E55">
        <v>112.36888600000002</v>
      </c>
      <c r="F55" s="14">
        <v>0.90156920077972724</v>
      </c>
      <c r="G55" s="14">
        <v>0.90766528712794203</v>
      </c>
      <c r="K55" s="14"/>
      <c r="L55" s="14"/>
      <c r="M55" s="14"/>
      <c r="O55">
        <v>53</v>
      </c>
      <c r="P55">
        <v>121.132058</v>
      </c>
      <c r="Q55" s="14">
        <v>0.98738343002796292</v>
      </c>
      <c r="R55">
        <v>33.576999999999998</v>
      </c>
      <c r="S55" s="14">
        <v>0.98947957800436148</v>
      </c>
      <c r="T55">
        <v>26</v>
      </c>
      <c r="V55">
        <v>53</v>
      </c>
      <c r="W55">
        <v>121.02638899999999</v>
      </c>
      <c r="X55" s="14">
        <v>0.98739550360953465</v>
      </c>
      <c r="Y55">
        <v>33.463999999999999</v>
      </c>
      <c r="Z55" s="14">
        <v>0.98777968002833694</v>
      </c>
      <c r="AA55">
        <v>26</v>
      </c>
      <c r="AC55">
        <v>53</v>
      </c>
      <c r="AD55">
        <v>119.896568</v>
      </c>
      <c r="AE55" s="14">
        <v>0.98748418157838602</v>
      </c>
      <c r="AF55">
        <v>33.164999999999999</v>
      </c>
      <c r="AG55" s="14">
        <v>0.98725925043907947</v>
      </c>
      <c r="AH55">
        <v>26</v>
      </c>
      <c r="AJ55">
        <v>53</v>
      </c>
      <c r="AK55">
        <v>120.949118</v>
      </c>
      <c r="AL55" s="14">
        <v>0.98276220091715827</v>
      </c>
      <c r="AM55">
        <v>33.573999999999998</v>
      </c>
      <c r="AN55" s="14">
        <v>0.98209793482712215</v>
      </c>
      <c r="AO55">
        <v>26</v>
      </c>
      <c r="AQ55">
        <v>53</v>
      </c>
      <c r="AR55">
        <v>119.81968999999999</v>
      </c>
      <c r="AS55" s="14">
        <v>0.9834199820886107</v>
      </c>
      <c r="AT55">
        <v>33.292999999999999</v>
      </c>
      <c r="AU55" s="14">
        <v>0.98316746891887896</v>
      </c>
      <c r="AV55">
        <v>26</v>
      </c>
      <c r="AX55">
        <v>53</v>
      </c>
      <c r="AY55">
        <v>121.709647</v>
      </c>
      <c r="AZ55" s="14">
        <v>0.98452601470923828</v>
      </c>
      <c r="BA55">
        <v>33.783999999999999</v>
      </c>
      <c r="BB55" s="14">
        <v>0.98426756788253122</v>
      </c>
      <c r="BC55">
        <v>26</v>
      </c>
    </row>
    <row r="56" spans="3:55" x14ac:dyDescent="0.35">
      <c r="C56">
        <v>450</v>
      </c>
      <c r="D56">
        <v>30.218333333333334</v>
      </c>
      <c r="E56">
        <v>110.17296033333332</v>
      </c>
      <c r="F56" s="14">
        <v>0.88357699805068235</v>
      </c>
      <c r="G56" s="14">
        <v>0.88992758791513105</v>
      </c>
      <c r="K56" s="14"/>
      <c r="L56" s="14"/>
      <c r="M56" s="14"/>
      <c r="O56">
        <v>54</v>
      </c>
      <c r="P56">
        <v>121.27961500000001</v>
      </c>
      <c r="Q56" s="14">
        <v>0.98858621101914068</v>
      </c>
      <c r="R56">
        <v>33.615000000000002</v>
      </c>
      <c r="S56" s="14">
        <v>0.99059939883302894</v>
      </c>
      <c r="T56">
        <v>26</v>
      </c>
      <c r="V56">
        <v>54</v>
      </c>
      <c r="W56">
        <v>121.160698</v>
      </c>
      <c r="X56" s="14">
        <v>0.98849126548254485</v>
      </c>
      <c r="Y56">
        <v>33.500999999999998</v>
      </c>
      <c r="Z56" s="14">
        <v>0.98887183422870295</v>
      </c>
      <c r="AA56">
        <v>26</v>
      </c>
      <c r="AC56">
        <v>54</v>
      </c>
      <c r="AD56">
        <v>120.082503</v>
      </c>
      <c r="AE56" s="14">
        <v>0.9890155671248162</v>
      </c>
      <c r="AF56">
        <v>33.215000000000003</v>
      </c>
      <c r="AG56" s="14">
        <v>0.98874765576161705</v>
      </c>
      <c r="AH56">
        <v>26</v>
      </c>
      <c r="AJ56">
        <v>54</v>
      </c>
      <c r="AK56">
        <v>121.04588800000001</v>
      </c>
      <c r="AL56" s="14">
        <v>0.98354849766537233</v>
      </c>
      <c r="AM56">
        <v>33.600999999999999</v>
      </c>
      <c r="AN56" s="14">
        <v>0.9828877318200433</v>
      </c>
      <c r="AO56">
        <v>26</v>
      </c>
      <c r="AQ56">
        <v>54</v>
      </c>
      <c r="AR56">
        <v>119.868465</v>
      </c>
      <c r="AS56" s="14">
        <v>0.98382030285080246</v>
      </c>
      <c r="AT56">
        <v>33.308999999999997</v>
      </c>
      <c r="AU56" s="14">
        <v>0.98363996101940165</v>
      </c>
      <c r="AV56">
        <v>26</v>
      </c>
      <c r="AX56">
        <v>54</v>
      </c>
      <c r="AY56">
        <v>121.860854</v>
      </c>
      <c r="AZ56" s="14">
        <v>0.98574914885493292</v>
      </c>
      <c r="BA56">
        <v>33.823999999999998</v>
      </c>
      <c r="BB56" s="14">
        <v>0.98543293322456593</v>
      </c>
      <c r="BC56">
        <v>26</v>
      </c>
    </row>
    <row r="57" spans="3:55" x14ac:dyDescent="0.35">
      <c r="O57">
        <v>55</v>
      </c>
      <c r="P57">
        <v>121.276466</v>
      </c>
      <c r="Q57" s="14">
        <v>0.98856054258361259</v>
      </c>
      <c r="R57">
        <v>33.607999999999997</v>
      </c>
      <c r="S57" s="14">
        <v>0.99039311604880065</v>
      </c>
      <c r="T57">
        <v>26</v>
      </c>
      <c r="V57">
        <v>55</v>
      </c>
      <c r="W57">
        <v>121.30681300000001</v>
      </c>
      <c r="X57" s="14">
        <v>0.98968334677326164</v>
      </c>
      <c r="Y57">
        <v>33.537999999999997</v>
      </c>
      <c r="Z57" s="14">
        <v>0.98996398842906896</v>
      </c>
      <c r="AA57">
        <v>26</v>
      </c>
      <c r="AC57">
        <v>55</v>
      </c>
      <c r="AD57">
        <v>120.27463899999999</v>
      </c>
      <c r="AE57" s="14">
        <v>0.99059802493721771</v>
      </c>
      <c r="AF57">
        <v>33.262999999999998</v>
      </c>
      <c r="AG57" s="14">
        <v>0.99017652487125274</v>
      </c>
      <c r="AH57">
        <v>26</v>
      </c>
      <c r="AJ57">
        <v>55</v>
      </c>
      <c r="AK57">
        <v>121.199077</v>
      </c>
      <c r="AL57" s="14">
        <v>0.98479322239991973</v>
      </c>
      <c r="AM57">
        <v>33.637</v>
      </c>
      <c r="AN57" s="14">
        <v>0.98394079447727145</v>
      </c>
      <c r="AO57">
        <v>26</v>
      </c>
      <c r="AQ57">
        <v>55</v>
      </c>
      <c r="AR57">
        <v>119.99661</v>
      </c>
      <c r="AS57" s="14">
        <v>0.98487205280612911</v>
      </c>
      <c r="AT57">
        <v>33.340000000000003</v>
      </c>
      <c r="AU57" s="14">
        <v>0.9845554144641645</v>
      </c>
      <c r="AV57">
        <v>26</v>
      </c>
      <c r="AX57">
        <v>55</v>
      </c>
      <c r="AY57">
        <v>122.01997</v>
      </c>
      <c r="AZ57" s="14">
        <v>0.98703625998554423</v>
      </c>
      <c r="BA57">
        <v>33.863999999999997</v>
      </c>
      <c r="BB57" s="14">
        <v>0.98659829856660064</v>
      </c>
      <c r="BC57">
        <v>26</v>
      </c>
    </row>
    <row r="58" spans="3:55" x14ac:dyDescent="0.35">
      <c r="C58" s="79" t="s">
        <v>150</v>
      </c>
      <c r="D58" s="79"/>
      <c r="E58" s="79"/>
      <c r="F58" s="79"/>
      <c r="G58" s="79"/>
      <c r="H58" s="79" t="s">
        <v>114</v>
      </c>
      <c r="I58" s="79"/>
      <c r="J58" s="79"/>
      <c r="K58" s="79" t="s">
        <v>115</v>
      </c>
      <c r="L58" s="79"/>
      <c r="M58" s="79"/>
      <c r="O58">
        <v>56</v>
      </c>
      <c r="P58">
        <v>121.205778</v>
      </c>
      <c r="Q58" s="14">
        <v>0.98798434367265353</v>
      </c>
      <c r="R58">
        <v>33.588999999999999</v>
      </c>
      <c r="S58" s="14">
        <v>0.98983320563446697</v>
      </c>
      <c r="T58">
        <v>26</v>
      </c>
      <c r="V58">
        <v>56</v>
      </c>
      <c r="W58">
        <v>121.330134</v>
      </c>
      <c r="X58" s="14">
        <v>0.98987361148106578</v>
      </c>
      <c r="Y58">
        <v>33.537999999999997</v>
      </c>
      <c r="Z58" s="14">
        <v>0.98996398842906896</v>
      </c>
      <c r="AA58">
        <v>26</v>
      </c>
      <c r="AC58">
        <v>56</v>
      </c>
      <c r="AD58">
        <v>120.227716</v>
      </c>
      <c r="AE58" s="14">
        <v>0.990211560828819</v>
      </c>
      <c r="AF58">
        <v>33.247</v>
      </c>
      <c r="AG58" s="14">
        <v>0.98970023516804084</v>
      </c>
      <c r="AH58">
        <v>26</v>
      </c>
      <c r="AJ58">
        <v>56</v>
      </c>
      <c r="AK58">
        <v>121.285389</v>
      </c>
      <c r="AL58" s="14">
        <v>0.98549454352146404</v>
      </c>
      <c r="AM58">
        <v>33.652999999999999</v>
      </c>
      <c r="AN58" s="14">
        <v>0.98440882232492832</v>
      </c>
      <c r="AO58">
        <v>26</v>
      </c>
      <c r="AQ58">
        <v>56</v>
      </c>
      <c r="AR58">
        <v>120.13226400000001</v>
      </c>
      <c r="AS58" s="14">
        <v>0.98598543287121065</v>
      </c>
      <c r="AT58">
        <v>33.369999999999997</v>
      </c>
      <c r="AU58" s="14">
        <v>0.98544133715264437</v>
      </c>
      <c r="AV58">
        <v>26</v>
      </c>
      <c r="AX58">
        <v>56</v>
      </c>
      <c r="AY58">
        <v>121.98486</v>
      </c>
      <c r="AZ58" s="14">
        <v>0.9867522503837709</v>
      </c>
      <c r="BA58">
        <v>33.85</v>
      </c>
      <c r="BB58" s="14">
        <v>0.98619042069688856</v>
      </c>
      <c r="BC58">
        <v>26</v>
      </c>
    </row>
    <row r="59" spans="3:55" x14ac:dyDescent="0.35">
      <c r="C59" t="s">
        <v>160</v>
      </c>
      <c r="D59" t="s">
        <v>166</v>
      </c>
      <c r="E59" t="s">
        <v>167</v>
      </c>
      <c r="F59" t="s">
        <v>164</v>
      </c>
      <c r="G59" t="s">
        <v>162</v>
      </c>
      <c r="H59" s="15" t="s">
        <v>168</v>
      </c>
      <c r="I59" s="15" t="s">
        <v>169</v>
      </c>
      <c r="J59" s="15" t="s">
        <v>170</v>
      </c>
      <c r="K59" s="15" t="s">
        <v>168</v>
      </c>
      <c r="L59" s="15" t="s">
        <v>169</v>
      </c>
      <c r="M59" s="15" t="s">
        <v>170</v>
      </c>
      <c r="O59">
        <v>57</v>
      </c>
      <c r="P59">
        <v>121.214811</v>
      </c>
      <c r="Q59" s="14">
        <v>0.98805797434211229</v>
      </c>
      <c r="R59">
        <v>33.591999999999999</v>
      </c>
      <c r="S59" s="14">
        <v>0.98992161254199329</v>
      </c>
      <c r="T59">
        <v>26</v>
      </c>
      <c r="V59">
        <v>57</v>
      </c>
      <c r="W59">
        <v>121.258279</v>
      </c>
      <c r="X59" s="14">
        <v>0.98928738144893735</v>
      </c>
      <c r="Y59">
        <v>33.520000000000003</v>
      </c>
      <c r="Z59" s="14">
        <v>0.98943267016943159</v>
      </c>
      <c r="AA59">
        <v>26</v>
      </c>
      <c r="AC59">
        <v>57</v>
      </c>
      <c r="AD59">
        <v>120.15089999999999</v>
      </c>
      <c r="AE59" s="14">
        <v>0.98957889397139787</v>
      </c>
      <c r="AF59">
        <v>33.228000000000002</v>
      </c>
      <c r="AG59" s="14">
        <v>0.98913464114547667</v>
      </c>
      <c r="AH59">
        <v>26</v>
      </c>
      <c r="AJ59">
        <v>57</v>
      </c>
      <c r="AK59">
        <v>121.19549000000001</v>
      </c>
      <c r="AL59" s="14">
        <v>0.98476407652376141</v>
      </c>
      <c r="AM59">
        <v>33.627000000000002</v>
      </c>
      <c r="AN59" s="14">
        <v>0.98364827707248592</v>
      </c>
      <c r="AO59">
        <v>26</v>
      </c>
      <c r="AQ59">
        <v>57</v>
      </c>
      <c r="AR59">
        <v>120.056963</v>
      </c>
      <c r="AS59" s="14">
        <v>0.98536739999137879</v>
      </c>
      <c r="AT59">
        <v>33.348999999999997</v>
      </c>
      <c r="AU59" s="14">
        <v>0.98482119127070833</v>
      </c>
      <c r="AV59">
        <v>26</v>
      </c>
      <c r="AX59">
        <v>57</v>
      </c>
      <c r="AY59">
        <v>121.90307199999999</v>
      </c>
      <c r="AZ59" s="14">
        <v>0.98609065604284707</v>
      </c>
      <c r="BA59">
        <v>33.829000000000001</v>
      </c>
      <c r="BB59" s="14">
        <v>0.98557860389232033</v>
      </c>
      <c r="BC59">
        <v>26</v>
      </c>
    </row>
    <row r="60" spans="3:55" x14ac:dyDescent="0.35">
      <c r="C60">
        <v>0</v>
      </c>
      <c r="D60">
        <v>33.853000000000002</v>
      </c>
      <c r="E60">
        <v>122.52047033333334</v>
      </c>
      <c r="F60" s="14">
        <v>1</v>
      </c>
      <c r="G60" s="14">
        <v>1</v>
      </c>
      <c r="I60">
        <v>3.4816386583681078</v>
      </c>
      <c r="K60" s="14"/>
      <c r="L60" s="14">
        <v>0</v>
      </c>
      <c r="M60" s="14"/>
      <c r="O60">
        <v>58</v>
      </c>
      <c r="P60">
        <v>121.227598</v>
      </c>
      <c r="Q60" s="14">
        <v>0.988162204982029</v>
      </c>
      <c r="R60">
        <v>33.594000000000001</v>
      </c>
      <c r="S60" s="14">
        <v>0.98998055048034428</v>
      </c>
      <c r="T60">
        <v>26</v>
      </c>
      <c r="V60">
        <v>58</v>
      </c>
      <c r="W60">
        <v>121.25219800000001</v>
      </c>
      <c r="X60" s="14">
        <v>0.98923776952457065</v>
      </c>
      <c r="Y60">
        <v>33.521000000000001</v>
      </c>
      <c r="Z60" s="14">
        <v>0.98946218785052253</v>
      </c>
      <c r="AA60">
        <v>26</v>
      </c>
      <c r="AC60">
        <v>58</v>
      </c>
      <c r="AD60">
        <v>120.19966599999999</v>
      </c>
      <c r="AE60" s="14">
        <v>0.98998053727447266</v>
      </c>
      <c r="AF60">
        <v>33.24</v>
      </c>
      <c r="AG60" s="14">
        <v>0.98949185842288567</v>
      </c>
      <c r="AH60">
        <v>26</v>
      </c>
      <c r="AJ60">
        <v>58</v>
      </c>
      <c r="AK60">
        <v>121.14917</v>
      </c>
      <c r="AL60" s="14">
        <v>0.98438770713885615</v>
      </c>
      <c r="AM60">
        <v>33.616</v>
      </c>
      <c r="AN60" s="14">
        <v>0.98332650792722165</v>
      </c>
      <c r="AO60">
        <v>26</v>
      </c>
      <c r="AQ60">
        <v>58</v>
      </c>
      <c r="AR60">
        <v>119.99775200000001</v>
      </c>
      <c r="AS60" s="14">
        <v>0.98488142576995119</v>
      </c>
      <c r="AT60">
        <v>33.332000000000001</v>
      </c>
      <c r="AU60" s="14">
        <v>0.9843191684139031</v>
      </c>
      <c r="AV60">
        <v>26</v>
      </c>
      <c r="AX60">
        <v>58</v>
      </c>
      <c r="AY60">
        <v>121.919742</v>
      </c>
      <c r="AZ60" s="14">
        <v>0.98622550195744585</v>
      </c>
      <c r="BA60">
        <v>33.835000000000001</v>
      </c>
      <c r="BB60" s="14">
        <v>0.98575340869362549</v>
      </c>
      <c r="BC60">
        <v>26</v>
      </c>
    </row>
    <row r="61" spans="3:55" x14ac:dyDescent="0.35">
      <c r="C61">
        <v>75</v>
      </c>
      <c r="D61">
        <v>33.222999999999992</v>
      </c>
      <c r="E61">
        <v>120.33687400000001</v>
      </c>
      <c r="F61" s="14">
        <v>0.98139012790594604</v>
      </c>
      <c r="G61" s="14">
        <v>0.98217770200038768</v>
      </c>
      <c r="I61">
        <v>3.7358484100913252</v>
      </c>
      <c r="K61" s="14"/>
      <c r="L61" s="14">
        <v>7.3014398295533911E-2</v>
      </c>
      <c r="M61" s="14"/>
      <c r="O61">
        <v>59</v>
      </c>
      <c r="P61">
        <v>121.20195200000001</v>
      </c>
      <c r="Q61" s="14">
        <v>0.98795315680878248</v>
      </c>
      <c r="R61">
        <v>33.585000000000001</v>
      </c>
      <c r="S61" s="14">
        <v>0.98971532975776522</v>
      </c>
      <c r="T61">
        <v>26</v>
      </c>
      <c r="V61">
        <v>59</v>
      </c>
      <c r="W61">
        <v>121.267291</v>
      </c>
      <c r="X61" s="14">
        <v>0.98936090597819126</v>
      </c>
      <c r="Y61">
        <v>33.521999999999998</v>
      </c>
      <c r="Z61" s="14">
        <v>0.98949170553161336</v>
      </c>
      <c r="AA61">
        <v>26</v>
      </c>
      <c r="AC61">
        <v>59</v>
      </c>
      <c r="AD61">
        <v>120.201502</v>
      </c>
      <c r="AE61" s="14">
        <v>0.98999565881621177</v>
      </c>
      <c r="AF61">
        <v>33.238999999999997</v>
      </c>
      <c r="AG61" s="14">
        <v>0.98946209031643484</v>
      </c>
      <c r="AH61">
        <v>26</v>
      </c>
      <c r="AJ61">
        <v>59</v>
      </c>
      <c r="AK61">
        <v>121.20078100000001</v>
      </c>
      <c r="AL61" s="14">
        <v>0.98480706811304319</v>
      </c>
      <c r="AM61">
        <v>33.628</v>
      </c>
      <c r="AN61" s="14">
        <v>0.98367752881296433</v>
      </c>
      <c r="AO61">
        <v>26</v>
      </c>
      <c r="AQ61">
        <v>59</v>
      </c>
      <c r="AR61">
        <v>120.020814</v>
      </c>
      <c r="AS61" s="14">
        <v>0.98507070711116418</v>
      </c>
      <c r="AT61">
        <v>33.338999999999999</v>
      </c>
      <c r="AU61" s="14">
        <v>0.98452588370788174</v>
      </c>
      <c r="AV61">
        <v>26</v>
      </c>
      <c r="AX61">
        <v>59</v>
      </c>
      <c r="AY61">
        <v>121.915418</v>
      </c>
      <c r="AZ61" s="14">
        <v>0.98619052452884803</v>
      </c>
      <c r="BA61">
        <v>33.835000000000001</v>
      </c>
      <c r="BB61" s="14">
        <v>0.98575340869362549</v>
      </c>
      <c r="BC61">
        <v>26</v>
      </c>
    </row>
    <row r="62" spans="3:55" x14ac:dyDescent="0.35">
      <c r="C62">
        <v>150</v>
      </c>
      <c r="D62">
        <v>32.497666666666667</v>
      </c>
      <c r="E62">
        <v>117.91093833333332</v>
      </c>
      <c r="F62" s="14">
        <v>0.95996415876485586</v>
      </c>
      <c r="G62" s="14">
        <v>0.96237745425348786</v>
      </c>
      <c r="I62">
        <v>3.9905268344693403</v>
      </c>
      <c r="K62" s="14"/>
      <c r="L62" s="14">
        <v>0.14616340925504182</v>
      </c>
      <c r="M62" s="14"/>
      <c r="O62">
        <v>60</v>
      </c>
      <c r="P62">
        <v>121.119422</v>
      </c>
      <c r="Q62" s="14">
        <v>0.9872804302339544</v>
      </c>
      <c r="R62">
        <v>33.561999999999998</v>
      </c>
      <c r="S62" s="14">
        <v>0.98903754346672956</v>
      </c>
      <c r="T62">
        <v>26</v>
      </c>
      <c r="V62">
        <v>60</v>
      </c>
      <c r="W62">
        <v>121.25063</v>
      </c>
      <c r="X62" s="14">
        <v>0.98922497697442957</v>
      </c>
      <c r="Y62">
        <v>33.517000000000003</v>
      </c>
      <c r="Z62" s="14">
        <v>0.98934411712615866</v>
      </c>
      <c r="AA62">
        <v>26</v>
      </c>
      <c r="AC62">
        <v>60</v>
      </c>
      <c r="AD62">
        <v>120.17250799999999</v>
      </c>
      <c r="AE62" s="14">
        <v>0.989756860351516</v>
      </c>
      <c r="AF62">
        <v>33.229999999999997</v>
      </c>
      <c r="AG62" s="14">
        <v>0.989194177358378</v>
      </c>
      <c r="AH62">
        <v>26</v>
      </c>
      <c r="AJ62">
        <v>60</v>
      </c>
      <c r="AK62">
        <v>121.17981399999999</v>
      </c>
      <c r="AL62" s="14">
        <v>0.98463670246336032</v>
      </c>
      <c r="AM62">
        <v>33.618000000000002</v>
      </c>
      <c r="AN62" s="14">
        <v>0.9833850114081788</v>
      </c>
      <c r="AO62">
        <v>26</v>
      </c>
      <c r="AQ62">
        <v>60</v>
      </c>
      <c r="AR62">
        <v>119.99844299999999</v>
      </c>
      <c r="AS62" s="14">
        <v>0.98488709715173839</v>
      </c>
      <c r="AT62">
        <v>33.338000000000001</v>
      </c>
      <c r="AU62" s="14">
        <v>0.9844963529515991</v>
      </c>
      <c r="AV62">
        <v>26</v>
      </c>
      <c r="AX62">
        <v>60</v>
      </c>
      <c r="AY62">
        <v>121.879728</v>
      </c>
      <c r="AZ62" s="14">
        <v>0.98590182322758657</v>
      </c>
      <c r="BA62">
        <v>33.826000000000001</v>
      </c>
      <c r="BB62" s="14">
        <v>0.98549120149166769</v>
      </c>
      <c r="BC62">
        <v>26</v>
      </c>
    </row>
    <row r="63" spans="3:55" x14ac:dyDescent="0.35">
      <c r="C63">
        <v>225</v>
      </c>
      <c r="D63">
        <v>31.876999999999999</v>
      </c>
      <c r="E63">
        <v>115.85223266666667</v>
      </c>
      <c r="F63" s="14">
        <v>0.94162998847960289</v>
      </c>
      <c r="G63" s="14">
        <v>0.94557450156267897</v>
      </c>
      <c r="I63">
        <v>4.2801154859989206</v>
      </c>
      <c r="K63" s="14"/>
      <c r="L63" s="14">
        <v>0.22933937320338402</v>
      </c>
      <c r="M63" s="14"/>
      <c r="O63">
        <v>61</v>
      </c>
      <c r="P63">
        <v>121.04453100000001</v>
      </c>
      <c r="Q63" s="14">
        <v>0.98666997142000257</v>
      </c>
      <c r="R63">
        <v>33.542999999999999</v>
      </c>
      <c r="S63" s="14">
        <v>0.98847763305239589</v>
      </c>
      <c r="T63">
        <v>26</v>
      </c>
      <c r="V63">
        <v>61</v>
      </c>
      <c r="W63">
        <v>121.17844700000001</v>
      </c>
      <c r="X63" s="14">
        <v>0.98863607094966965</v>
      </c>
      <c r="Y63">
        <v>33.496000000000002</v>
      </c>
      <c r="Z63" s="14">
        <v>0.98872424582324814</v>
      </c>
      <c r="AA63">
        <v>26</v>
      </c>
      <c r="AC63">
        <v>61</v>
      </c>
      <c r="AD63">
        <v>120.08570400000001</v>
      </c>
      <c r="AE63" s="14">
        <v>0.98904193098925341</v>
      </c>
      <c r="AF63">
        <v>33.206000000000003</v>
      </c>
      <c r="AG63" s="14">
        <v>0.98847974280356021</v>
      </c>
      <c r="AH63">
        <v>26</v>
      </c>
      <c r="AJ63">
        <v>61</v>
      </c>
      <c r="AK63">
        <v>121.123823</v>
      </c>
      <c r="AL63" s="14">
        <v>0.9841817521561449</v>
      </c>
      <c r="AM63">
        <v>33.603000000000002</v>
      </c>
      <c r="AN63" s="14">
        <v>0.98294623530100045</v>
      </c>
      <c r="AO63">
        <v>26</v>
      </c>
      <c r="AQ63">
        <v>61</v>
      </c>
      <c r="AR63">
        <v>119.939829</v>
      </c>
      <c r="AS63" s="14">
        <v>0.98440602280719514</v>
      </c>
      <c r="AT63">
        <v>33.322000000000003</v>
      </c>
      <c r="AU63" s="14">
        <v>0.98402386085107652</v>
      </c>
      <c r="AV63">
        <v>26</v>
      </c>
      <c r="AX63">
        <v>61</v>
      </c>
      <c r="AY63">
        <v>121.805829</v>
      </c>
      <c r="AZ63" s="14">
        <v>0.98530404408883843</v>
      </c>
      <c r="BA63">
        <v>33.804000000000002</v>
      </c>
      <c r="BB63" s="14">
        <v>0.98485025055354869</v>
      </c>
      <c r="BC63">
        <v>26</v>
      </c>
    </row>
    <row r="64" spans="3:55" x14ac:dyDescent="0.35">
      <c r="C64">
        <v>300</v>
      </c>
      <c r="D64">
        <v>31.234333333333336</v>
      </c>
      <c r="E64">
        <v>113.64016833333334</v>
      </c>
      <c r="F64" s="14">
        <v>0.92264594964503399</v>
      </c>
      <c r="G64" s="14">
        <v>0.92751985055362629</v>
      </c>
      <c r="K64" s="14"/>
      <c r="L64" s="14"/>
      <c r="M64" s="14"/>
      <c r="O64">
        <v>62</v>
      </c>
      <c r="P64">
        <v>121.03717</v>
      </c>
      <c r="Q64" s="14">
        <v>0.98660996971980497</v>
      </c>
      <c r="R64">
        <v>33.54</v>
      </c>
      <c r="S64" s="14">
        <v>0.98838922614486946</v>
      </c>
      <c r="T64">
        <v>26</v>
      </c>
      <c r="V64">
        <v>62</v>
      </c>
      <c r="W64">
        <v>121.095536</v>
      </c>
      <c r="X64" s="14">
        <v>0.98795964038542483</v>
      </c>
      <c r="Y64">
        <v>33.475000000000001</v>
      </c>
      <c r="Z64" s="14">
        <v>0.98810437452033772</v>
      </c>
      <c r="AA64">
        <v>26</v>
      </c>
      <c r="AC64">
        <v>62</v>
      </c>
      <c r="AD64">
        <v>120.010563</v>
      </c>
      <c r="AE64" s="14">
        <v>0.9884230596560224</v>
      </c>
      <c r="AF64">
        <v>33.186</v>
      </c>
      <c r="AG64" s="14">
        <v>0.9878843806745452</v>
      </c>
      <c r="AH64">
        <v>26</v>
      </c>
      <c r="AJ64">
        <v>62</v>
      </c>
      <c r="AK64">
        <v>121.030683</v>
      </c>
      <c r="AL64" s="14">
        <v>0.98342495067708458</v>
      </c>
      <c r="AM64">
        <v>33.576999999999998</v>
      </c>
      <c r="AN64" s="14">
        <v>0.98218569004855782</v>
      </c>
      <c r="AO64">
        <v>26</v>
      </c>
      <c r="AQ64">
        <v>62</v>
      </c>
      <c r="AR64">
        <v>119.84401800000001</v>
      </c>
      <c r="AS64" s="14">
        <v>0.98361965412351804</v>
      </c>
      <c r="AT64">
        <v>33.295999999999999</v>
      </c>
      <c r="AU64" s="14">
        <v>0.98325606118772702</v>
      </c>
      <c r="AV64">
        <v>26</v>
      </c>
      <c r="AX64">
        <v>62</v>
      </c>
      <c r="AY64">
        <v>121.714527</v>
      </c>
      <c r="AZ64" s="14">
        <v>0.98456548969803503</v>
      </c>
      <c r="BA64">
        <v>33.780999999999999</v>
      </c>
      <c r="BB64" s="14">
        <v>0.98418016548187859</v>
      </c>
      <c r="BC64">
        <v>26</v>
      </c>
    </row>
    <row r="65" spans="3:55" x14ac:dyDescent="0.35">
      <c r="C65">
        <v>375</v>
      </c>
      <c r="D65">
        <v>30.575999999999997</v>
      </c>
      <c r="E65">
        <v>111.37782533333335</v>
      </c>
      <c r="F65" s="14">
        <v>0.90319912563140625</v>
      </c>
      <c r="G65" s="14">
        <v>0.90905483002403653</v>
      </c>
      <c r="K65" s="14"/>
      <c r="L65" s="14"/>
      <c r="M65" s="14"/>
      <c r="O65">
        <v>63</v>
      </c>
      <c r="P65">
        <v>121.034494</v>
      </c>
      <c r="Q65" s="14">
        <v>0.98658815684794932</v>
      </c>
      <c r="R65">
        <v>33.539000000000001</v>
      </c>
      <c r="S65" s="14">
        <v>0.98835975717569413</v>
      </c>
      <c r="T65">
        <v>26</v>
      </c>
      <c r="V65">
        <v>63</v>
      </c>
      <c r="W65">
        <v>121.074933</v>
      </c>
      <c r="X65" s="14">
        <v>0.98779155051900025</v>
      </c>
      <c r="Y65">
        <v>33.47</v>
      </c>
      <c r="Z65" s="14">
        <v>0.9879567861148828</v>
      </c>
      <c r="AA65">
        <v>26</v>
      </c>
      <c r="AC65">
        <v>63</v>
      </c>
      <c r="AD65">
        <v>120.004987</v>
      </c>
      <c r="AE65" s="14">
        <v>0.98837713497370383</v>
      </c>
      <c r="AF65">
        <v>33.186</v>
      </c>
      <c r="AG65" s="14">
        <v>0.9878843806745452</v>
      </c>
      <c r="AH65">
        <v>26</v>
      </c>
      <c r="AJ65">
        <v>63</v>
      </c>
      <c r="AK65">
        <v>120.96437299999999</v>
      </c>
      <c r="AL65" s="14">
        <v>0.98288615417637082</v>
      </c>
      <c r="AM65">
        <v>33.561</v>
      </c>
      <c r="AN65" s="14">
        <v>0.98171766220090095</v>
      </c>
      <c r="AO65">
        <v>26</v>
      </c>
      <c r="AQ65">
        <v>63</v>
      </c>
      <c r="AR65">
        <v>119.78511399999999</v>
      </c>
      <c r="AS65" s="14">
        <v>0.98313619960427368</v>
      </c>
      <c r="AT65">
        <v>33.279000000000003</v>
      </c>
      <c r="AU65" s="14">
        <v>0.98275403833092179</v>
      </c>
      <c r="AV65">
        <v>26</v>
      </c>
      <c r="AX65">
        <v>63</v>
      </c>
      <c r="AY65">
        <v>121.68146400000001</v>
      </c>
      <c r="AZ65" s="14">
        <v>0.98429803855980003</v>
      </c>
      <c r="BA65">
        <v>33.773000000000003</v>
      </c>
      <c r="BB65" s="14">
        <v>0.98394709241347178</v>
      </c>
      <c r="BC65">
        <v>26</v>
      </c>
    </row>
    <row r="66" spans="3:55" x14ac:dyDescent="0.35">
      <c r="C66">
        <v>450</v>
      </c>
      <c r="D66">
        <v>29.990666666666669</v>
      </c>
      <c r="E66">
        <v>109.28701833333334</v>
      </c>
      <c r="F66" s="14">
        <v>0.885908683622328</v>
      </c>
      <c r="G66" s="14">
        <v>0.89198986941531788</v>
      </c>
      <c r="K66" s="14"/>
      <c r="L66" s="14"/>
      <c r="M66" s="14"/>
      <c r="O66">
        <v>64</v>
      </c>
      <c r="P66">
        <v>120.99627099999999</v>
      </c>
      <c r="Q66" s="14">
        <v>0.98627658980724109</v>
      </c>
      <c r="R66">
        <v>33.526000000000003</v>
      </c>
      <c r="S66" s="14">
        <v>0.9879766605764132</v>
      </c>
      <c r="T66">
        <v>26</v>
      </c>
      <c r="V66">
        <v>64</v>
      </c>
      <c r="W66">
        <v>121.05229</v>
      </c>
      <c r="X66" s="14">
        <v>0.98760681728376976</v>
      </c>
      <c r="Y66">
        <v>33.463999999999999</v>
      </c>
      <c r="Z66" s="14">
        <v>0.98777968002833694</v>
      </c>
      <c r="AA66">
        <v>26</v>
      </c>
      <c r="AC66">
        <v>64</v>
      </c>
      <c r="AD66">
        <v>120.00068899999999</v>
      </c>
      <c r="AE66" s="14">
        <v>0.98834173607043885</v>
      </c>
      <c r="AF66">
        <v>33.182000000000002</v>
      </c>
      <c r="AG66" s="14">
        <v>0.98776530824874231</v>
      </c>
      <c r="AH66">
        <v>26</v>
      </c>
      <c r="AJ66">
        <v>64</v>
      </c>
      <c r="AK66">
        <v>120.962456</v>
      </c>
      <c r="AL66" s="14">
        <v>0.98287057774910702</v>
      </c>
      <c r="AM66">
        <v>33.56</v>
      </c>
      <c r="AN66" s="14">
        <v>0.98168841046042243</v>
      </c>
      <c r="AO66">
        <v>26</v>
      </c>
      <c r="AQ66">
        <v>64</v>
      </c>
      <c r="AR66">
        <v>119.762562</v>
      </c>
      <c r="AS66" s="14">
        <v>0.98295110408753472</v>
      </c>
      <c r="AT66">
        <v>33.274000000000001</v>
      </c>
      <c r="AU66" s="14">
        <v>0.98260638454950833</v>
      </c>
      <c r="AV66">
        <v>26</v>
      </c>
      <c r="AX66">
        <v>64</v>
      </c>
      <c r="AY66">
        <v>121.66765700000001</v>
      </c>
      <c r="AZ66" s="14">
        <v>0.98418635184457126</v>
      </c>
      <c r="BA66">
        <v>33.770000000000003</v>
      </c>
      <c r="BB66" s="14">
        <v>0.98385969001281914</v>
      </c>
      <c r="BC66">
        <v>26</v>
      </c>
    </row>
    <row r="67" spans="3:55" x14ac:dyDescent="0.35">
      <c r="O67">
        <v>65</v>
      </c>
      <c r="P67">
        <v>120.932078</v>
      </c>
      <c r="Q67" s="14">
        <v>0.98575333357292716</v>
      </c>
      <c r="R67">
        <v>33.509</v>
      </c>
      <c r="S67" s="14">
        <v>0.98747568810043029</v>
      </c>
      <c r="T67">
        <v>26</v>
      </c>
      <c r="V67">
        <v>65</v>
      </c>
      <c r="W67">
        <v>121.04110900000001</v>
      </c>
      <c r="X67" s="14">
        <v>0.98751559693738855</v>
      </c>
      <c r="Y67">
        <v>33.460999999999999</v>
      </c>
      <c r="Z67" s="14">
        <v>0.98769112698506401</v>
      </c>
      <c r="AA67">
        <v>26</v>
      </c>
      <c r="AC67">
        <v>65</v>
      </c>
      <c r="AD67">
        <v>119.978047</v>
      </c>
      <c r="AE67" s="14">
        <v>0.98815525352792533</v>
      </c>
      <c r="AF67">
        <v>33.174999999999997</v>
      </c>
      <c r="AG67" s="14">
        <v>0.98755693150358692</v>
      </c>
      <c r="AH67">
        <v>26</v>
      </c>
      <c r="AJ67">
        <v>65</v>
      </c>
      <c r="AK67">
        <v>120.932748</v>
      </c>
      <c r="AL67" s="14">
        <v>0.98262918781631858</v>
      </c>
      <c r="AM67">
        <v>33.549999999999997</v>
      </c>
      <c r="AN67" s="14">
        <v>0.98139589305563668</v>
      </c>
      <c r="AO67">
        <v>26</v>
      </c>
      <c r="AQ67">
        <v>65</v>
      </c>
      <c r="AR67">
        <v>119.75268199999999</v>
      </c>
      <c r="AS67" s="14">
        <v>0.98287001399772522</v>
      </c>
      <c r="AT67">
        <v>33.268000000000001</v>
      </c>
      <c r="AU67" s="14">
        <v>0.98242920001181233</v>
      </c>
      <c r="AV67">
        <v>26</v>
      </c>
      <c r="AX67">
        <v>65</v>
      </c>
      <c r="AY67">
        <v>121.625513</v>
      </c>
      <c r="AZ67" s="14">
        <v>0.98384544325279866</v>
      </c>
      <c r="BA67">
        <v>33.756999999999998</v>
      </c>
      <c r="BB67" s="14">
        <v>0.98348094627665772</v>
      </c>
      <c r="BC67">
        <v>26</v>
      </c>
    </row>
    <row r="68" spans="3:55" x14ac:dyDescent="0.35">
      <c r="C68" s="79" t="s">
        <v>151</v>
      </c>
      <c r="D68" s="79"/>
      <c r="E68" s="79"/>
      <c r="F68" s="79"/>
      <c r="G68" s="79"/>
      <c r="H68" s="79" t="s">
        <v>114</v>
      </c>
      <c r="I68" s="79"/>
      <c r="J68" s="79"/>
      <c r="K68" s="79" t="s">
        <v>115</v>
      </c>
      <c r="L68" s="79"/>
      <c r="M68" s="79"/>
      <c r="O68">
        <v>66</v>
      </c>
      <c r="P68">
        <v>120.898599</v>
      </c>
      <c r="Q68" s="14">
        <v>0.98548043628710791</v>
      </c>
      <c r="R68">
        <v>33.499000000000002</v>
      </c>
      <c r="S68" s="14">
        <v>0.98718099840867579</v>
      </c>
      <c r="T68">
        <v>26</v>
      </c>
      <c r="V68">
        <v>66</v>
      </c>
      <c r="W68">
        <v>120.965564</v>
      </c>
      <c r="X68" s="14">
        <v>0.98689926198815536</v>
      </c>
      <c r="Y68">
        <v>33.442</v>
      </c>
      <c r="Z68" s="14">
        <v>0.98713029104433558</v>
      </c>
      <c r="AA68">
        <v>26</v>
      </c>
      <c r="AC68">
        <v>66</v>
      </c>
      <c r="AD68">
        <v>119.907087</v>
      </c>
      <c r="AE68" s="14">
        <v>0.9875708174702994</v>
      </c>
      <c r="AF68">
        <v>33.155999999999999</v>
      </c>
      <c r="AG68" s="14">
        <v>0.98699133748102275</v>
      </c>
      <c r="AH68">
        <v>26</v>
      </c>
      <c r="AJ68">
        <v>66</v>
      </c>
      <c r="AK68">
        <v>120.86444400000001</v>
      </c>
      <c r="AL68" s="14">
        <v>0.98207418923111645</v>
      </c>
      <c r="AM68">
        <v>33.531999999999996</v>
      </c>
      <c r="AN68" s="14">
        <v>0.98086936172702266</v>
      </c>
      <c r="AO68">
        <v>26</v>
      </c>
      <c r="AQ68">
        <v>66</v>
      </c>
      <c r="AR68">
        <v>119.706627</v>
      </c>
      <c r="AS68" s="14">
        <v>0.98249201763272809</v>
      </c>
      <c r="AT68">
        <v>33.253</v>
      </c>
      <c r="AU68" s="14">
        <v>0.98198623866757229</v>
      </c>
      <c r="AV68">
        <v>26</v>
      </c>
      <c r="AX68">
        <v>66</v>
      </c>
      <c r="AY68">
        <v>121.55680099999999</v>
      </c>
      <c r="AZ68" s="14">
        <v>0.98328962246792107</v>
      </c>
      <c r="BA68">
        <v>33.74</v>
      </c>
      <c r="BB68" s="14">
        <v>0.98298566600629311</v>
      </c>
      <c r="BC68">
        <v>26</v>
      </c>
    </row>
    <row r="69" spans="3:55" x14ac:dyDescent="0.35">
      <c r="C69" t="s">
        <v>160</v>
      </c>
      <c r="D69" t="s">
        <v>166</v>
      </c>
      <c r="E69" t="s">
        <v>167</v>
      </c>
      <c r="F69" t="s">
        <v>164</v>
      </c>
      <c r="G69" t="s">
        <v>162</v>
      </c>
      <c r="H69" s="15" t="s">
        <v>168</v>
      </c>
      <c r="I69" s="15" t="s">
        <v>169</v>
      </c>
      <c r="J69" s="15" t="s">
        <v>170</v>
      </c>
      <c r="K69" s="15" t="s">
        <v>168</v>
      </c>
      <c r="L69" s="15" t="s">
        <v>169</v>
      </c>
      <c r="M69" s="15" t="s">
        <v>170</v>
      </c>
      <c r="O69">
        <v>67</v>
      </c>
      <c r="P69">
        <v>120.90738899999999</v>
      </c>
      <c r="Q69" s="14">
        <v>0.98555208619129708</v>
      </c>
      <c r="R69">
        <v>33.502000000000002</v>
      </c>
      <c r="S69" s="14">
        <v>0.98726940531620222</v>
      </c>
      <c r="T69">
        <v>26</v>
      </c>
      <c r="V69">
        <v>67</v>
      </c>
      <c r="W69">
        <v>120.912556</v>
      </c>
      <c r="X69" s="14">
        <v>0.98646679547165594</v>
      </c>
      <c r="Y69">
        <v>33.430999999999997</v>
      </c>
      <c r="Z69" s="14">
        <v>0.9868055965523348</v>
      </c>
      <c r="AA69">
        <v>26</v>
      </c>
      <c r="AC69">
        <v>67</v>
      </c>
      <c r="AD69">
        <v>119.865784</v>
      </c>
      <c r="AE69" s="14">
        <v>0.98723064043410824</v>
      </c>
      <c r="AF69">
        <v>33.146000000000001</v>
      </c>
      <c r="AG69" s="14">
        <v>0.9866936564165153</v>
      </c>
      <c r="AH69">
        <v>26</v>
      </c>
      <c r="AJ69">
        <v>67</v>
      </c>
      <c r="AK69">
        <v>120.832573</v>
      </c>
      <c r="AL69" s="14">
        <v>0.98181522401811305</v>
      </c>
      <c r="AM69">
        <v>33.523000000000003</v>
      </c>
      <c r="AN69" s="14">
        <v>0.98060609606271587</v>
      </c>
      <c r="AO69">
        <v>26</v>
      </c>
      <c r="AQ69">
        <v>67</v>
      </c>
      <c r="AR69">
        <v>119.63891700000001</v>
      </c>
      <c r="AS69" s="14">
        <v>0.9819362878775667</v>
      </c>
      <c r="AT69">
        <v>33.237000000000002</v>
      </c>
      <c r="AU69" s="14">
        <v>0.98151374656704971</v>
      </c>
      <c r="AV69">
        <v>26</v>
      </c>
      <c r="AX69">
        <v>67</v>
      </c>
      <c r="AY69">
        <v>121.50577199999999</v>
      </c>
      <c r="AZ69" s="14">
        <v>0.98287684189347246</v>
      </c>
      <c r="BA69">
        <v>33.726999999999997</v>
      </c>
      <c r="BB69" s="14">
        <v>0.98260692227013169</v>
      </c>
      <c r="BC69">
        <v>26</v>
      </c>
    </row>
    <row r="70" spans="3:55" x14ac:dyDescent="0.35">
      <c r="C70">
        <v>0</v>
      </c>
      <c r="D70">
        <v>34.391999999999996</v>
      </c>
      <c r="E70">
        <v>124.53186866666668</v>
      </c>
      <c r="F70" s="14">
        <v>1</v>
      </c>
      <c r="G70" s="14">
        <v>1</v>
      </c>
      <c r="I70">
        <v>3.4214842966911658</v>
      </c>
      <c r="K70" s="14"/>
      <c r="L70" s="14">
        <v>0</v>
      </c>
      <c r="M70" s="14"/>
      <c r="O70">
        <v>68</v>
      </c>
      <c r="P70">
        <v>120.903966</v>
      </c>
      <c r="Q70" s="14">
        <v>0.98552418430027999</v>
      </c>
      <c r="R70">
        <v>33.500999999999998</v>
      </c>
      <c r="S70" s="14">
        <v>0.98723993634702656</v>
      </c>
      <c r="T70">
        <v>26</v>
      </c>
      <c r="V70">
        <v>68</v>
      </c>
      <c r="W70">
        <v>120.88657000000001</v>
      </c>
      <c r="X70" s="14">
        <v>0.98625478832372071</v>
      </c>
      <c r="Y70">
        <v>33.424999999999997</v>
      </c>
      <c r="Z70" s="14">
        <v>0.98662849046578893</v>
      </c>
      <c r="AA70">
        <v>26</v>
      </c>
      <c r="AC70">
        <v>68</v>
      </c>
      <c r="AD70">
        <v>119.879345</v>
      </c>
      <c r="AE70" s="14">
        <v>0.98734233064517729</v>
      </c>
      <c r="AF70">
        <v>33.148000000000003</v>
      </c>
      <c r="AG70" s="14">
        <v>0.98675319262941685</v>
      </c>
      <c r="AH70">
        <v>26</v>
      </c>
      <c r="AJ70">
        <v>68</v>
      </c>
      <c r="AK70">
        <v>120.795067</v>
      </c>
      <c r="AL70" s="14">
        <v>0.98151047207186415</v>
      </c>
      <c r="AM70">
        <v>33.512999999999998</v>
      </c>
      <c r="AN70" s="14">
        <v>0.98031357865793012</v>
      </c>
      <c r="AO70">
        <v>26</v>
      </c>
      <c r="AQ70">
        <v>68</v>
      </c>
      <c r="AR70">
        <v>119.585606</v>
      </c>
      <c r="AS70" s="14">
        <v>0.98149873790005349</v>
      </c>
      <c r="AT70">
        <v>33.225999999999999</v>
      </c>
      <c r="AU70" s="14">
        <v>0.98118890824794025</v>
      </c>
      <c r="AV70">
        <v>26</v>
      </c>
      <c r="AX70">
        <v>68</v>
      </c>
      <c r="AY70">
        <v>121.506394</v>
      </c>
      <c r="AZ70" s="14">
        <v>0.98288187333671673</v>
      </c>
      <c r="BA70">
        <v>33.723999999999997</v>
      </c>
      <c r="BB70" s="14">
        <v>0.98251951986947905</v>
      </c>
      <c r="BC70">
        <v>26</v>
      </c>
    </row>
    <row r="71" spans="3:55" x14ac:dyDescent="0.35">
      <c r="C71">
        <v>75</v>
      </c>
      <c r="D71">
        <v>33.752666666666663</v>
      </c>
      <c r="E71">
        <v>122.36330266666666</v>
      </c>
      <c r="F71" s="14">
        <v>0.98141040552066372</v>
      </c>
      <c r="G71" s="14">
        <v>0.98258625664885346</v>
      </c>
      <c r="I71">
        <v>3.7008324241504185</v>
      </c>
      <c r="K71" s="14"/>
      <c r="L71" s="14">
        <v>8.164530456252668E-2</v>
      </c>
      <c r="M71" s="14"/>
      <c r="O71">
        <v>69</v>
      </c>
      <c r="P71">
        <v>120.911671</v>
      </c>
      <c r="Q71" s="14">
        <v>0.98558699004678496</v>
      </c>
      <c r="R71">
        <v>33.499000000000002</v>
      </c>
      <c r="S71" s="14">
        <v>0.98718099840867579</v>
      </c>
      <c r="T71">
        <v>26</v>
      </c>
      <c r="V71">
        <v>69</v>
      </c>
      <c r="W71">
        <v>120.89199499999999</v>
      </c>
      <c r="X71" s="14">
        <v>0.98629904826282433</v>
      </c>
      <c r="Y71">
        <v>33.423999999999999</v>
      </c>
      <c r="Z71" s="14">
        <v>0.98659897278469799</v>
      </c>
      <c r="AA71">
        <v>26</v>
      </c>
      <c r="AC71">
        <v>69</v>
      </c>
      <c r="AD71">
        <v>119.88624299999999</v>
      </c>
      <c r="AE71" s="14">
        <v>0.98739914349643854</v>
      </c>
      <c r="AF71">
        <v>33.149000000000001</v>
      </c>
      <c r="AG71" s="14">
        <v>0.98678296073586746</v>
      </c>
      <c r="AH71">
        <v>26</v>
      </c>
      <c r="AJ71">
        <v>69</v>
      </c>
      <c r="AK71">
        <v>120.787443</v>
      </c>
      <c r="AL71" s="14">
        <v>0.9814485238812225</v>
      </c>
      <c r="AM71">
        <v>33.508000000000003</v>
      </c>
      <c r="AN71" s="14">
        <v>0.98016731995553741</v>
      </c>
      <c r="AO71">
        <v>26</v>
      </c>
      <c r="AQ71">
        <v>69</v>
      </c>
      <c r="AR71">
        <v>119.566952</v>
      </c>
      <c r="AS71" s="14">
        <v>0.98134563521429397</v>
      </c>
      <c r="AT71">
        <v>33.220999999999997</v>
      </c>
      <c r="AU71" s="14">
        <v>0.98104125446652679</v>
      </c>
      <c r="AV71">
        <v>26</v>
      </c>
      <c r="AX71">
        <v>69</v>
      </c>
      <c r="AY71">
        <v>121.495225</v>
      </c>
      <c r="AZ71" s="14">
        <v>0.98279152576502193</v>
      </c>
      <c r="BA71">
        <v>33.722999999999999</v>
      </c>
      <c r="BB71" s="14">
        <v>0.98249038573592828</v>
      </c>
      <c r="BC71">
        <v>26</v>
      </c>
    </row>
    <row r="72" spans="3:55" x14ac:dyDescent="0.35">
      <c r="C72">
        <v>150</v>
      </c>
      <c r="D72">
        <v>33.081333333333333</v>
      </c>
      <c r="E72">
        <v>120.05694966666665</v>
      </c>
      <c r="F72" s="14">
        <v>0.96189036209971324</v>
      </c>
      <c r="G72" s="14">
        <v>0.96406607362507346</v>
      </c>
      <c r="I72">
        <v>3.9281242425189307</v>
      </c>
      <c r="K72" s="14"/>
      <c r="L72" s="14">
        <v>0.14807606930060266</v>
      </c>
      <c r="M72" s="14"/>
      <c r="O72">
        <v>70</v>
      </c>
      <c r="P72">
        <v>120.82894</v>
      </c>
      <c r="Q72" s="14">
        <v>0.9849126250611786</v>
      </c>
      <c r="R72">
        <v>33.475999999999999</v>
      </c>
      <c r="S72" s="14">
        <v>0.98650321211764014</v>
      </c>
      <c r="T72">
        <v>26</v>
      </c>
      <c r="V72">
        <v>70</v>
      </c>
      <c r="W72">
        <v>120.91707599999999</v>
      </c>
      <c r="X72" s="14">
        <v>0.9865036719554805</v>
      </c>
      <c r="Y72">
        <v>33.435000000000002</v>
      </c>
      <c r="Z72" s="14">
        <v>0.98692366727669878</v>
      </c>
      <c r="AA72">
        <v>26</v>
      </c>
      <c r="AC72">
        <v>70</v>
      </c>
      <c r="AD72">
        <v>119.93231900000001</v>
      </c>
      <c r="AE72" s="14">
        <v>0.98777863159947099</v>
      </c>
      <c r="AF72">
        <v>33.159999999999997</v>
      </c>
      <c r="AG72" s="14">
        <v>0.98711040990682564</v>
      </c>
      <c r="AH72">
        <v>26</v>
      </c>
      <c r="AJ72">
        <v>70</v>
      </c>
      <c r="AK72">
        <v>120.78889599999999</v>
      </c>
      <c r="AL72" s="14">
        <v>0.98146033011430256</v>
      </c>
      <c r="AM72">
        <v>33.509</v>
      </c>
      <c r="AN72" s="14">
        <v>0.98019657169601593</v>
      </c>
      <c r="AO72">
        <v>26</v>
      </c>
      <c r="AQ72">
        <v>70</v>
      </c>
      <c r="AR72">
        <v>119.55586</v>
      </c>
      <c r="AS72" s="14">
        <v>0.98125459763573464</v>
      </c>
      <c r="AT72">
        <v>33.22</v>
      </c>
      <c r="AU72" s="14">
        <v>0.98101172371024425</v>
      </c>
      <c r="AV72">
        <v>26</v>
      </c>
      <c r="AX72">
        <v>70</v>
      </c>
      <c r="AY72">
        <v>121.54459900000001</v>
      </c>
      <c r="AZ72" s="14">
        <v>0.98319091881765519</v>
      </c>
      <c r="BA72">
        <v>33.728999999999999</v>
      </c>
      <c r="BB72" s="14">
        <v>0.98266519053723345</v>
      </c>
      <c r="BC72">
        <v>26</v>
      </c>
    </row>
    <row r="73" spans="3:55" x14ac:dyDescent="0.35">
      <c r="C73">
        <v>225</v>
      </c>
      <c r="D73">
        <v>32.492666666666672</v>
      </c>
      <c r="E73">
        <v>118.04200200000001</v>
      </c>
      <c r="F73" s="14">
        <v>0.94477397844459976</v>
      </c>
      <c r="G73" s="14">
        <v>0.94788589670939538</v>
      </c>
      <c r="I73">
        <v>4.4384079786896393</v>
      </c>
      <c r="K73" s="14"/>
      <c r="L73" s="14">
        <v>0.29721711217026936</v>
      </c>
      <c r="M73" s="14"/>
      <c r="O73">
        <v>71</v>
      </c>
      <c r="P73">
        <v>120.75815</v>
      </c>
      <c r="Q73" s="14">
        <v>0.98433559471788434</v>
      </c>
      <c r="R73">
        <v>33.457999999999998</v>
      </c>
      <c r="S73" s="14">
        <v>0.9859727706724819</v>
      </c>
      <c r="T73">
        <v>26</v>
      </c>
      <c r="V73">
        <v>71</v>
      </c>
      <c r="W73">
        <v>120.845006</v>
      </c>
      <c r="X73" s="14">
        <v>0.98591568784281625</v>
      </c>
      <c r="Y73">
        <v>33.417000000000002</v>
      </c>
      <c r="Z73" s="14">
        <v>0.9863923490170613</v>
      </c>
      <c r="AA73">
        <v>26</v>
      </c>
      <c r="AC73">
        <v>71</v>
      </c>
      <c r="AD73">
        <v>119.834253</v>
      </c>
      <c r="AE73" s="14">
        <v>0.98697094689784826</v>
      </c>
      <c r="AF73">
        <v>33.133000000000003</v>
      </c>
      <c r="AG73" s="14">
        <v>0.98630667103265557</v>
      </c>
      <c r="AH73">
        <v>26</v>
      </c>
      <c r="AJ73">
        <v>71</v>
      </c>
      <c r="AK73">
        <v>120.78508100000001</v>
      </c>
      <c r="AL73" s="14">
        <v>0.98142933164272628</v>
      </c>
      <c r="AM73">
        <v>33.503</v>
      </c>
      <c r="AN73" s="14">
        <v>0.98002106125314459</v>
      </c>
      <c r="AO73">
        <v>26</v>
      </c>
      <c r="AQ73">
        <v>71</v>
      </c>
      <c r="AR73">
        <v>119.555514</v>
      </c>
      <c r="AS73" s="14">
        <v>0.98125175784109153</v>
      </c>
      <c r="AT73">
        <v>33.216999999999999</v>
      </c>
      <c r="AU73" s="14">
        <v>0.9809231314413962</v>
      </c>
      <c r="AV73">
        <v>26</v>
      </c>
      <c r="AX73">
        <v>71</v>
      </c>
      <c r="AY73">
        <v>121.439106</v>
      </c>
      <c r="AZ73" s="14">
        <v>0.98233757148299627</v>
      </c>
      <c r="BA73">
        <v>33.703000000000003</v>
      </c>
      <c r="BB73" s="14">
        <v>0.98190770306491104</v>
      </c>
      <c r="BC73">
        <v>26</v>
      </c>
    </row>
    <row r="74" spans="3:55" x14ac:dyDescent="0.35">
      <c r="C74">
        <v>300</v>
      </c>
      <c r="D74">
        <v>31.898333333333337</v>
      </c>
      <c r="E74">
        <v>115.98612200000001</v>
      </c>
      <c r="F74" s="14">
        <v>0.92749282778940856</v>
      </c>
      <c r="G74" s="14">
        <v>0.93137703016774775</v>
      </c>
      <c r="K74" s="14"/>
      <c r="L74" s="14"/>
      <c r="M74" s="14"/>
      <c r="O74">
        <v>72</v>
      </c>
      <c r="P74">
        <v>120.74258399999999</v>
      </c>
      <c r="Q74" s="14">
        <v>0.98420871162247925</v>
      </c>
      <c r="R74">
        <v>33.454000000000001</v>
      </c>
      <c r="S74" s="14">
        <v>0.98585489479578015</v>
      </c>
      <c r="T74">
        <v>26</v>
      </c>
      <c r="V74">
        <v>72</v>
      </c>
      <c r="W74">
        <v>120.743298</v>
      </c>
      <c r="X74" s="14">
        <v>0.9850859016886484</v>
      </c>
      <c r="Y74">
        <v>33.39</v>
      </c>
      <c r="Z74" s="14">
        <v>0.98559537162760491</v>
      </c>
      <c r="AA74">
        <v>26</v>
      </c>
      <c r="AC74">
        <v>72</v>
      </c>
      <c r="AD74">
        <v>119.740126</v>
      </c>
      <c r="AE74" s="14">
        <v>0.98619570432744019</v>
      </c>
      <c r="AF74">
        <v>33.107999999999997</v>
      </c>
      <c r="AG74" s="14">
        <v>0.98556246837138672</v>
      </c>
      <c r="AH74">
        <v>26</v>
      </c>
      <c r="AJ74">
        <v>72</v>
      </c>
      <c r="AK74">
        <v>120.682579</v>
      </c>
      <c r="AL74" s="14">
        <v>0.98059645999567213</v>
      </c>
      <c r="AM74">
        <v>33.475999999999999</v>
      </c>
      <c r="AN74" s="14">
        <v>0.97923126426022344</v>
      </c>
      <c r="AO74">
        <v>26</v>
      </c>
      <c r="AQ74">
        <v>72</v>
      </c>
      <c r="AR74">
        <v>119.457044</v>
      </c>
      <c r="AS74" s="14">
        <v>0.98044356541765709</v>
      </c>
      <c r="AT74">
        <v>33.191000000000003</v>
      </c>
      <c r="AU74" s="14">
        <v>0.98015533177804692</v>
      </c>
      <c r="AV74">
        <v>26</v>
      </c>
      <c r="AX74">
        <v>72</v>
      </c>
      <c r="AY74">
        <v>121.350308</v>
      </c>
      <c r="AZ74" s="14">
        <v>0.98161927229136237</v>
      </c>
      <c r="BA74">
        <v>33.677</v>
      </c>
      <c r="BB74" s="14">
        <v>0.9811502155925883</v>
      </c>
      <c r="BC74">
        <v>26</v>
      </c>
    </row>
    <row r="75" spans="3:55" x14ac:dyDescent="0.35">
      <c r="C75">
        <v>375</v>
      </c>
      <c r="D75">
        <v>31.222999999999999</v>
      </c>
      <c r="E75">
        <v>113.608317</v>
      </c>
      <c r="F75" s="14">
        <v>0.9078564782507561</v>
      </c>
      <c r="G75" s="14">
        <v>0.91228308236580269</v>
      </c>
      <c r="K75" s="14"/>
      <c r="L75" s="14"/>
      <c r="M75" s="14"/>
      <c r="O75">
        <v>73</v>
      </c>
      <c r="P75">
        <v>120.71648399999999</v>
      </c>
      <c r="Q75" s="14">
        <v>0.98399596276021084</v>
      </c>
      <c r="R75">
        <v>33.445</v>
      </c>
      <c r="S75" s="14">
        <v>0.98558967407320097</v>
      </c>
      <c r="T75">
        <v>26</v>
      </c>
      <c r="V75">
        <v>73</v>
      </c>
      <c r="W75">
        <v>120.70012</v>
      </c>
      <c r="X75" s="14">
        <v>0.98473363336595354</v>
      </c>
      <c r="Y75">
        <v>33.380000000000003</v>
      </c>
      <c r="Z75" s="14">
        <v>0.98530019481669529</v>
      </c>
      <c r="AA75">
        <v>26</v>
      </c>
      <c r="AC75">
        <v>73</v>
      </c>
      <c r="AD75">
        <v>119.731284</v>
      </c>
      <c r="AE75" s="14">
        <v>0.98612288043198459</v>
      </c>
      <c r="AF75">
        <v>33.106000000000002</v>
      </c>
      <c r="AG75" s="14">
        <v>0.98550293215848539</v>
      </c>
      <c r="AH75">
        <v>26</v>
      </c>
      <c r="AJ75">
        <v>73</v>
      </c>
      <c r="AK75">
        <v>120.60125499999999</v>
      </c>
      <c r="AL75" s="14">
        <v>0.97993566846160407</v>
      </c>
      <c r="AM75">
        <v>33.454999999999998</v>
      </c>
      <c r="AN75" s="14">
        <v>0.97861697771017375</v>
      </c>
      <c r="AO75">
        <v>26</v>
      </c>
      <c r="AQ75">
        <v>73</v>
      </c>
      <c r="AR75">
        <v>119.383869</v>
      </c>
      <c r="AS75" s="14">
        <v>0.97984298168063244</v>
      </c>
      <c r="AT75">
        <v>33.167999999999999</v>
      </c>
      <c r="AU75" s="14">
        <v>0.97947612438354548</v>
      </c>
      <c r="AV75">
        <v>26</v>
      </c>
      <c r="AX75">
        <v>73</v>
      </c>
      <c r="AY75">
        <v>121.320921</v>
      </c>
      <c r="AZ75" s="14">
        <v>0.98138155682091766</v>
      </c>
      <c r="BA75">
        <v>33.67</v>
      </c>
      <c r="BB75" s="14">
        <v>0.98094627665773226</v>
      </c>
      <c r="BC75">
        <v>26</v>
      </c>
    </row>
    <row r="76" spans="3:55" x14ac:dyDescent="0.35">
      <c r="C76">
        <v>450</v>
      </c>
      <c r="D76">
        <v>30.540666666666667</v>
      </c>
      <c r="E76">
        <v>111.08427</v>
      </c>
      <c r="F76" s="14">
        <v>0.88801659300612557</v>
      </c>
      <c r="G76" s="14">
        <v>0.89201480062375249</v>
      </c>
      <c r="K76" s="14"/>
      <c r="L76" s="14"/>
      <c r="M76" s="14"/>
      <c r="O76">
        <v>74</v>
      </c>
      <c r="P76">
        <v>120.70038599999999</v>
      </c>
      <c r="Q76" s="14">
        <v>0.9838647431745865</v>
      </c>
      <c r="R76">
        <v>33.44</v>
      </c>
      <c r="S76" s="14">
        <v>0.98544232922732367</v>
      </c>
      <c r="T76">
        <v>26</v>
      </c>
      <c r="V76">
        <v>74</v>
      </c>
      <c r="W76">
        <v>120.685964</v>
      </c>
      <c r="X76" s="14">
        <v>0.98461814144006377</v>
      </c>
      <c r="Y76">
        <v>33.375999999999998</v>
      </c>
      <c r="Z76" s="14">
        <v>0.98518212409233119</v>
      </c>
      <c r="AA76">
        <v>26</v>
      </c>
      <c r="AC76">
        <v>74</v>
      </c>
      <c r="AD76">
        <v>119.708777</v>
      </c>
      <c r="AE76" s="14">
        <v>0.98593750976754002</v>
      </c>
      <c r="AF76">
        <v>33.097999999999999</v>
      </c>
      <c r="AG76" s="14">
        <v>0.98526478730687927</v>
      </c>
      <c r="AH76">
        <v>26</v>
      </c>
      <c r="AJ76">
        <v>74</v>
      </c>
      <c r="AK76">
        <v>120.583163</v>
      </c>
      <c r="AL76" s="14">
        <v>0.97978866339010795</v>
      </c>
      <c r="AM76">
        <v>33.450000000000003</v>
      </c>
      <c r="AN76" s="14">
        <v>0.97847071900778104</v>
      </c>
      <c r="AO76">
        <v>26</v>
      </c>
      <c r="AQ76">
        <v>74</v>
      </c>
      <c r="AR76">
        <v>119.344493</v>
      </c>
      <c r="AS76" s="14">
        <v>0.97951980320124632</v>
      </c>
      <c r="AT76">
        <v>33.161999999999999</v>
      </c>
      <c r="AU76" s="14">
        <v>0.97929893984584948</v>
      </c>
      <c r="AV76">
        <v>26</v>
      </c>
      <c r="AX76">
        <v>74</v>
      </c>
      <c r="AY76">
        <v>121.289512</v>
      </c>
      <c r="AZ76" s="14">
        <v>0.98112748511536096</v>
      </c>
      <c r="BA76">
        <v>33.661000000000001</v>
      </c>
      <c r="BB76" s="14">
        <v>0.98068406945577447</v>
      </c>
      <c r="BC76">
        <v>26</v>
      </c>
    </row>
    <row r="77" spans="3:55" x14ac:dyDescent="0.35">
      <c r="O77">
        <v>75</v>
      </c>
      <c r="P77">
        <v>120.595562</v>
      </c>
      <c r="Q77" s="14">
        <v>0.98301029157541331</v>
      </c>
      <c r="R77">
        <v>33.411000000000001</v>
      </c>
      <c r="S77" s="14">
        <v>0.98458772912123549</v>
      </c>
      <c r="T77">
        <v>26</v>
      </c>
      <c r="V77">
        <v>75</v>
      </c>
      <c r="W77">
        <v>120.68447500000001</v>
      </c>
      <c r="X77" s="14">
        <v>0.9846059934125384</v>
      </c>
      <c r="Y77">
        <v>33.375</v>
      </c>
      <c r="Z77" s="14">
        <v>0.98515260641124036</v>
      </c>
      <c r="AA77">
        <v>26</v>
      </c>
      <c r="AC77">
        <v>75</v>
      </c>
      <c r="AD77">
        <v>119.716266</v>
      </c>
      <c r="AE77" s="14">
        <v>0.98599919017390358</v>
      </c>
      <c r="AF77">
        <v>33.1</v>
      </c>
      <c r="AG77" s="14">
        <v>0.98532432351978083</v>
      </c>
      <c r="AH77">
        <v>26</v>
      </c>
      <c r="AJ77">
        <v>75</v>
      </c>
      <c r="AK77">
        <v>120.54599</v>
      </c>
      <c r="AL77" s="14">
        <v>0.97948661720821939</v>
      </c>
      <c r="AM77">
        <v>33.438000000000002</v>
      </c>
      <c r="AN77" s="14">
        <v>0.97811969812203836</v>
      </c>
      <c r="AO77">
        <v>26</v>
      </c>
      <c r="AQ77">
        <v>75</v>
      </c>
      <c r="AR77">
        <v>119.307648</v>
      </c>
      <c r="AS77" s="14">
        <v>0.97921739790174955</v>
      </c>
      <c r="AT77">
        <v>33.15</v>
      </c>
      <c r="AU77" s="14">
        <v>0.97894457077045738</v>
      </c>
      <c r="AV77">
        <v>26</v>
      </c>
      <c r="AX77">
        <v>75</v>
      </c>
      <c r="AY77">
        <v>121.287023</v>
      </c>
      <c r="AZ77" s="14">
        <v>0.98110735125324722</v>
      </c>
      <c r="BA77">
        <v>33.659999999999997</v>
      </c>
      <c r="BB77" s="14">
        <v>0.98065493532222348</v>
      </c>
      <c r="BC77">
        <v>26</v>
      </c>
    </row>
    <row r="78" spans="3:55" x14ac:dyDescent="0.35">
      <c r="O78">
        <v>76</v>
      </c>
      <c r="P78">
        <v>120.60142500000001</v>
      </c>
      <c r="Q78" s="14">
        <v>0.98305808263209837</v>
      </c>
      <c r="R78">
        <v>33.405999999999999</v>
      </c>
      <c r="S78" s="14">
        <v>0.98444038427535807</v>
      </c>
      <c r="T78">
        <v>54</v>
      </c>
      <c r="V78">
        <v>76</v>
      </c>
      <c r="W78">
        <v>120.569969</v>
      </c>
      <c r="X78" s="14">
        <v>0.98367179459465648</v>
      </c>
      <c r="Y78">
        <v>33.337000000000003</v>
      </c>
      <c r="Z78" s="14">
        <v>0.98403093452978341</v>
      </c>
      <c r="AA78">
        <v>54</v>
      </c>
      <c r="AC78">
        <v>76</v>
      </c>
      <c r="AD78">
        <v>119.615422</v>
      </c>
      <c r="AE78" s="14">
        <v>0.98516862549246009</v>
      </c>
      <c r="AF78">
        <v>33.067</v>
      </c>
      <c r="AG78" s="14">
        <v>0.98434197600690609</v>
      </c>
      <c r="AH78">
        <v>54</v>
      </c>
      <c r="AJ78">
        <v>76</v>
      </c>
      <c r="AK78">
        <v>120.45814300000001</v>
      </c>
      <c r="AL78" s="14">
        <v>0.97877282356927797</v>
      </c>
      <c r="AM78">
        <v>33.405000000000001</v>
      </c>
      <c r="AN78" s="14">
        <v>0.97715439068624588</v>
      </c>
      <c r="AO78">
        <v>54</v>
      </c>
      <c r="AQ78">
        <v>76</v>
      </c>
      <c r="AR78">
        <v>119.22197799999999</v>
      </c>
      <c r="AS78" s="14">
        <v>0.97851426146511267</v>
      </c>
      <c r="AT78">
        <v>33.116999999999997</v>
      </c>
      <c r="AU78" s="14">
        <v>0.97797005581312935</v>
      </c>
      <c r="AV78">
        <v>54</v>
      </c>
      <c r="AX78">
        <v>76</v>
      </c>
      <c r="AY78">
        <v>121.19881599999999</v>
      </c>
      <c r="AZ78" s="14">
        <v>0.98039383274160885</v>
      </c>
      <c r="BA78">
        <v>33.631999999999998</v>
      </c>
      <c r="BB78" s="14">
        <v>0.9798391795827992</v>
      </c>
      <c r="BC78">
        <v>54</v>
      </c>
    </row>
    <row r="79" spans="3:55" x14ac:dyDescent="0.35">
      <c r="O79">
        <v>77</v>
      </c>
      <c r="P79">
        <v>120.563281</v>
      </c>
      <c r="Q79" s="14">
        <v>0.98274715954388503</v>
      </c>
      <c r="R79">
        <v>33.396999999999998</v>
      </c>
      <c r="S79" s="14">
        <v>0.9841751635527789</v>
      </c>
      <c r="T79">
        <v>54</v>
      </c>
      <c r="V79">
        <v>77</v>
      </c>
      <c r="W79">
        <v>120.56638599999999</v>
      </c>
      <c r="X79" s="14">
        <v>0.98364256263856265</v>
      </c>
      <c r="Y79">
        <v>33.335999999999999</v>
      </c>
      <c r="Z79" s="14">
        <v>0.98400141684869236</v>
      </c>
      <c r="AA79">
        <v>54</v>
      </c>
      <c r="AC79">
        <v>77</v>
      </c>
      <c r="AD79">
        <v>119.612115</v>
      </c>
      <c r="AE79" s="14">
        <v>0.9851413885978354</v>
      </c>
      <c r="AF79">
        <v>33.066000000000003</v>
      </c>
      <c r="AG79" s="14">
        <v>0.98431220790045537</v>
      </c>
      <c r="AH79">
        <v>54</v>
      </c>
      <c r="AJ79">
        <v>77</v>
      </c>
      <c r="AK79">
        <v>120.43215600000001</v>
      </c>
      <c r="AL79" s="14">
        <v>0.97856166831872682</v>
      </c>
      <c r="AM79">
        <v>33.398000000000003</v>
      </c>
      <c r="AN79" s="14">
        <v>0.97694962850289602</v>
      </c>
      <c r="AO79">
        <v>54</v>
      </c>
      <c r="AQ79">
        <v>77</v>
      </c>
      <c r="AR79">
        <v>119.189628</v>
      </c>
      <c r="AS79" s="14">
        <v>0.97824874887347968</v>
      </c>
      <c r="AT79">
        <v>33.106999999999999</v>
      </c>
      <c r="AU79" s="14">
        <v>0.97767474825030265</v>
      </c>
      <c r="AV79">
        <v>54</v>
      </c>
      <c r="AX79">
        <v>77</v>
      </c>
      <c r="AY79">
        <v>121.193457</v>
      </c>
      <c r="AZ79" s="14">
        <v>0.9803504830561659</v>
      </c>
      <c r="BA79">
        <v>33.631</v>
      </c>
      <c r="BB79" s="14">
        <v>0.97981004544924843</v>
      </c>
      <c r="BC79">
        <v>54</v>
      </c>
    </row>
    <row r="80" spans="3:55" x14ac:dyDescent="0.35">
      <c r="O80">
        <v>78</v>
      </c>
      <c r="P80">
        <v>120.486949</v>
      </c>
      <c r="Q80" s="14">
        <v>0.98212495471037264</v>
      </c>
      <c r="R80">
        <v>33.375</v>
      </c>
      <c r="S80" s="14">
        <v>0.98352684623091891</v>
      </c>
      <c r="T80">
        <v>54</v>
      </c>
      <c r="V80">
        <v>78</v>
      </c>
      <c r="W80">
        <v>120.543279</v>
      </c>
      <c r="X80" s="14">
        <v>0.98345404385278035</v>
      </c>
      <c r="Y80">
        <v>33.33</v>
      </c>
      <c r="Z80" s="14">
        <v>0.98382431076214649</v>
      </c>
      <c r="AA80">
        <v>54</v>
      </c>
      <c r="AC80">
        <v>78</v>
      </c>
      <c r="AD80">
        <v>119.583307</v>
      </c>
      <c r="AE80" s="14">
        <v>0.98490412205403488</v>
      </c>
      <c r="AF80">
        <v>33.058</v>
      </c>
      <c r="AG80" s="14">
        <v>0.98407406304884937</v>
      </c>
      <c r="AH80">
        <v>54</v>
      </c>
      <c r="AJ80">
        <v>78</v>
      </c>
      <c r="AK80">
        <v>120.40999100000001</v>
      </c>
      <c r="AL80" s="14">
        <v>0.97838156841768142</v>
      </c>
      <c r="AM80">
        <v>33.393000000000001</v>
      </c>
      <c r="AN80" s="14">
        <v>0.9768033698005032</v>
      </c>
      <c r="AO80">
        <v>54</v>
      </c>
      <c r="AQ80">
        <v>78</v>
      </c>
      <c r="AR80">
        <v>119.152644</v>
      </c>
      <c r="AS80" s="14">
        <v>0.97794520273162633</v>
      </c>
      <c r="AT80">
        <v>33.1</v>
      </c>
      <c r="AU80" s="14">
        <v>0.97746803295632412</v>
      </c>
      <c r="AV80">
        <v>54</v>
      </c>
      <c r="AX80">
        <v>78</v>
      </c>
      <c r="AY80">
        <v>121.140991</v>
      </c>
      <c r="AZ80" s="14">
        <v>0.97992607839177859</v>
      </c>
      <c r="BA80">
        <v>33.616999999999997</v>
      </c>
      <c r="BB80" s="14">
        <v>0.97940216757953613</v>
      </c>
      <c r="BC80">
        <v>54</v>
      </c>
    </row>
    <row r="81" spans="15:55" x14ac:dyDescent="0.35">
      <c r="O81">
        <v>79</v>
      </c>
      <c r="P81">
        <v>120.356509</v>
      </c>
      <c r="Q81" s="14">
        <v>0.98106169947687505</v>
      </c>
      <c r="R81">
        <v>33.341000000000001</v>
      </c>
      <c r="S81" s="14">
        <v>0.98252490127895331</v>
      </c>
      <c r="T81">
        <v>54</v>
      </c>
      <c r="V81">
        <v>79</v>
      </c>
      <c r="W81">
        <v>120.514625</v>
      </c>
      <c r="X81" s="14">
        <v>0.98322026978917154</v>
      </c>
      <c r="Y81">
        <v>33.32</v>
      </c>
      <c r="Z81" s="14">
        <v>0.98352913395123676</v>
      </c>
      <c r="AA81">
        <v>54</v>
      </c>
      <c r="AC81">
        <v>79</v>
      </c>
      <c r="AD81">
        <v>119.555212</v>
      </c>
      <c r="AE81" s="14">
        <v>0.98467272787366555</v>
      </c>
      <c r="AF81">
        <v>33.049999999999997</v>
      </c>
      <c r="AG81" s="14">
        <v>0.98383591819724325</v>
      </c>
      <c r="AH81">
        <v>54</v>
      </c>
      <c r="AJ81">
        <v>79</v>
      </c>
      <c r="AK81">
        <v>120.36407199999999</v>
      </c>
      <c r="AL81" s="14">
        <v>0.97800845732559449</v>
      </c>
      <c r="AM81">
        <v>33.380000000000003</v>
      </c>
      <c r="AN81" s="14">
        <v>0.976423097174282</v>
      </c>
      <c r="AO81">
        <v>54</v>
      </c>
      <c r="AQ81">
        <v>79</v>
      </c>
      <c r="AR81">
        <v>119.110973</v>
      </c>
      <c r="AS81" s="14">
        <v>0.97760318804210733</v>
      </c>
      <c r="AT81">
        <v>33.087000000000003</v>
      </c>
      <c r="AU81" s="14">
        <v>0.97708413312464948</v>
      </c>
      <c r="AV81">
        <v>54</v>
      </c>
      <c r="AX81">
        <v>79</v>
      </c>
      <c r="AY81">
        <v>121.090711</v>
      </c>
      <c r="AZ81" s="14">
        <v>0.97951935658097933</v>
      </c>
      <c r="BA81">
        <v>33.603000000000002</v>
      </c>
      <c r="BB81" s="14">
        <v>0.97899428970982416</v>
      </c>
      <c r="BC81">
        <v>54</v>
      </c>
    </row>
    <row r="82" spans="15:55" x14ac:dyDescent="0.35">
      <c r="O82">
        <v>80</v>
      </c>
      <c r="P82">
        <v>120.371</v>
      </c>
      <c r="Q82" s="14">
        <v>0.98117981992756964</v>
      </c>
      <c r="R82">
        <v>33.347999999999999</v>
      </c>
      <c r="S82" s="14">
        <v>0.9827311840631815</v>
      </c>
      <c r="T82">
        <v>54</v>
      </c>
      <c r="V82">
        <v>80</v>
      </c>
      <c r="W82">
        <v>120.420233</v>
      </c>
      <c r="X82" s="14">
        <v>0.98245017132430934</v>
      </c>
      <c r="Y82">
        <v>33.295000000000002</v>
      </c>
      <c r="Z82" s="14">
        <v>0.98279119192396247</v>
      </c>
      <c r="AA82">
        <v>54</v>
      </c>
      <c r="AC82">
        <v>80</v>
      </c>
      <c r="AD82">
        <v>119.437684</v>
      </c>
      <c r="AE82" s="14">
        <v>0.98370475153515569</v>
      </c>
      <c r="AF82">
        <v>33.018999999999998</v>
      </c>
      <c r="AG82" s="14">
        <v>0.98291310689727007</v>
      </c>
      <c r="AH82">
        <v>54</v>
      </c>
      <c r="AJ82">
        <v>80</v>
      </c>
      <c r="AK82">
        <v>120.3068</v>
      </c>
      <c r="AL82" s="14">
        <v>0.97754309835728093</v>
      </c>
      <c r="AM82">
        <v>33.363</v>
      </c>
      <c r="AN82" s="14">
        <v>0.97592581758614638</v>
      </c>
      <c r="AO82">
        <v>54</v>
      </c>
      <c r="AQ82">
        <v>80</v>
      </c>
      <c r="AR82">
        <v>119.057912</v>
      </c>
      <c r="AS82" s="14">
        <v>0.97716768993933634</v>
      </c>
      <c r="AT82">
        <v>33.073</v>
      </c>
      <c r="AU82" s="14">
        <v>0.97667070253669197</v>
      </c>
      <c r="AV82">
        <v>54</v>
      </c>
      <c r="AX82">
        <v>80</v>
      </c>
      <c r="AY82">
        <v>120.952243</v>
      </c>
      <c r="AZ82" s="14">
        <v>0.97839926995214566</v>
      </c>
      <c r="BA82">
        <v>33.567999999999998</v>
      </c>
      <c r="BB82" s="14">
        <v>0.97797459503554363</v>
      </c>
      <c r="BC82">
        <v>54</v>
      </c>
    </row>
    <row r="83" spans="15:55" x14ac:dyDescent="0.35">
      <c r="O83">
        <v>81</v>
      </c>
      <c r="P83">
        <v>120.43759799999999</v>
      </c>
      <c r="Q83" s="14">
        <v>0.98172268003214247</v>
      </c>
      <c r="R83">
        <v>33.360999999999997</v>
      </c>
      <c r="S83" s="14">
        <v>0.98311428066246243</v>
      </c>
      <c r="T83">
        <v>54</v>
      </c>
      <c r="V83">
        <v>81</v>
      </c>
      <c r="W83">
        <v>120.304168</v>
      </c>
      <c r="X83" s="14">
        <v>0.98150325338291367</v>
      </c>
      <c r="Y83">
        <v>33.265000000000001</v>
      </c>
      <c r="Z83" s="14">
        <v>0.98190566149123326</v>
      </c>
      <c r="AA83">
        <v>54</v>
      </c>
      <c r="AC83">
        <v>81</v>
      </c>
      <c r="AD83">
        <v>119.33586099999999</v>
      </c>
      <c r="AE83" s="14">
        <v>0.98286612367867809</v>
      </c>
      <c r="AF83">
        <v>32.991999999999997</v>
      </c>
      <c r="AG83" s="14">
        <v>0.98210936802309989</v>
      </c>
      <c r="AH83">
        <v>54</v>
      </c>
      <c r="AJ83">
        <v>81</v>
      </c>
      <c r="AK83">
        <v>120.226601</v>
      </c>
      <c r="AL83" s="14">
        <v>0.97689144791902516</v>
      </c>
      <c r="AM83">
        <v>33.341000000000001</v>
      </c>
      <c r="AN83" s="14">
        <v>0.97528227929561817</v>
      </c>
      <c r="AO83">
        <v>54</v>
      </c>
      <c r="AQ83">
        <v>81</v>
      </c>
      <c r="AR83">
        <v>118.963105</v>
      </c>
      <c r="AS83" s="14">
        <v>0.97638956158462376</v>
      </c>
      <c r="AT83">
        <v>33.048999999999999</v>
      </c>
      <c r="AU83" s="14">
        <v>0.97596196438590788</v>
      </c>
      <c r="AV83">
        <v>54</v>
      </c>
      <c r="AX83">
        <v>81</v>
      </c>
      <c r="AY83">
        <v>120.86926</v>
      </c>
      <c r="AZ83" s="14">
        <v>0.97772800909244895</v>
      </c>
      <c r="BA83">
        <v>33.542999999999999</v>
      </c>
      <c r="BB83" s="14">
        <v>0.97724624169677199</v>
      </c>
      <c r="BC83">
        <v>54</v>
      </c>
    </row>
    <row r="84" spans="15:55" x14ac:dyDescent="0.35">
      <c r="O84">
        <v>82</v>
      </c>
      <c r="P84">
        <v>120.37657299999999</v>
      </c>
      <c r="Q84" s="14">
        <v>0.98122524710800729</v>
      </c>
      <c r="R84">
        <v>33.344000000000001</v>
      </c>
      <c r="S84" s="14">
        <v>0.98261330818647974</v>
      </c>
      <c r="T84">
        <v>54</v>
      </c>
      <c r="V84">
        <v>82</v>
      </c>
      <c r="W84">
        <v>120.38911</v>
      </c>
      <c r="X84" s="14">
        <v>0.98219625388933707</v>
      </c>
      <c r="Y84">
        <v>33.289000000000001</v>
      </c>
      <c r="Z84" s="14">
        <v>0.98261408583741661</v>
      </c>
      <c r="AA84">
        <v>54</v>
      </c>
      <c r="AC84">
        <v>82</v>
      </c>
      <c r="AD84">
        <v>119.500348</v>
      </c>
      <c r="AE84" s="14">
        <v>0.98422086062640535</v>
      </c>
      <c r="AF84">
        <v>33.036999999999999</v>
      </c>
      <c r="AG84" s="14">
        <v>0.98344893281338364</v>
      </c>
      <c r="AH84">
        <v>54</v>
      </c>
      <c r="AJ84">
        <v>82</v>
      </c>
      <c r="AK84">
        <v>120.121762</v>
      </c>
      <c r="AL84" s="14">
        <v>0.97603958716893724</v>
      </c>
      <c r="AM84">
        <v>33.311999999999998</v>
      </c>
      <c r="AN84" s="14">
        <v>0.97443397882173988</v>
      </c>
      <c r="AO84">
        <v>54</v>
      </c>
      <c r="AQ84">
        <v>82</v>
      </c>
      <c r="AR84">
        <v>118.868593</v>
      </c>
      <c r="AS84" s="14">
        <v>0.97561385444210691</v>
      </c>
      <c r="AT84">
        <v>33.023000000000003</v>
      </c>
      <c r="AU84" s="14">
        <v>0.9751941647225586</v>
      </c>
      <c r="AV84">
        <v>54</v>
      </c>
      <c r="AX84">
        <v>82</v>
      </c>
      <c r="AY84">
        <v>120.96782899999999</v>
      </c>
      <c r="AZ84" s="14">
        <v>0.97852534724218387</v>
      </c>
      <c r="BA84">
        <v>33.572000000000003</v>
      </c>
      <c r="BB84" s="14">
        <v>0.97809113156974725</v>
      </c>
      <c r="BC84">
        <v>54</v>
      </c>
    </row>
    <row r="85" spans="15:55" x14ac:dyDescent="0.35">
      <c r="O85">
        <v>83</v>
      </c>
      <c r="P85">
        <v>120.300623</v>
      </c>
      <c r="Q85" s="14">
        <v>0.98060615607010371</v>
      </c>
      <c r="R85">
        <v>33.323999999999998</v>
      </c>
      <c r="S85" s="14">
        <v>0.98202392880297051</v>
      </c>
      <c r="T85">
        <v>54</v>
      </c>
      <c r="V85">
        <v>83</v>
      </c>
      <c r="W85">
        <v>120.403465</v>
      </c>
      <c r="X85" s="14">
        <v>0.98231336935953684</v>
      </c>
      <c r="Y85">
        <v>33.289000000000001</v>
      </c>
      <c r="Z85" s="14">
        <v>0.98261408583741661</v>
      </c>
      <c r="AA85">
        <v>54</v>
      </c>
      <c r="AC85">
        <v>83</v>
      </c>
      <c r="AD85">
        <v>119.471671</v>
      </c>
      <c r="AE85" s="14">
        <v>0.98398467301613834</v>
      </c>
      <c r="AF85">
        <v>33.026000000000003</v>
      </c>
      <c r="AG85" s="14">
        <v>0.98312148364242546</v>
      </c>
      <c r="AH85">
        <v>54</v>
      </c>
      <c r="AJ85">
        <v>83</v>
      </c>
      <c r="AK85">
        <v>120.263644</v>
      </c>
      <c r="AL85" s="14">
        <v>0.97719243779650877</v>
      </c>
      <c r="AM85">
        <v>33.35</v>
      </c>
      <c r="AN85" s="14">
        <v>0.97554554495992518</v>
      </c>
      <c r="AO85">
        <v>54</v>
      </c>
      <c r="AQ85">
        <v>83</v>
      </c>
      <c r="AR85">
        <v>118.98733799999999</v>
      </c>
      <c r="AS85" s="14">
        <v>0.9765884539071289</v>
      </c>
      <c r="AT85">
        <v>33.055</v>
      </c>
      <c r="AU85" s="14">
        <v>0.97613914892360398</v>
      </c>
      <c r="AV85">
        <v>54</v>
      </c>
      <c r="AX85">
        <v>83</v>
      </c>
      <c r="AY85">
        <v>120.913918</v>
      </c>
      <c r="AZ85" s="14">
        <v>0.97808925377476141</v>
      </c>
      <c r="BA85">
        <v>33.555999999999997</v>
      </c>
      <c r="BB85" s="14">
        <v>0.97762498543293319</v>
      </c>
      <c r="BC85">
        <v>54</v>
      </c>
    </row>
    <row r="86" spans="15:55" x14ac:dyDescent="0.35">
      <c r="O86">
        <v>84</v>
      </c>
      <c r="P86">
        <v>120.210262</v>
      </c>
      <c r="Q86" s="14">
        <v>0.97986959668529772</v>
      </c>
      <c r="R86">
        <v>33.298999999999999</v>
      </c>
      <c r="S86" s="14">
        <v>0.98128720457358409</v>
      </c>
      <c r="T86">
        <v>54</v>
      </c>
      <c r="V86">
        <v>84</v>
      </c>
      <c r="W86">
        <v>120.352476</v>
      </c>
      <c r="X86" s="14">
        <v>0.98189737488304674</v>
      </c>
      <c r="Y86">
        <v>33.276000000000003</v>
      </c>
      <c r="Z86" s="14">
        <v>0.98223035598323405</v>
      </c>
      <c r="AA86">
        <v>54</v>
      </c>
      <c r="AC86">
        <v>84</v>
      </c>
      <c r="AD86">
        <v>119.410809</v>
      </c>
      <c r="AE86" s="14">
        <v>0.98348340543807711</v>
      </c>
      <c r="AF86">
        <v>33.009</v>
      </c>
      <c r="AG86" s="14">
        <v>0.98261542583276273</v>
      </c>
      <c r="AH86">
        <v>54</v>
      </c>
      <c r="AJ86">
        <v>84</v>
      </c>
      <c r="AK86">
        <v>120.200731</v>
      </c>
      <c r="AL86" s="14">
        <v>0.97668124334243844</v>
      </c>
      <c r="AM86">
        <v>33.328000000000003</v>
      </c>
      <c r="AN86" s="14">
        <v>0.97490200666939697</v>
      </c>
      <c r="AO86">
        <v>54</v>
      </c>
      <c r="AQ86">
        <v>84</v>
      </c>
      <c r="AR86">
        <v>118.94314</v>
      </c>
      <c r="AS86" s="14">
        <v>0.97622569886771637</v>
      </c>
      <c r="AT86">
        <v>33.039000000000001</v>
      </c>
      <c r="AU86" s="14">
        <v>0.97566665682308129</v>
      </c>
      <c r="AV86">
        <v>54</v>
      </c>
      <c r="AX86">
        <v>84</v>
      </c>
      <c r="AY86">
        <v>120.83647499999999</v>
      </c>
      <c r="AZ86" s="14">
        <v>0.97746280673431329</v>
      </c>
      <c r="BA86">
        <v>33.536999999999999</v>
      </c>
      <c r="BB86" s="14">
        <v>0.97707143689546672</v>
      </c>
      <c r="BC86">
        <v>54</v>
      </c>
    </row>
    <row r="87" spans="15:55" x14ac:dyDescent="0.35">
      <c r="O87">
        <v>85</v>
      </c>
      <c r="P87">
        <v>120.35508400000001</v>
      </c>
      <c r="Q87" s="14">
        <v>0.98105008387807302</v>
      </c>
      <c r="R87">
        <v>33.338999999999999</v>
      </c>
      <c r="S87" s="14">
        <v>0.98246596334060243</v>
      </c>
      <c r="T87">
        <v>54</v>
      </c>
      <c r="V87">
        <v>85</v>
      </c>
      <c r="W87">
        <v>120.26190800000001</v>
      </c>
      <c r="X87" s="14">
        <v>0.98115847457618144</v>
      </c>
      <c r="Y87">
        <v>33.250999999999998</v>
      </c>
      <c r="Z87" s="14">
        <v>0.98149241395595954</v>
      </c>
      <c r="AA87">
        <v>54</v>
      </c>
      <c r="AC87">
        <v>85</v>
      </c>
      <c r="AD87">
        <v>119.311515</v>
      </c>
      <c r="AE87" s="14">
        <v>0.98266560676409298</v>
      </c>
      <c r="AF87">
        <v>32.984000000000002</v>
      </c>
      <c r="AG87" s="14">
        <v>0.981871223171494</v>
      </c>
      <c r="AH87">
        <v>54</v>
      </c>
      <c r="AJ87">
        <v>85</v>
      </c>
      <c r="AK87">
        <v>120.147161</v>
      </c>
      <c r="AL87" s="14">
        <v>0.97624596467341052</v>
      </c>
      <c r="AM87">
        <v>33.317</v>
      </c>
      <c r="AN87" s="14">
        <v>0.9745802375241327</v>
      </c>
      <c r="AO87">
        <v>54</v>
      </c>
      <c r="AQ87">
        <v>85</v>
      </c>
      <c r="AR87">
        <v>118.88890000000001</v>
      </c>
      <c r="AS87" s="14">
        <v>0.97578052412366156</v>
      </c>
      <c r="AT87">
        <v>33.024999999999999</v>
      </c>
      <c r="AU87" s="14">
        <v>0.97525322623512389</v>
      </c>
      <c r="AV87">
        <v>54</v>
      </c>
      <c r="AX87">
        <v>85</v>
      </c>
      <c r="AY87">
        <v>120.73419199999999</v>
      </c>
      <c r="AZ87" s="14">
        <v>0.97663542552958016</v>
      </c>
      <c r="BA87">
        <v>33.509</v>
      </c>
      <c r="BB87" s="14">
        <v>0.97625568115604244</v>
      </c>
      <c r="BC87">
        <v>54</v>
      </c>
    </row>
    <row r="88" spans="15:55" x14ac:dyDescent="0.35">
      <c r="O88">
        <v>86</v>
      </c>
      <c r="P88">
        <v>120.364087</v>
      </c>
      <c r="Q88" s="14">
        <v>0.98112347000860944</v>
      </c>
      <c r="R88">
        <v>33.335999999999999</v>
      </c>
      <c r="S88" s="14">
        <v>0.982377556433076</v>
      </c>
      <c r="T88">
        <v>54</v>
      </c>
      <c r="V88">
        <v>86</v>
      </c>
      <c r="W88">
        <v>120.177351</v>
      </c>
      <c r="X88" s="14">
        <v>0.98046861509769434</v>
      </c>
      <c r="Y88">
        <v>33.228999999999999</v>
      </c>
      <c r="Z88" s="14">
        <v>0.98084302497195819</v>
      </c>
      <c r="AA88">
        <v>54</v>
      </c>
      <c r="AC88">
        <v>86</v>
      </c>
      <c r="AD88">
        <v>119.226097</v>
      </c>
      <c r="AE88" s="14">
        <v>0.98196209268333912</v>
      </c>
      <c r="AF88">
        <v>32.960999999999999</v>
      </c>
      <c r="AG88" s="14">
        <v>0.98118655672312671</v>
      </c>
      <c r="AH88">
        <v>54</v>
      </c>
      <c r="AJ88">
        <v>86</v>
      </c>
      <c r="AK88">
        <v>120.03263699999999</v>
      </c>
      <c r="AL88" s="14">
        <v>0.97531540924515314</v>
      </c>
      <c r="AM88">
        <v>33.284999999999997</v>
      </c>
      <c r="AN88" s="14">
        <v>0.97364418182881873</v>
      </c>
      <c r="AO88">
        <v>54</v>
      </c>
      <c r="AQ88">
        <v>86</v>
      </c>
      <c r="AR88">
        <v>118.781482</v>
      </c>
      <c r="AS88" s="14">
        <v>0.97489889099945626</v>
      </c>
      <c r="AT88">
        <v>32.994</v>
      </c>
      <c r="AU88" s="14">
        <v>0.97433777279036116</v>
      </c>
      <c r="AV88">
        <v>54</v>
      </c>
      <c r="AX88">
        <v>86</v>
      </c>
      <c r="AY88">
        <v>120.663962</v>
      </c>
      <c r="AZ88" s="14">
        <v>0.97606732543466312</v>
      </c>
      <c r="BA88">
        <v>33.494</v>
      </c>
      <c r="BB88" s="14">
        <v>0.97581866915277948</v>
      </c>
      <c r="BC88">
        <v>54</v>
      </c>
    </row>
    <row r="89" spans="15:55" x14ac:dyDescent="0.35">
      <c r="O89">
        <v>87</v>
      </c>
      <c r="P89">
        <v>120.282331</v>
      </c>
      <c r="Q89" s="14">
        <v>0.98045705253797288</v>
      </c>
      <c r="R89">
        <v>33.314999999999998</v>
      </c>
      <c r="S89" s="14">
        <v>0.98175870808039134</v>
      </c>
      <c r="T89">
        <v>54</v>
      </c>
      <c r="V89">
        <v>87</v>
      </c>
      <c r="W89">
        <v>120.37463700000001</v>
      </c>
      <c r="X89" s="14">
        <v>0.9820781757144712</v>
      </c>
      <c r="Y89">
        <v>33.281999999999996</v>
      </c>
      <c r="Z89" s="14">
        <v>0.98240746206977969</v>
      </c>
      <c r="AA89">
        <v>54</v>
      </c>
      <c r="AC89">
        <v>87</v>
      </c>
      <c r="AD89">
        <v>119.509005</v>
      </c>
      <c r="AE89" s="14">
        <v>0.98429216083709958</v>
      </c>
      <c r="AF89">
        <v>33.033999999999999</v>
      </c>
      <c r="AG89" s="14">
        <v>0.98335962849403136</v>
      </c>
      <c r="AH89">
        <v>54</v>
      </c>
      <c r="AJ89">
        <v>87</v>
      </c>
      <c r="AK89">
        <v>119.94016499999999</v>
      </c>
      <c r="AL89" s="14">
        <v>0.97456403554565074</v>
      </c>
      <c r="AM89">
        <v>33.262</v>
      </c>
      <c r="AN89" s="14">
        <v>0.972971391797812</v>
      </c>
      <c r="AO89">
        <v>54</v>
      </c>
      <c r="AQ89">
        <v>87</v>
      </c>
      <c r="AR89">
        <v>118.677251</v>
      </c>
      <c r="AS89" s="14">
        <v>0.97404341517446391</v>
      </c>
      <c r="AT89">
        <v>32.969000000000001</v>
      </c>
      <c r="AU89" s="14">
        <v>0.97359950388329453</v>
      </c>
      <c r="AV89">
        <v>54</v>
      </c>
      <c r="AX89">
        <v>87</v>
      </c>
      <c r="AY89">
        <v>120.877464</v>
      </c>
      <c r="AZ89" s="14">
        <v>0.97779437237279498</v>
      </c>
      <c r="BA89">
        <v>33.540999999999997</v>
      </c>
      <c r="BB89" s="14">
        <v>0.97718797342967012</v>
      </c>
      <c r="BC89">
        <v>54</v>
      </c>
    </row>
    <row r="90" spans="15:55" x14ac:dyDescent="0.35">
      <c r="O90">
        <v>88</v>
      </c>
      <c r="P90">
        <v>120.250731</v>
      </c>
      <c r="Q90" s="14">
        <v>0.98019947153997744</v>
      </c>
      <c r="R90">
        <v>33.305999999999997</v>
      </c>
      <c r="S90" s="14">
        <v>0.98149348735781217</v>
      </c>
      <c r="T90">
        <v>54</v>
      </c>
      <c r="V90">
        <v>88</v>
      </c>
      <c r="W90">
        <v>120.346548</v>
      </c>
      <c r="X90" s="14">
        <v>0.98184901121134038</v>
      </c>
      <c r="Y90">
        <v>33.270000000000003</v>
      </c>
      <c r="Z90" s="14">
        <v>0.98205324989668819</v>
      </c>
      <c r="AA90">
        <v>54</v>
      </c>
      <c r="AC90">
        <v>88</v>
      </c>
      <c r="AD90">
        <v>119.419118</v>
      </c>
      <c r="AE90" s="14">
        <v>0.98355183947419333</v>
      </c>
      <c r="AF90">
        <v>33.008000000000003</v>
      </c>
      <c r="AG90" s="14">
        <v>0.98258565772631201</v>
      </c>
      <c r="AH90">
        <v>54</v>
      </c>
      <c r="AJ90">
        <v>88</v>
      </c>
      <c r="AK90">
        <v>120.156053</v>
      </c>
      <c r="AL90" s="14">
        <v>0.97631821589470968</v>
      </c>
      <c r="AM90">
        <v>33.314</v>
      </c>
      <c r="AN90" s="14">
        <v>0.97449248230269703</v>
      </c>
      <c r="AO90">
        <v>54</v>
      </c>
      <c r="AQ90">
        <v>88</v>
      </c>
      <c r="AR90">
        <v>118.893737</v>
      </c>
      <c r="AS90" s="14">
        <v>0.97582022379617239</v>
      </c>
      <c r="AT90">
        <v>33.020000000000003</v>
      </c>
      <c r="AU90" s="14">
        <v>0.97510557245371066</v>
      </c>
      <c r="AV90">
        <v>54</v>
      </c>
      <c r="AX90">
        <v>88</v>
      </c>
      <c r="AY90">
        <v>120.789323</v>
      </c>
      <c r="AZ90" s="14">
        <v>0.97708138774420183</v>
      </c>
      <c r="BA90">
        <v>33.521000000000001</v>
      </c>
      <c r="BB90" s="14">
        <v>0.97660529075865288</v>
      </c>
      <c r="BC90">
        <v>54</v>
      </c>
    </row>
    <row r="91" spans="15:55" x14ac:dyDescent="0.35">
      <c r="O91">
        <v>89</v>
      </c>
      <c r="P91">
        <v>120.19925499999999</v>
      </c>
      <c r="Q91" s="14">
        <v>0.97977987535476174</v>
      </c>
      <c r="R91">
        <v>33.292000000000002</v>
      </c>
      <c r="S91" s="14">
        <v>0.98108092178935591</v>
      </c>
      <c r="T91">
        <v>54</v>
      </c>
      <c r="V91">
        <v>89</v>
      </c>
      <c r="W91">
        <v>120.275488</v>
      </c>
      <c r="X91" s="14">
        <v>0.98126926719793772</v>
      </c>
      <c r="Y91">
        <v>33.252000000000002</v>
      </c>
      <c r="Z91" s="14">
        <v>0.9815219316370507</v>
      </c>
      <c r="AA91">
        <v>54</v>
      </c>
      <c r="AC91">
        <v>89</v>
      </c>
      <c r="AD91">
        <v>119.363922</v>
      </c>
      <c r="AE91" s="14">
        <v>0.98309723783049663</v>
      </c>
      <c r="AF91">
        <v>32.994</v>
      </c>
      <c r="AG91" s="14">
        <v>0.98216890423600145</v>
      </c>
      <c r="AH91">
        <v>54</v>
      </c>
      <c r="AJ91">
        <v>89</v>
      </c>
      <c r="AK91">
        <v>120.07738999999999</v>
      </c>
      <c r="AL91" s="14">
        <v>0.97567904609926936</v>
      </c>
      <c r="AM91">
        <v>33.292000000000002</v>
      </c>
      <c r="AN91" s="14">
        <v>0.97384894401216882</v>
      </c>
      <c r="AO91">
        <v>54</v>
      </c>
      <c r="AQ91">
        <v>89</v>
      </c>
      <c r="AR91">
        <v>118.826246</v>
      </c>
      <c r="AS91" s="14">
        <v>0.97526629148328503</v>
      </c>
      <c r="AT91">
        <v>32.999000000000002</v>
      </c>
      <c r="AU91" s="14">
        <v>0.97448542657177462</v>
      </c>
      <c r="AV91">
        <v>54</v>
      </c>
      <c r="AX91">
        <v>89</v>
      </c>
      <c r="AY91">
        <v>120.754761</v>
      </c>
      <c r="AZ91" s="14">
        <v>0.97680181098953112</v>
      </c>
      <c r="BA91">
        <v>33.508000000000003</v>
      </c>
      <c r="BB91" s="14">
        <v>0.97622654702249168</v>
      </c>
      <c r="BC91">
        <v>54</v>
      </c>
    </row>
    <row r="92" spans="15:55" x14ac:dyDescent="0.35">
      <c r="O92">
        <v>90</v>
      </c>
      <c r="P92">
        <v>120.192352</v>
      </c>
      <c r="Q92" s="14">
        <v>0.97972360694877558</v>
      </c>
      <c r="R92">
        <v>33.29</v>
      </c>
      <c r="S92" s="14">
        <v>0.98102198385100492</v>
      </c>
      <c r="T92">
        <v>54</v>
      </c>
      <c r="V92">
        <v>90</v>
      </c>
      <c r="W92">
        <v>120.24511200000001</v>
      </c>
      <c r="X92" s="14">
        <v>0.98102144417301351</v>
      </c>
      <c r="Y92">
        <v>33.244</v>
      </c>
      <c r="Z92" s="14">
        <v>0.98128579018832285</v>
      </c>
      <c r="AA92">
        <v>54</v>
      </c>
      <c r="AC92">
        <v>90</v>
      </c>
      <c r="AD92">
        <v>119.32480099999999</v>
      </c>
      <c r="AE92" s="14">
        <v>0.9827750320383547</v>
      </c>
      <c r="AF92">
        <v>32.982999999999997</v>
      </c>
      <c r="AG92" s="14">
        <v>0.98184145506504317</v>
      </c>
      <c r="AH92">
        <v>54</v>
      </c>
      <c r="AJ92">
        <v>90</v>
      </c>
      <c r="AK92">
        <v>120.03400499999999</v>
      </c>
      <c r="AL92" s="14">
        <v>0.97532652481766069</v>
      </c>
      <c r="AM92">
        <v>33.28</v>
      </c>
      <c r="AN92" s="14">
        <v>0.97349792312642602</v>
      </c>
      <c r="AO92">
        <v>54</v>
      </c>
      <c r="AQ92">
        <v>90</v>
      </c>
      <c r="AR92">
        <v>118.77791499999999</v>
      </c>
      <c r="AS92" s="14">
        <v>0.97486961485063539</v>
      </c>
      <c r="AT92">
        <v>32.985999999999997</v>
      </c>
      <c r="AU92" s="14">
        <v>0.97410152674009975</v>
      </c>
      <c r="AV92">
        <v>54</v>
      </c>
      <c r="AX92">
        <v>90</v>
      </c>
      <c r="AY92">
        <v>120.703751</v>
      </c>
      <c r="AZ92" s="14">
        <v>0.97638918410868647</v>
      </c>
      <c r="BA92">
        <v>33.494</v>
      </c>
      <c r="BB92" s="14">
        <v>0.97581866915277948</v>
      </c>
      <c r="BC92">
        <v>54</v>
      </c>
    </row>
    <row r="93" spans="15:55" x14ac:dyDescent="0.35">
      <c r="O93">
        <v>91</v>
      </c>
      <c r="P93">
        <v>120.19879400000001</v>
      </c>
      <c r="Q93" s="14">
        <v>0.97977611760665817</v>
      </c>
      <c r="R93">
        <v>33.29</v>
      </c>
      <c r="S93" s="14">
        <v>0.98102198385100492</v>
      </c>
      <c r="T93">
        <v>54</v>
      </c>
      <c r="V93">
        <v>91</v>
      </c>
      <c r="W93">
        <v>120.200186</v>
      </c>
      <c r="X93" s="14">
        <v>0.98065491476763589</v>
      </c>
      <c r="Y93">
        <v>33.231999999999999</v>
      </c>
      <c r="Z93" s="14">
        <v>0.98093157801523112</v>
      </c>
      <c r="AA93">
        <v>54</v>
      </c>
      <c r="AC93">
        <v>91</v>
      </c>
      <c r="AD93">
        <v>119.285675</v>
      </c>
      <c r="AE93" s="14">
        <v>0.98245278506554368</v>
      </c>
      <c r="AF93">
        <v>32.972000000000001</v>
      </c>
      <c r="AG93" s="14">
        <v>0.981514005894085</v>
      </c>
      <c r="AH93">
        <v>54</v>
      </c>
      <c r="AJ93">
        <v>91</v>
      </c>
      <c r="AK93">
        <v>119.981447</v>
      </c>
      <c r="AL93" s="14">
        <v>0.97489946907215463</v>
      </c>
      <c r="AM93">
        <v>33.264000000000003</v>
      </c>
      <c r="AN93" s="14">
        <v>0.97302989527876915</v>
      </c>
      <c r="AO93">
        <v>54</v>
      </c>
      <c r="AQ93">
        <v>91</v>
      </c>
      <c r="AR93">
        <v>118.736446</v>
      </c>
      <c r="AS93" s="14">
        <v>0.97452925807590807</v>
      </c>
      <c r="AT93">
        <v>32.973999999999997</v>
      </c>
      <c r="AU93" s="14">
        <v>0.97374715766470765</v>
      </c>
      <c r="AV93">
        <v>54</v>
      </c>
      <c r="AX93">
        <v>91</v>
      </c>
      <c r="AY93">
        <v>120.656447</v>
      </c>
      <c r="AZ93" s="14">
        <v>0.97600653556974359</v>
      </c>
      <c r="BA93">
        <v>33.481999999999999</v>
      </c>
      <c r="BB93" s="14">
        <v>0.97546905955016905</v>
      </c>
      <c r="BC93">
        <v>54</v>
      </c>
    </row>
    <row r="94" spans="15:55" x14ac:dyDescent="0.35">
      <c r="O94">
        <v>92</v>
      </c>
      <c r="P94">
        <v>120.198093</v>
      </c>
      <c r="Q94" s="14">
        <v>0.97977040354717726</v>
      </c>
      <c r="R94">
        <v>33.287999999999997</v>
      </c>
      <c r="S94" s="14">
        <v>0.98096304591265393</v>
      </c>
      <c r="T94">
        <v>54</v>
      </c>
      <c r="V94">
        <v>92</v>
      </c>
      <c r="W94">
        <v>120.194643</v>
      </c>
      <c r="X94" s="14">
        <v>0.98060969212386595</v>
      </c>
      <c r="Y94">
        <v>33.229999999999997</v>
      </c>
      <c r="Z94" s="14">
        <v>0.98087254265304913</v>
      </c>
      <c r="AA94">
        <v>54</v>
      </c>
      <c r="AC94">
        <v>92</v>
      </c>
      <c r="AD94">
        <v>119.291785</v>
      </c>
      <c r="AE94" s="14">
        <v>0.98250310784333539</v>
      </c>
      <c r="AF94">
        <v>32.973999999999997</v>
      </c>
      <c r="AG94" s="14">
        <v>0.98157354210698633</v>
      </c>
      <c r="AH94">
        <v>54</v>
      </c>
      <c r="AJ94">
        <v>92</v>
      </c>
      <c r="AK94">
        <v>119.935023</v>
      </c>
      <c r="AL94" s="14">
        <v>0.97452225464372544</v>
      </c>
      <c r="AM94">
        <v>33.252000000000002</v>
      </c>
      <c r="AN94" s="14">
        <v>0.97267887439302647</v>
      </c>
      <c r="AO94">
        <v>54</v>
      </c>
      <c r="AQ94">
        <v>92</v>
      </c>
      <c r="AR94">
        <v>118.681004</v>
      </c>
      <c r="AS94" s="14">
        <v>0.97407421791809301</v>
      </c>
      <c r="AT94">
        <v>32.960999999999999</v>
      </c>
      <c r="AU94" s="14">
        <v>0.97336325783303312</v>
      </c>
      <c r="AV94">
        <v>54</v>
      </c>
      <c r="AX94">
        <v>92</v>
      </c>
      <c r="AY94">
        <v>120.645217</v>
      </c>
      <c r="AZ94" s="14">
        <v>0.97591569456068872</v>
      </c>
      <c r="BA94">
        <v>33.479999999999997</v>
      </c>
      <c r="BB94" s="14">
        <v>0.97541079128306718</v>
      </c>
      <c r="BC94">
        <v>54</v>
      </c>
    </row>
    <row r="95" spans="15:55" x14ac:dyDescent="0.35">
      <c r="O95">
        <v>93</v>
      </c>
      <c r="P95">
        <v>120.166543</v>
      </c>
      <c r="Q95" s="14">
        <v>0.97951323011405211</v>
      </c>
      <c r="R95">
        <v>33.279000000000003</v>
      </c>
      <c r="S95" s="14">
        <v>0.98069782519007498</v>
      </c>
      <c r="T95">
        <v>54</v>
      </c>
      <c r="V95">
        <v>93</v>
      </c>
      <c r="W95">
        <v>120.198381</v>
      </c>
      <c r="X95" s="14">
        <v>0.98064018864964841</v>
      </c>
      <c r="Y95">
        <v>33.229999999999997</v>
      </c>
      <c r="Z95" s="14">
        <v>0.98087254265304913</v>
      </c>
      <c r="AA95">
        <v>54</v>
      </c>
      <c r="AC95">
        <v>93</v>
      </c>
      <c r="AD95">
        <v>119.29901599999999</v>
      </c>
      <c r="AE95" s="14">
        <v>0.98256266332716691</v>
      </c>
      <c r="AF95">
        <v>32.975000000000001</v>
      </c>
      <c r="AG95" s="14">
        <v>0.98160331021343727</v>
      </c>
      <c r="AH95">
        <v>54</v>
      </c>
      <c r="AJ95">
        <v>93</v>
      </c>
      <c r="AK95">
        <v>119.924938</v>
      </c>
      <c r="AL95" s="14">
        <v>0.97444030979815621</v>
      </c>
      <c r="AM95">
        <v>33.249000000000002</v>
      </c>
      <c r="AN95" s="14">
        <v>0.9725911191715908</v>
      </c>
      <c r="AO95">
        <v>54</v>
      </c>
      <c r="AQ95">
        <v>93</v>
      </c>
      <c r="AR95">
        <v>118.66531999999999</v>
      </c>
      <c r="AS95" s="14">
        <v>0.97394549150427001</v>
      </c>
      <c r="AT95">
        <v>32.956000000000003</v>
      </c>
      <c r="AU95" s="14">
        <v>0.97321560405161989</v>
      </c>
      <c r="AV95">
        <v>54</v>
      </c>
      <c r="AX95">
        <v>93</v>
      </c>
      <c r="AY95">
        <v>120.65644</v>
      </c>
      <c r="AZ95" s="14">
        <v>0.97600647894578418</v>
      </c>
      <c r="BA95">
        <v>33.479999999999997</v>
      </c>
      <c r="BB95" s="14">
        <v>0.97541079128306718</v>
      </c>
      <c r="BC95">
        <v>54</v>
      </c>
    </row>
    <row r="96" spans="15:55" x14ac:dyDescent="0.35">
      <c r="O96">
        <v>94</v>
      </c>
      <c r="P96">
        <v>120.107345</v>
      </c>
      <c r="Q96" s="14">
        <v>0.97903068961027562</v>
      </c>
      <c r="R96">
        <v>33.262999999999998</v>
      </c>
      <c r="S96" s="14">
        <v>0.98022632168326751</v>
      </c>
      <c r="T96">
        <v>54</v>
      </c>
      <c r="V96">
        <v>94</v>
      </c>
      <c r="W96">
        <v>120.204565</v>
      </c>
      <c r="X96" s="14">
        <v>0.98069064090096958</v>
      </c>
      <c r="Y96">
        <v>33.231000000000002</v>
      </c>
      <c r="Z96" s="14">
        <v>0.98090206033414018</v>
      </c>
      <c r="AA96">
        <v>54</v>
      </c>
      <c r="AC96">
        <v>94</v>
      </c>
      <c r="AD96">
        <v>119.293556</v>
      </c>
      <c r="AE96" s="14">
        <v>0.98251769403637446</v>
      </c>
      <c r="AF96">
        <v>32.972999999999999</v>
      </c>
      <c r="AG96" s="14">
        <v>0.98154377400053572</v>
      </c>
      <c r="AH96">
        <v>54</v>
      </c>
      <c r="AJ96">
        <v>94</v>
      </c>
      <c r="AK96">
        <v>119.92870000000001</v>
      </c>
      <c r="AL96" s="14">
        <v>0.97447087762255202</v>
      </c>
      <c r="AM96">
        <v>33.247</v>
      </c>
      <c r="AN96" s="14">
        <v>0.97253261569063354</v>
      </c>
      <c r="AO96">
        <v>54</v>
      </c>
      <c r="AQ96">
        <v>94</v>
      </c>
      <c r="AR96">
        <v>118.67498000000001</v>
      </c>
      <c r="AS96" s="14">
        <v>0.97402477594430636</v>
      </c>
      <c r="AT96">
        <v>32.957000000000001</v>
      </c>
      <c r="AU96" s="14">
        <v>0.97324513480790242</v>
      </c>
      <c r="AV96">
        <v>54</v>
      </c>
      <c r="AX96">
        <v>94</v>
      </c>
      <c r="AY96">
        <v>120.62967500000001</v>
      </c>
      <c r="AZ96" s="14">
        <v>0.97578997319268079</v>
      </c>
      <c r="BA96">
        <v>33.473999999999997</v>
      </c>
      <c r="BB96" s="14">
        <v>0.97523598648176202</v>
      </c>
      <c r="BC96">
        <v>54</v>
      </c>
    </row>
    <row r="97" spans="15:55" x14ac:dyDescent="0.35">
      <c r="O97">
        <v>95</v>
      </c>
      <c r="P97">
        <v>120.10344600000001</v>
      </c>
      <c r="Q97" s="14">
        <v>0.97899890770169395</v>
      </c>
      <c r="R97">
        <v>33.262</v>
      </c>
      <c r="S97" s="14">
        <v>0.98019685271409218</v>
      </c>
      <c r="T97">
        <v>54</v>
      </c>
      <c r="V97">
        <v>95</v>
      </c>
      <c r="W97">
        <v>120.17057800000001</v>
      </c>
      <c r="X97" s="14">
        <v>0.98041335748155622</v>
      </c>
      <c r="Y97">
        <v>33.22</v>
      </c>
      <c r="Z97" s="14">
        <v>0.98057736584213939</v>
      </c>
      <c r="AA97">
        <v>54</v>
      </c>
      <c r="AC97">
        <v>95</v>
      </c>
      <c r="AD97">
        <v>119.25138099999999</v>
      </c>
      <c r="AE97" s="14">
        <v>0.98217033509147056</v>
      </c>
      <c r="AF97">
        <v>32.959000000000003</v>
      </c>
      <c r="AG97" s="14">
        <v>0.98112702051022538</v>
      </c>
      <c r="AH97">
        <v>54</v>
      </c>
      <c r="AJ97">
        <v>95</v>
      </c>
      <c r="AK97">
        <v>119.910286</v>
      </c>
      <c r="AL97" s="14">
        <v>0.97432125616629883</v>
      </c>
      <c r="AM97">
        <v>33.241</v>
      </c>
      <c r="AN97" s="14">
        <v>0.9723571052477622</v>
      </c>
      <c r="AO97">
        <v>54</v>
      </c>
      <c r="AQ97">
        <v>95</v>
      </c>
      <c r="AR97">
        <v>118.638746</v>
      </c>
      <c r="AS97" s="14">
        <v>0.97372738542667936</v>
      </c>
      <c r="AT97">
        <v>32.945</v>
      </c>
      <c r="AU97" s="14">
        <v>0.97289076573251043</v>
      </c>
      <c r="AV97">
        <v>54</v>
      </c>
      <c r="AX97">
        <v>95</v>
      </c>
      <c r="AY97">
        <v>120.575261</v>
      </c>
      <c r="AZ97" s="14">
        <v>0.97534981088932293</v>
      </c>
      <c r="BA97">
        <v>33.459000000000003</v>
      </c>
      <c r="BB97" s="14">
        <v>0.97479897447849917</v>
      </c>
      <c r="BC97">
        <v>54</v>
      </c>
    </row>
    <row r="98" spans="15:55" x14ac:dyDescent="0.35">
      <c r="O98">
        <v>96</v>
      </c>
      <c r="P98">
        <v>120.09698</v>
      </c>
      <c r="Q98" s="14">
        <v>0.97894620141267363</v>
      </c>
      <c r="R98">
        <v>33.26</v>
      </c>
      <c r="S98" s="14">
        <v>0.98013791477574119</v>
      </c>
      <c r="T98">
        <v>54</v>
      </c>
      <c r="V98">
        <v>96</v>
      </c>
      <c r="W98">
        <v>120.107876</v>
      </c>
      <c r="X98" s="14">
        <v>0.97990180232917268</v>
      </c>
      <c r="Y98">
        <v>33.204000000000001</v>
      </c>
      <c r="Z98" s="14">
        <v>0.9801050829446839</v>
      </c>
      <c r="AA98">
        <v>54</v>
      </c>
      <c r="AC98">
        <v>96</v>
      </c>
      <c r="AD98">
        <v>119.19762</v>
      </c>
      <c r="AE98" s="14">
        <v>0.9817275522998411</v>
      </c>
      <c r="AF98">
        <v>32.945999999999998</v>
      </c>
      <c r="AG98" s="14">
        <v>0.98074003512636543</v>
      </c>
      <c r="AH98">
        <v>54</v>
      </c>
      <c r="AJ98">
        <v>96</v>
      </c>
      <c r="AK98">
        <v>119.859842</v>
      </c>
      <c r="AL98" s="14">
        <v>0.97391137755550106</v>
      </c>
      <c r="AM98">
        <v>33.226999999999997</v>
      </c>
      <c r="AN98" s="14">
        <v>0.97194758088106237</v>
      </c>
      <c r="AO98">
        <v>54</v>
      </c>
      <c r="AQ98">
        <v>96</v>
      </c>
      <c r="AR98">
        <v>118.590614</v>
      </c>
      <c r="AS98" s="14">
        <v>0.97333234208632458</v>
      </c>
      <c r="AT98">
        <v>32.93</v>
      </c>
      <c r="AU98" s="14">
        <v>0.97244780438827039</v>
      </c>
      <c r="AV98">
        <v>54</v>
      </c>
      <c r="AX98">
        <v>96</v>
      </c>
      <c r="AY98">
        <v>120.525802</v>
      </c>
      <c r="AZ98" s="14">
        <v>0.9749497302600405</v>
      </c>
      <c r="BA98">
        <v>33.444000000000003</v>
      </c>
      <c r="BB98" s="14">
        <v>0.9743619624752361</v>
      </c>
      <c r="BC98">
        <v>54</v>
      </c>
    </row>
    <row r="99" spans="15:55" x14ac:dyDescent="0.35">
      <c r="O99">
        <v>97</v>
      </c>
      <c r="P99">
        <v>120.10524599999999</v>
      </c>
      <c r="Q99" s="14">
        <v>0.97901358003702266</v>
      </c>
      <c r="R99">
        <v>33.26</v>
      </c>
      <c r="S99" s="14">
        <v>0.98013791477574119</v>
      </c>
      <c r="T99">
        <v>54</v>
      </c>
      <c r="V99">
        <v>97</v>
      </c>
      <c r="W99">
        <v>120.104797</v>
      </c>
      <c r="X99" s="14">
        <v>0.97987668226419566</v>
      </c>
      <c r="Y99">
        <v>33.203000000000003</v>
      </c>
      <c r="Z99" s="14">
        <v>0.98007556526359296</v>
      </c>
      <c r="AA99">
        <v>54</v>
      </c>
      <c r="AC99">
        <v>97</v>
      </c>
      <c r="AD99">
        <v>119.20411199999999</v>
      </c>
      <c r="AE99" s="14">
        <v>0.9817810212807615</v>
      </c>
      <c r="AF99">
        <v>32.948</v>
      </c>
      <c r="AG99" s="14">
        <v>0.98079957133926698</v>
      </c>
      <c r="AH99">
        <v>54</v>
      </c>
      <c r="AJ99">
        <v>97</v>
      </c>
      <c r="AK99">
        <v>119.782545</v>
      </c>
      <c r="AL99" s="14">
        <v>0.97328330708173127</v>
      </c>
      <c r="AM99">
        <v>33.207999999999998</v>
      </c>
      <c r="AN99" s="14">
        <v>0.97139179781196971</v>
      </c>
      <c r="AO99">
        <v>54</v>
      </c>
      <c r="AQ99">
        <v>97</v>
      </c>
      <c r="AR99">
        <v>118.515173</v>
      </c>
      <c r="AS99" s="14">
        <v>0.97271316015663711</v>
      </c>
      <c r="AT99">
        <v>32.911000000000001</v>
      </c>
      <c r="AU99" s="14">
        <v>0.97188672001889975</v>
      </c>
      <c r="AV99">
        <v>54</v>
      </c>
      <c r="AX99">
        <v>97</v>
      </c>
      <c r="AY99">
        <v>120.54049000000001</v>
      </c>
      <c r="AZ99" s="14">
        <v>0.97506854350500904</v>
      </c>
      <c r="BA99">
        <v>33.445</v>
      </c>
      <c r="BB99" s="14">
        <v>0.97439109660878687</v>
      </c>
      <c r="BC99">
        <v>54</v>
      </c>
    </row>
    <row r="100" spans="15:55" x14ac:dyDescent="0.35">
      <c r="O100">
        <v>98</v>
      </c>
      <c r="P100">
        <v>120.052818</v>
      </c>
      <c r="Q100" s="14">
        <v>0.97858622381667759</v>
      </c>
      <c r="R100">
        <v>33.244</v>
      </c>
      <c r="S100" s="14">
        <v>0.97966641126893383</v>
      </c>
      <c r="T100">
        <v>54</v>
      </c>
      <c r="V100">
        <v>98</v>
      </c>
      <c r="W100">
        <v>120.102406</v>
      </c>
      <c r="X100" s="14">
        <v>0.9798571752569335</v>
      </c>
      <c r="Y100">
        <v>33.200000000000003</v>
      </c>
      <c r="Z100" s="14">
        <v>0.97998701222032003</v>
      </c>
      <c r="AA100">
        <v>54</v>
      </c>
      <c r="AC100">
        <v>98</v>
      </c>
      <c r="AD100">
        <v>119.205528</v>
      </c>
      <c r="AE100" s="14">
        <v>0.98179268364628569</v>
      </c>
      <c r="AF100">
        <v>32.945999999999998</v>
      </c>
      <c r="AG100" s="14">
        <v>0.98074003512636543</v>
      </c>
      <c r="AH100">
        <v>54</v>
      </c>
      <c r="AJ100">
        <v>98</v>
      </c>
      <c r="AK100">
        <v>119.799252</v>
      </c>
      <c r="AL100" s="14">
        <v>0.97341905844860543</v>
      </c>
      <c r="AM100">
        <v>33.212000000000003</v>
      </c>
      <c r="AN100" s="14">
        <v>0.97150880477388413</v>
      </c>
      <c r="AO100">
        <v>54</v>
      </c>
      <c r="AQ100">
        <v>98</v>
      </c>
      <c r="AR100">
        <v>118.524697</v>
      </c>
      <c r="AS100" s="14">
        <v>0.9727913283768137</v>
      </c>
      <c r="AT100">
        <v>32.914999999999999</v>
      </c>
      <c r="AU100" s="14">
        <v>0.97200484304403034</v>
      </c>
      <c r="AV100">
        <v>54</v>
      </c>
      <c r="AX100">
        <v>98</v>
      </c>
      <c r="AY100">
        <v>120.515511</v>
      </c>
      <c r="AZ100" s="14">
        <v>0.97486648495067418</v>
      </c>
      <c r="BA100">
        <v>33.441000000000003</v>
      </c>
      <c r="BB100" s="14">
        <v>0.97427456007458346</v>
      </c>
      <c r="BC100">
        <v>54</v>
      </c>
    </row>
    <row r="101" spans="15:55" x14ac:dyDescent="0.35">
      <c r="O101">
        <v>99</v>
      </c>
      <c r="P101">
        <v>120.005319</v>
      </c>
      <c r="Q101" s="14">
        <v>0.97819904534124136</v>
      </c>
      <c r="R101">
        <v>33.231999999999999</v>
      </c>
      <c r="S101" s="14">
        <v>0.97931278363882834</v>
      </c>
      <c r="T101">
        <v>54</v>
      </c>
      <c r="V101">
        <v>99</v>
      </c>
      <c r="W101">
        <v>120.10968200000001</v>
      </c>
      <c r="X101" s="14">
        <v>0.97991653660567424</v>
      </c>
      <c r="Y101">
        <v>33.201999999999998</v>
      </c>
      <c r="Z101" s="14">
        <v>0.98004604758250191</v>
      </c>
      <c r="AA101">
        <v>54</v>
      </c>
      <c r="AC101">
        <v>99</v>
      </c>
      <c r="AD101">
        <v>119.210767</v>
      </c>
      <c r="AE101" s="14">
        <v>0.98183583275149855</v>
      </c>
      <c r="AF101">
        <v>32.945999999999998</v>
      </c>
      <c r="AG101" s="14">
        <v>0.98074003512636543</v>
      </c>
      <c r="AH101">
        <v>54</v>
      </c>
      <c r="AJ101">
        <v>99</v>
      </c>
      <c r="AK101">
        <v>119.781898</v>
      </c>
      <c r="AL101" s="14">
        <v>0.97327804993596201</v>
      </c>
      <c r="AM101">
        <v>33.203000000000003</v>
      </c>
      <c r="AN101" s="14">
        <v>0.97124553910957712</v>
      </c>
      <c r="AO101">
        <v>54</v>
      </c>
      <c r="AQ101">
        <v>99</v>
      </c>
      <c r="AR101">
        <v>118.517786</v>
      </c>
      <c r="AS101" s="14">
        <v>0.97273460635144193</v>
      </c>
      <c r="AT101">
        <v>32.906999999999996</v>
      </c>
      <c r="AU101" s="14">
        <v>0.97176859699376894</v>
      </c>
      <c r="AV101">
        <v>54</v>
      </c>
      <c r="AX101">
        <v>99</v>
      </c>
      <c r="AY101">
        <v>120.513887</v>
      </c>
      <c r="AZ101" s="14">
        <v>0.97485334819210745</v>
      </c>
      <c r="BA101">
        <v>33.438000000000002</v>
      </c>
      <c r="BB101" s="14">
        <v>0.97418715767393094</v>
      </c>
      <c r="BC101">
        <v>54</v>
      </c>
    </row>
    <row r="102" spans="15:55" x14ac:dyDescent="0.35">
      <c r="O102">
        <v>100</v>
      </c>
      <c r="P102">
        <v>119.98073599999999</v>
      </c>
      <c r="Q102" s="14">
        <v>0.97799866199713614</v>
      </c>
      <c r="R102">
        <v>33.225000000000001</v>
      </c>
      <c r="S102" s="14">
        <v>0.97910650085460027</v>
      </c>
      <c r="T102">
        <v>54</v>
      </c>
      <c r="V102">
        <v>100</v>
      </c>
      <c r="W102">
        <v>120.071427</v>
      </c>
      <c r="X102" s="14">
        <v>0.97960443264799457</v>
      </c>
      <c r="Y102">
        <v>33.191000000000003</v>
      </c>
      <c r="Z102" s="14">
        <v>0.97972135309050123</v>
      </c>
      <c r="AA102">
        <v>54</v>
      </c>
      <c r="AC102">
        <v>100</v>
      </c>
      <c r="AD102">
        <v>119.16547</v>
      </c>
      <c r="AE102" s="14">
        <v>0.98146276059673132</v>
      </c>
      <c r="AF102">
        <v>32.933</v>
      </c>
      <c r="AG102" s="14">
        <v>0.98035304974250581</v>
      </c>
      <c r="AH102">
        <v>54</v>
      </c>
      <c r="AJ102">
        <v>100</v>
      </c>
      <c r="AK102">
        <v>119.79176099999999</v>
      </c>
      <c r="AL102" s="14">
        <v>0.9733581909386243</v>
      </c>
      <c r="AM102">
        <v>33.204999999999998</v>
      </c>
      <c r="AN102" s="14">
        <v>0.97130404259053404</v>
      </c>
      <c r="AO102">
        <v>54</v>
      </c>
      <c r="AQ102">
        <v>100</v>
      </c>
      <c r="AR102">
        <v>118.515321</v>
      </c>
      <c r="AS102" s="14">
        <v>0.97271437486648449</v>
      </c>
      <c r="AT102">
        <v>32.905000000000001</v>
      </c>
      <c r="AU102" s="14">
        <v>0.97170953548120376</v>
      </c>
      <c r="AV102">
        <v>54</v>
      </c>
      <c r="AX102">
        <v>100</v>
      </c>
      <c r="AY102">
        <v>120.454527</v>
      </c>
      <c r="AZ102" s="14">
        <v>0.97437317701690762</v>
      </c>
      <c r="BA102">
        <v>33.421999999999997</v>
      </c>
      <c r="BB102" s="14">
        <v>0.97372101153711688</v>
      </c>
      <c r="BC102">
        <v>54</v>
      </c>
    </row>
    <row r="103" spans="15:55" x14ac:dyDescent="0.35">
      <c r="O103">
        <v>101</v>
      </c>
      <c r="P103">
        <v>120.007526</v>
      </c>
      <c r="Q103" s="14">
        <v>0.97821703525461401</v>
      </c>
      <c r="R103">
        <v>33.231000000000002</v>
      </c>
      <c r="S103" s="14">
        <v>0.97928331466965302</v>
      </c>
      <c r="T103">
        <v>54</v>
      </c>
      <c r="V103">
        <v>101</v>
      </c>
      <c r="W103">
        <v>120.016502</v>
      </c>
      <c r="X103" s="14">
        <v>0.9791563262599261</v>
      </c>
      <c r="Y103">
        <v>33.177</v>
      </c>
      <c r="Z103" s="14">
        <v>0.97930810555522751</v>
      </c>
      <c r="AA103">
        <v>54</v>
      </c>
      <c r="AC103">
        <v>101</v>
      </c>
      <c r="AD103">
        <v>119.110176</v>
      </c>
      <c r="AE103" s="14">
        <v>0.98100735181191767</v>
      </c>
      <c r="AF103">
        <v>32.918999999999997</v>
      </c>
      <c r="AG103" s="14">
        <v>0.97993629625219525</v>
      </c>
      <c r="AH103">
        <v>54</v>
      </c>
      <c r="AJ103">
        <v>101</v>
      </c>
      <c r="AK103">
        <v>119.733276</v>
      </c>
      <c r="AL103" s="14">
        <v>0.97288297583767058</v>
      </c>
      <c r="AM103">
        <v>33.188000000000002</v>
      </c>
      <c r="AN103" s="14">
        <v>0.97080676300239876</v>
      </c>
      <c r="AO103">
        <v>54</v>
      </c>
      <c r="AQ103">
        <v>101</v>
      </c>
      <c r="AR103">
        <v>118.457283</v>
      </c>
      <c r="AS103" s="14">
        <v>0.97223802804134696</v>
      </c>
      <c r="AT103">
        <v>32.89</v>
      </c>
      <c r="AU103" s="14">
        <v>0.97126657413696371</v>
      </c>
      <c r="AV103">
        <v>54</v>
      </c>
      <c r="AX103">
        <v>101</v>
      </c>
      <c r="AY103">
        <v>120.39179900000001</v>
      </c>
      <c r="AZ103" s="14">
        <v>0.97386576162812855</v>
      </c>
      <c r="BA103">
        <v>33.405000000000001</v>
      </c>
      <c r="BB103" s="14">
        <v>0.97322573126675227</v>
      </c>
      <c r="BC103">
        <v>54</v>
      </c>
    </row>
    <row r="104" spans="15:55" x14ac:dyDescent="0.35">
      <c r="O104">
        <v>102</v>
      </c>
      <c r="P104">
        <v>119.975532</v>
      </c>
      <c r="Q104" s="14">
        <v>0.97795624264544101</v>
      </c>
      <c r="R104">
        <v>33.220999999999997</v>
      </c>
      <c r="S104" s="14">
        <v>0.97898862497789829</v>
      </c>
      <c r="T104">
        <v>54</v>
      </c>
      <c r="V104">
        <v>102</v>
      </c>
      <c r="W104">
        <v>119.99568600000001</v>
      </c>
      <c r="X104" s="14">
        <v>0.97898649862999387</v>
      </c>
      <c r="Y104">
        <v>33.17</v>
      </c>
      <c r="Z104" s="14">
        <v>0.97910148178759082</v>
      </c>
      <c r="AA104">
        <v>54</v>
      </c>
      <c r="AC104">
        <v>102</v>
      </c>
      <c r="AD104">
        <v>119.09887000000001</v>
      </c>
      <c r="AE104" s="14">
        <v>0.98091423408266865</v>
      </c>
      <c r="AF104">
        <v>32.917000000000002</v>
      </c>
      <c r="AG104" s="14">
        <v>0.9798767600392938</v>
      </c>
      <c r="AH104">
        <v>54</v>
      </c>
      <c r="AJ104">
        <v>102</v>
      </c>
      <c r="AK104">
        <v>119.680764</v>
      </c>
      <c r="AL104" s="14">
        <v>0.9724562938614153</v>
      </c>
      <c r="AM104">
        <v>33.174999999999997</v>
      </c>
      <c r="AN104" s="14">
        <v>0.97042649037617734</v>
      </c>
      <c r="AO104">
        <v>54</v>
      </c>
      <c r="AQ104">
        <v>102</v>
      </c>
      <c r="AR104">
        <v>118.405697</v>
      </c>
      <c r="AS104" s="14">
        <v>0.97181463599955464</v>
      </c>
      <c r="AT104">
        <v>32.877000000000002</v>
      </c>
      <c r="AU104" s="14">
        <v>0.97088267430528907</v>
      </c>
      <c r="AV104">
        <v>54</v>
      </c>
      <c r="AX104">
        <v>102</v>
      </c>
      <c r="AY104">
        <v>120.369152</v>
      </c>
      <c r="AZ104" s="14">
        <v>0.97368256694139077</v>
      </c>
      <c r="BA104">
        <v>33.4</v>
      </c>
      <c r="BB104" s="14">
        <v>0.97308006059899776</v>
      </c>
      <c r="BC104">
        <v>54</v>
      </c>
    </row>
    <row r="105" spans="15:55" x14ac:dyDescent="0.35">
      <c r="O105">
        <v>103</v>
      </c>
      <c r="P105">
        <v>119.908119</v>
      </c>
      <c r="Q105" s="14">
        <v>0.97740673923348309</v>
      </c>
      <c r="R105">
        <v>33.201999999999998</v>
      </c>
      <c r="S105" s="14">
        <v>0.97842871456356462</v>
      </c>
      <c r="T105">
        <v>54</v>
      </c>
      <c r="V105">
        <v>103</v>
      </c>
      <c r="W105">
        <v>120.01464</v>
      </c>
      <c r="X105" s="14">
        <v>0.9791411351066337</v>
      </c>
      <c r="Y105">
        <v>33.174999999999997</v>
      </c>
      <c r="Z105" s="14">
        <v>0.97924907019304552</v>
      </c>
      <c r="AA105">
        <v>54</v>
      </c>
      <c r="AC105">
        <v>103</v>
      </c>
      <c r="AD105">
        <v>119.112313</v>
      </c>
      <c r="AE105" s="14">
        <v>0.98102495242994403</v>
      </c>
      <c r="AF105">
        <v>32.917999999999999</v>
      </c>
      <c r="AG105" s="14">
        <v>0.97990652814574453</v>
      </c>
      <c r="AH105">
        <v>54</v>
      </c>
      <c r="AJ105">
        <v>103</v>
      </c>
      <c r="AK105">
        <v>119.644148</v>
      </c>
      <c r="AL105" s="14">
        <v>0.97215877353763114</v>
      </c>
      <c r="AM105">
        <v>33.162999999999997</v>
      </c>
      <c r="AN105" s="14">
        <v>0.97007546949043455</v>
      </c>
      <c r="AO105">
        <v>54</v>
      </c>
      <c r="AQ105">
        <v>103</v>
      </c>
      <c r="AR105">
        <v>118.365529</v>
      </c>
      <c r="AS105" s="14">
        <v>0.97148495718098538</v>
      </c>
      <c r="AT105">
        <v>32.865000000000002</v>
      </c>
      <c r="AU105" s="14">
        <v>0.97052830522989697</v>
      </c>
      <c r="AV105">
        <v>54</v>
      </c>
      <c r="AX105">
        <v>103</v>
      </c>
      <c r="AY105">
        <v>120.378511</v>
      </c>
      <c r="AZ105" s="14">
        <v>0.97375827317502783</v>
      </c>
      <c r="BA105">
        <v>33.402000000000001</v>
      </c>
      <c r="BB105" s="14">
        <v>0.97313832886609963</v>
      </c>
      <c r="BC105">
        <v>54</v>
      </c>
    </row>
    <row r="106" spans="15:55" x14ac:dyDescent="0.35">
      <c r="O106">
        <v>104</v>
      </c>
      <c r="P106">
        <v>119.84319600000001</v>
      </c>
      <c r="Q106" s="14">
        <v>0.97687753255206355</v>
      </c>
      <c r="R106">
        <v>33.185000000000002</v>
      </c>
      <c r="S106" s="14">
        <v>0.97792774208758193</v>
      </c>
      <c r="T106">
        <v>54</v>
      </c>
      <c r="V106">
        <v>104</v>
      </c>
      <c r="W106">
        <v>119.99505000000001</v>
      </c>
      <c r="X106" s="14">
        <v>0.97898130981501319</v>
      </c>
      <c r="Y106">
        <v>33.167999999999999</v>
      </c>
      <c r="Z106" s="14">
        <v>0.97904244642540883</v>
      </c>
      <c r="AA106">
        <v>54</v>
      </c>
      <c r="AC106">
        <v>104</v>
      </c>
      <c r="AD106">
        <v>119.103728</v>
      </c>
      <c r="AE106" s="14">
        <v>0.98095424522088659</v>
      </c>
      <c r="AF106">
        <v>32.914999999999999</v>
      </c>
      <c r="AG106" s="14">
        <v>0.97981722382639225</v>
      </c>
      <c r="AH106">
        <v>54</v>
      </c>
      <c r="AJ106">
        <v>104</v>
      </c>
      <c r="AK106">
        <v>119.62073599999999</v>
      </c>
      <c r="AL106" s="14">
        <v>0.97196854123971654</v>
      </c>
      <c r="AM106">
        <v>33.159999999999997</v>
      </c>
      <c r="AN106" s="14">
        <v>0.96998771426899888</v>
      </c>
      <c r="AO106">
        <v>54</v>
      </c>
      <c r="AQ106">
        <v>104</v>
      </c>
      <c r="AR106">
        <v>118.45638</v>
      </c>
      <c r="AS106" s="14">
        <v>0.97223061666977828</v>
      </c>
      <c r="AT106">
        <v>32.871000000000002</v>
      </c>
      <c r="AU106" s="14">
        <v>0.97070548976759308</v>
      </c>
      <c r="AV106">
        <v>54</v>
      </c>
      <c r="AX106">
        <v>104</v>
      </c>
      <c r="AY106">
        <v>120.344662</v>
      </c>
      <c r="AZ106" s="14">
        <v>0.97348446397507271</v>
      </c>
      <c r="BA106">
        <v>33.392000000000003</v>
      </c>
      <c r="BB106" s="14">
        <v>0.97284698753059096</v>
      </c>
      <c r="BC106">
        <v>54</v>
      </c>
    </row>
    <row r="107" spans="15:55" x14ac:dyDescent="0.35">
      <c r="O107">
        <v>105</v>
      </c>
      <c r="P107">
        <v>119.821303</v>
      </c>
      <c r="Q107" s="14">
        <v>0.97669907619797769</v>
      </c>
      <c r="R107">
        <v>33.180999999999997</v>
      </c>
      <c r="S107" s="14">
        <v>0.97780986621087995</v>
      </c>
      <c r="T107">
        <v>54</v>
      </c>
      <c r="V107">
        <v>105</v>
      </c>
      <c r="W107">
        <v>119.94051</v>
      </c>
      <c r="X107" s="14">
        <v>0.97853634445488114</v>
      </c>
      <c r="Y107">
        <v>33.152999999999999</v>
      </c>
      <c r="Z107" s="14">
        <v>0.97859968120904417</v>
      </c>
      <c r="AA107">
        <v>54</v>
      </c>
      <c r="AC107">
        <v>105</v>
      </c>
      <c r="AD107">
        <v>119.03475899999999</v>
      </c>
      <c r="AE107" s="14">
        <v>0.98038620730574555</v>
      </c>
      <c r="AF107">
        <v>32.895000000000003</v>
      </c>
      <c r="AG107" s="14">
        <v>0.97922186169737746</v>
      </c>
      <c r="AH107">
        <v>54</v>
      </c>
      <c r="AJ107">
        <v>105</v>
      </c>
      <c r="AK107">
        <v>119.602728</v>
      </c>
      <c r="AL107" s="14">
        <v>0.97182221870337437</v>
      </c>
      <c r="AM107">
        <v>33.152999999999999</v>
      </c>
      <c r="AN107" s="14">
        <v>0.96978295208564902</v>
      </c>
      <c r="AO107">
        <v>54</v>
      </c>
      <c r="AQ107">
        <v>105</v>
      </c>
      <c r="AR107">
        <v>118.373244</v>
      </c>
      <c r="AS107" s="14">
        <v>0.97154827803552779</v>
      </c>
      <c r="AT107">
        <v>32.857999999999997</v>
      </c>
      <c r="AU107" s="14">
        <v>0.97032158993591822</v>
      </c>
      <c r="AV107">
        <v>54</v>
      </c>
      <c r="AX107">
        <v>105</v>
      </c>
      <c r="AY107">
        <v>120.266688</v>
      </c>
      <c r="AZ107" s="14">
        <v>0.97285372160285188</v>
      </c>
      <c r="BA107">
        <v>33.372</v>
      </c>
      <c r="BB107" s="14">
        <v>0.97226430485957349</v>
      </c>
      <c r="BC107">
        <v>54</v>
      </c>
    </row>
    <row r="108" spans="15:55" x14ac:dyDescent="0.35">
      <c r="O108">
        <v>106</v>
      </c>
      <c r="P108">
        <v>119.802226</v>
      </c>
      <c r="Q108" s="14">
        <v>0.976543573897384</v>
      </c>
      <c r="R108">
        <v>33.173000000000002</v>
      </c>
      <c r="S108" s="14">
        <v>0.97757411445747644</v>
      </c>
      <c r="T108">
        <v>54</v>
      </c>
      <c r="V108">
        <v>106</v>
      </c>
      <c r="W108">
        <v>119.86926</v>
      </c>
      <c r="X108" s="14">
        <v>0.97795505032379548</v>
      </c>
      <c r="Y108">
        <v>33.134999999999998</v>
      </c>
      <c r="Z108" s="14">
        <v>0.97806836294940658</v>
      </c>
      <c r="AA108">
        <v>54</v>
      </c>
      <c r="AC108">
        <v>106</v>
      </c>
      <c r="AD108">
        <v>118.964574</v>
      </c>
      <c r="AE108" s="14">
        <v>0.97980815425184931</v>
      </c>
      <c r="AF108">
        <v>32.877000000000002</v>
      </c>
      <c r="AG108" s="14">
        <v>0.9786860357812639</v>
      </c>
      <c r="AH108">
        <v>54</v>
      </c>
      <c r="AJ108">
        <v>106</v>
      </c>
      <c r="AK108">
        <v>119.55896300000001</v>
      </c>
      <c r="AL108" s="14">
        <v>0.97146660976273591</v>
      </c>
      <c r="AM108">
        <v>33.139000000000003</v>
      </c>
      <c r="AN108" s="14">
        <v>0.96937342771894941</v>
      </c>
      <c r="AO108">
        <v>54</v>
      </c>
      <c r="AQ108">
        <v>106</v>
      </c>
      <c r="AR108">
        <v>118.34953400000001</v>
      </c>
      <c r="AS108" s="14">
        <v>0.9713536782349832</v>
      </c>
      <c r="AT108">
        <v>32.847999999999999</v>
      </c>
      <c r="AU108" s="14">
        <v>0.97002628237309152</v>
      </c>
      <c r="AV108">
        <v>54</v>
      </c>
      <c r="AX108">
        <v>106</v>
      </c>
      <c r="AY108">
        <v>120.19886</v>
      </c>
      <c r="AZ108" s="14">
        <v>0.97230505161512526</v>
      </c>
      <c r="BA108">
        <v>33.353000000000002</v>
      </c>
      <c r="BB108" s="14">
        <v>0.97171075632210713</v>
      </c>
      <c r="BC108">
        <v>54</v>
      </c>
    </row>
    <row r="109" spans="15:55" x14ac:dyDescent="0.35">
      <c r="O109">
        <v>107</v>
      </c>
      <c r="P109">
        <v>119.783903</v>
      </c>
      <c r="Q109" s="14">
        <v>0.97639421767503365</v>
      </c>
      <c r="R109">
        <v>33.168999999999997</v>
      </c>
      <c r="S109" s="14">
        <v>0.97745623858077446</v>
      </c>
      <c r="T109">
        <v>54</v>
      </c>
      <c r="V109">
        <v>107</v>
      </c>
      <c r="W109">
        <v>119.82496</v>
      </c>
      <c r="X109" s="14">
        <v>0.97759362814825745</v>
      </c>
      <c r="Y109">
        <v>33.124000000000002</v>
      </c>
      <c r="Z109" s="14">
        <v>0.97774366845740601</v>
      </c>
      <c r="AA109">
        <v>54</v>
      </c>
      <c r="AC109">
        <v>107</v>
      </c>
      <c r="AD109">
        <v>118.933834</v>
      </c>
      <c r="AE109" s="14">
        <v>0.97955497549746073</v>
      </c>
      <c r="AF109">
        <v>32.869999999999997</v>
      </c>
      <c r="AG109" s="14">
        <v>0.9784776590361085</v>
      </c>
      <c r="AH109">
        <v>54</v>
      </c>
      <c r="AJ109">
        <v>107</v>
      </c>
      <c r="AK109">
        <v>119.47965000000001</v>
      </c>
      <c r="AL109" s="14">
        <v>0.97082215844527076</v>
      </c>
      <c r="AM109">
        <v>33.118000000000002</v>
      </c>
      <c r="AN109" s="14">
        <v>0.96875914116889961</v>
      </c>
      <c r="AO109">
        <v>54</v>
      </c>
      <c r="AQ109">
        <v>107</v>
      </c>
      <c r="AR109">
        <v>118.257468</v>
      </c>
      <c r="AS109" s="14">
        <v>0.97059804663494342</v>
      </c>
      <c r="AT109">
        <v>32.825000000000003</v>
      </c>
      <c r="AU109" s="14">
        <v>0.9693470749785903</v>
      </c>
      <c r="AV109">
        <v>54</v>
      </c>
      <c r="AX109">
        <v>107</v>
      </c>
      <c r="AY109">
        <v>120.164231</v>
      </c>
      <c r="AZ109" s="14">
        <v>0.9720249328882723</v>
      </c>
      <c r="BA109">
        <v>33.344000000000001</v>
      </c>
      <c r="BB109" s="14">
        <v>0.97144854912014922</v>
      </c>
      <c r="BC109">
        <v>54</v>
      </c>
    </row>
    <row r="110" spans="15:55" x14ac:dyDescent="0.35">
      <c r="O110">
        <v>108</v>
      </c>
      <c r="P110">
        <v>119.710382</v>
      </c>
      <c r="Q110" s="14">
        <v>0.97579492613852659</v>
      </c>
      <c r="R110">
        <v>33.146999999999998</v>
      </c>
      <c r="S110" s="14">
        <v>0.97680792125891436</v>
      </c>
      <c r="T110">
        <v>54</v>
      </c>
      <c r="V110">
        <v>108</v>
      </c>
      <c r="W110">
        <v>119.814992</v>
      </c>
      <c r="X110" s="14">
        <v>0.97751230407950429</v>
      </c>
      <c r="Y110">
        <v>33.119999999999997</v>
      </c>
      <c r="Z110" s="14">
        <v>0.97762559773304203</v>
      </c>
      <c r="AA110">
        <v>54</v>
      </c>
      <c r="AC110">
        <v>108</v>
      </c>
      <c r="AD110">
        <v>118.92347700000001</v>
      </c>
      <c r="AE110" s="14">
        <v>0.97946967385923023</v>
      </c>
      <c r="AF110">
        <v>32.866</v>
      </c>
      <c r="AG110" s="14">
        <v>0.97835858661030561</v>
      </c>
      <c r="AH110">
        <v>54</v>
      </c>
      <c r="AJ110">
        <v>108</v>
      </c>
      <c r="AK110">
        <v>119.418477</v>
      </c>
      <c r="AL110" s="14">
        <v>0.97032510221938983</v>
      </c>
      <c r="AM110">
        <v>33.103000000000002</v>
      </c>
      <c r="AN110" s="14">
        <v>0.96832036506172126</v>
      </c>
      <c r="AO110">
        <v>54</v>
      </c>
      <c r="AQ110">
        <v>108</v>
      </c>
      <c r="AR110">
        <v>118.183577</v>
      </c>
      <c r="AS110" s="14">
        <v>0.96999158632865734</v>
      </c>
      <c r="AT110">
        <v>32.813000000000002</v>
      </c>
      <c r="AU110" s="14">
        <v>0.9689927059031983</v>
      </c>
      <c r="AV110">
        <v>54</v>
      </c>
      <c r="AX110">
        <v>108</v>
      </c>
      <c r="AY110">
        <v>120.151657</v>
      </c>
      <c r="AZ110" s="14">
        <v>0.97192322007902421</v>
      </c>
      <c r="BA110">
        <v>33.338999999999999</v>
      </c>
      <c r="BB110" s="14">
        <v>0.97130287845239482</v>
      </c>
      <c r="BC110">
        <v>54</v>
      </c>
    </row>
    <row r="111" spans="15:55" x14ac:dyDescent="0.35">
      <c r="O111">
        <v>109</v>
      </c>
      <c r="P111">
        <v>119.65373200000001</v>
      </c>
      <c r="Q111" s="14">
        <v>0.97533315514053787</v>
      </c>
      <c r="R111">
        <v>33.133000000000003</v>
      </c>
      <c r="S111" s="14">
        <v>0.9763953556904581</v>
      </c>
      <c r="T111">
        <v>54</v>
      </c>
      <c r="V111">
        <v>109</v>
      </c>
      <c r="W111">
        <v>119.79828000000001</v>
      </c>
      <c r="X111" s="14">
        <v>0.97737595899152252</v>
      </c>
      <c r="Y111">
        <v>33.113999999999997</v>
      </c>
      <c r="Z111" s="14">
        <v>0.97744849164649616</v>
      </c>
      <c r="AA111">
        <v>54</v>
      </c>
      <c r="AC111">
        <v>109</v>
      </c>
      <c r="AD111">
        <v>118.904342</v>
      </c>
      <c r="AE111" s="14">
        <v>0.97931207543811027</v>
      </c>
      <c r="AF111">
        <v>32.860999999999997</v>
      </c>
      <c r="AG111" s="14">
        <v>0.97820974607805178</v>
      </c>
      <c r="AH111">
        <v>54</v>
      </c>
      <c r="AJ111">
        <v>109</v>
      </c>
      <c r="AK111">
        <v>119.411614</v>
      </c>
      <c r="AL111" s="14">
        <v>0.97026933747222655</v>
      </c>
      <c r="AM111">
        <v>33.098999999999997</v>
      </c>
      <c r="AN111" s="14">
        <v>0.96820335809980684</v>
      </c>
      <c r="AO111">
        <v>54</v>
      </c>
      <c r="AQ111">
        <v>109</v>
      </c>
      <c r="AR111">
        <v>118.15581</v>
      </c>
      <c r="AS111" s="14">
        <v>0.96976368870479723</v>
      </c>
      <c r="AT111">
        <v>32.802</v>
      </c>
      <c r="AU111" s="14">
        <v>0.96866786758408885</v>
      </c>
      <c r="AV111">
        <v>54</v>
      </c>
      <c r="AX111">
        <v>109</v>
      </c>
      <c r="AY111">
        <v>120.143925</v>
      </c>
      <c r="AZ111" s="14">
        <v>0.97186067487136507</v>
      </c>
      <c r="BA111">
        <v>33.332999999999998</v>
      </c>
      <c r="BB111" s="14">
        <v>0.97112807365108966</v>
      </c>
      <c r="BC111">
        <v>54</v>
      </c>
    </row>
    <row r="112" spans="15:55" x14ac:dyDescent="0.35">
      <c r="O112">
        <v>110</v>
      </c>
      <c r="P112">
        <v>119.64913900000001</v>
      </c>
      <c r="Q112" s="14">
        <v>0.97529571623155709</v>
      </c>
      <c r="R112">
        <v>33.131</v>
      </c>
      <c r="S112" s="14">
        <v>0.97633641775210711</v>
      </c>
      <c r="T112">
        <v>54</v>
      </c>
      <c r="V112">
        <v>110</v>
      </c>
      <c r="W112">
        <v>119.746134</v>
      </c>
      <c r="X112" s="14">
        <v>0.976950525114195</v>
      </c>
      <c r="Y112">
        <v>33.100999999999999</v>
      </c>
      <c r="Z112" s="14">
        <v>0.97706476179231361</v>
      </c>
      <c r="AA112">
        <v>54</v>
      </c>
      <c r="AC112">
        <v>110</v>
      </c>
      <c r="AD112">
        <v>118.841307</v>
      </c>
      <c r="AE112" s="14">
        <v>0.97879291074120423</v>
      </c>
      <c r="AF112">
        <v>32.841999999999999</v>
      </c>
      <c r="AG112" s="14">
        <v>0.9776441520554876</v>
      </c>
      <c r="AH112">
        <v>54</v>
      </c>
      <c r="AJ112">
        <v>110</v>
      </c>
      <c r="AK112">
        <v>119.383769</v>
      </c>
      <c r="AL112" s="14">
        <v>0.97004308519410298</v>
      </c>
      <c r="AM112">
        <v>33.091000000000001</v>
      </c>
      <c r="AN112" s="14">
        <v>0.96796934417597846</v>
      </c>
      <c r="AO112">
        <v>54</v>
      </c>
      <c r="AQ112">
        <v>110</v>
      </c>
      <c r="AR112">
        <v>118.137956</v>
      </c>
      <c r="AS112" s="14">
        <v>0.96961715201821252</v>
      </c>
      <c r="AT112">
        <v>32.798000000000002</v>
      </c>
      <c r="AU112" s="14">
        <v>0.96854974455895826</v>
      </c>
      <c r="AV112">
        <v>54</v>
      </c>
      <c r="AX112">
        <v>110</v>
      </c>
      <c r="AY112">
        <v>120.05045699999999</v>
      </c>
      <c r="AZ112" s="14">
        <v>0.97110459940971461</v>
      </c>
      <c r="BA112">
        <v>33.308999999999997</v>
      </c>
      <c r="BB112" s="14">
        <v>0.97042885444586879</v>
      </c>
      <c r="BC112">
        <v>54</v>
      </c>
    </row>
    <row r="113" spans="15:55" x14ac:dyDescent="0.35">
      <c r="O113">
        <v>111</v>
      </c>
      <c r="P113">
        <v>119.677362</v>
      </c>
      <c r="Q113" s="14">
        <v>0.97552577029821619</v>
      </c>
      <c r="R113">
        <v>33.137</v>
      </c>
      <c r="S113" s="14">
        <v>0.97651323156715986</v>
      </c>
      <c r="T113">
        <v>54</v>
      </c>
      <c r="V113">
        <v>111</v>
      </c>
      <c r="W113">
        <v>119.679768</v>
      </c>
      <c r="X113" s="14">
        <v>0.97640907716607384</v>
      </c>
      <c r="Y113">
        <v>33.082000000000001</v>
      </c>
      <c r="Z113" s="14">
        <v>0.97650392585158508</v>
      </c>
      <c r="AA113">
        <v>54</v>
      </c>
      <c r="AC113">
        <v>111</v>
      </c>
      <c r="AD113">
        <v>118.784294</v>
      </c>
      <c r="AE113" s="14">
        <v>0.97832334404231147</v>
      </c>
      <c r="AF113">
        <v>32.829000000000001</v>
      </c>
      <c r="AG113" s="14">
        <v>0.97725716667162799</v>
      </c>
      <c r="AH113">
        <v>54</v>
      </c>
      <c r="AJ113">
        <v>111</v>
      </c>
      <c r="AK113">
        <v>119.33646899999999</v>
      </c>
      <c r="AL113" s="14">
        <v>0.969658752899068</v>
      </c>
      <c r="AM113">
        <v>33.076999999999998</v>
      </c>
      <c r="AN113" s="14">
        <v>0.96755981980927863</v>
      </c>
      <c r="AO113">
        <v>54</v>
      </c>
      <c r="AQ113">
        <v>111</v>
      </c>
      <c r="AR113">
        <v>118.07044500000001</v>
      </c>
      <c r="AS113" s="14">
        <v>0.96906305555534578</v>
      </c>
      <c r="AT113">
        <v>32.777999999999999</v>
      </c>
      <c r="AU113" s="14">
        <v>0.96795912943330475</v>
      </c>
      <c r="AV113">
        <v>54</v>
      </c>
      <c r="AX113">
        <v>111</v>
      </c>
      <c r="AY113">
        <v>119.993487</v>
      </c>
      <c r="AZ113" s="14">
        <v>0.97064376127206087</v>
      </c>
      <c r="BA113">
        <v>33.292999999999999</v>
      </c>
      <c r="BB113" s="14">
        <v>0.96996270830905496</v>
      </c>
      <c r="BC113">
        <v>54</v>
      </c>
    </row>
    <row r="114" spans="15:55" x14ac:dyDescent="0.35">
      <c r="O114">
        <v>112</v>
      </c>
      <c r="P114">
        <v>119.708439</v>
      </c>
      <c r="Q114" s="14">
        <v>0.97577908816766878</v>
      </c>
      <c r="R114">
        <v>33.143000000000001</v>
      </c>
      <c r="S114" s="14">
        <v>0.9766900453822126</v>
      </c>
      <c r="T114">
        <v>54</v>
      </c>
      <c r="V114">
        <v>112</v>
      </c>
      <c r="W114">
        <v>119.66373400000001</v>
      </c>
      <c r="X114" s="14">
        <v>0.97627826355066583</v>
      </c>
      <c r="Y114">
        <v>33.078000000000003</v>
      </c>
      <c r="Z114" s="14">
        <v>0.97638585512722131</v>
      </c>
      <c r="AA114">
        <v>54</v>
      </c>
      <c r="AC114">
        <v>112</v>
      </c>
      <c r="AD114">
        <v>118.771506</v>
      </c>
      <c r="AE114" s="14">
        <v>0.97821802036270433</v>
      </c>
      <c r="AF114">
        <v>32.823999999999998</v>
      </c>
      <c r="AG114" s="14">
        <v>0.97710832613937415</v>
      </c>
      <c r="AH114">
        <v>54</v>
      </c>
      <c r="AJ114">
        <v>112</v>
      </c>
      <c r="AK114">
        <v>119.246233</v>
      </c>
      <c r="AL114" s="14">
        <v>0.96892554763533101</v>
      </c>
      <c r="AM114">
        <v>33.055</v>
      </c>
      <c r="AN114" s="14">
        <v>0.96691628151875031</v>
      </c>
      <c r="AO114">
        <v>54</v>
      </c>
      <c r="AQ114">
        <v>112</v>
      </c>
      <c r="AR114">
        <v>117.992439</v>
      </c>
      <c r="AS114" s="14">
        <v>0.96842282139080405</v>
      </c>
      <c r="AT114">
        <v>32.759</v>
      </c>
      <c r="AU114" s="14">
        <v>0.96739804506393412</v>
      </c>
      <c r="AV114">
        <v>54</v>
      </c>
      <c r="AX114">
        <v>112</v>
      </c>
      <c r="AY114">
        <v>119.97775900000001</v>
      </c>
      <c r="AZ114" s="14">
        <v>0.97051653532456184</v>
      </c>
      <c r="BA114">
        <v>33.29</v>
      </c>
      <c r="BB114" s="14">
        <v>0.96987530590840232</v>
      </c>
      <c r="BC114">
        <v>54</v>
      </c>
    </row>
    <row r="115" spans="15:55" x14ac:dyDescent="0.35">
      <c r="O115">
        <v>113</v>
      </c>
      <c r="P115">
        <v>119.65601700000001</v>
      </c>
      <c r="Q115" s="14">
        <v>0.97535178085510821</v>
      </c>
      <c r="R115">
        <v>33.128</v>
      </c>
      <c r="S115" s="14">
        <v>0.97624801084458068</v>
      </c>
      <c r="T115">
        <v>54</v>
      </c>
      <c r="V115">
        <v>113</v>
      </c>
      <c r="W115">
        <v>119.675583</v>
      </c>
      <c r="X115" s="14">
        <v>0.9763749337844797</v>
      </c>
      <c r="Y115">
        <v>33.082000000000001</v>
      </c>
      <c r="Z115" s="14">
        <v>0.97650392585158508</v>
      </c>
      <c r="AA115">
        <v>54</v>
      </c>
      <c r="AC115">
        <v>113</v>
      </c>
      <c r="AD115">
        <v>118.788681</v>
      </c>
      <c r="AE115" s="14">
        <v>0.97835947596148853</v>
      </c>
      <c r="AF115">
        <v>32.829000000000001</v>
      </c>
      <c r="AG115" s="14">
        <v>0.97725716667162799</v>
      </c>
      <c r="AH115">
        <v>54</v>
      </c>
      <c r="AJ115">
        <v>113</v>
      </c>
      <c r="AK115">
        <v>119.199792</v>
      </c>
      <c r="AL115" s="14">
        <v>0.9685481950747874</v>
      </c>
      <c r="AM115">
        <v>33.042999999999999</v>
      </c>
      <c r="AN115" s="14">
        <v>0.96656526063300763</v>
      </c>
      <c r="AO115">
        <v>54</v>
      </c>
      <c r="AQ115">
        <v>113</v>
      </c>
      <c r="AR115">
        <v>117.962975</v>
      </c>
      <c r="AS115" s="14">
        <v>0.9681809956411942</v>
      </c>
      <c r="AT115">
        <v>32.75</v>
      </c>
      <c r="AU115" s="14">
        <v>0.96713226825739007</v>
      </c>
      <c r="AV115">
        <v>54</v>
      </c>
      <c r="AX115">
        <v>113</v>
      </c>
      <c r="AY115">
        <v>120.018642</v>
      </c>
      <c r="AZ115" s="14">
        <v>0.97084724351451623</v>
      </c>
      <c r="BA115">
        <v>33.296999999999997</v>
      </c>
      <c r="BB115" s="14">
        <v>0.97007924484325836</v>
      </c>
      <c r="BC115">
        <v>54</v>
      </c>
    </row>
    <row r="116" spans="15:55" x14ac:dyDescent="0.35">
      <c r="O116">
        <v>114</v>
      </c>
      <c r="P116">
        <v>119.613438</v>
      </c>
      <c r="Q116" s="14">
        <v>0.97500470676290407</v>
      </c>
      <c r="R116">
        <v>33.116999999999997</v>
      </c>
      <c r="S116" s="14">
        <v>0.97592385218365063</v>
      </c>
      <c r="T116">
        <v>54</v>
      </c>
      <c r="V116">
        <v>114</v>
      </c>
      <c r="W116">
        <v>119.720168</v>
      </c>
      <c r="X116" s="14">
        <v>0.97673868113654205</v>
      </c>
      <c r="Y116">
        <v>33.091000000000001</v>
      </c>
      <c r="Z116" s="14">
        <v>0.97676958498140387</v>
      </c>
      <c r="AA116">
        <v>54</v>
      </c>
      <c r="AC116">
        <v>114</v>
      </c>
      <c r="AD116">
        <v>118.842812</v>
      </c>
      <c r="AE116" s="14">
        <v>0.97880530612264061</v>
      </c>
      <c r="AF116">
        <v>32.841000000000001</v>
      </c>
      <c r="AG116" s="14">
        <v>0.97761438394903688</v>
      </c>
      <c r="AH116">
        <v>54</v>
      </c>
      <c r="AJ116">
        <v>114</v>
      </c>
      <c r="AK116">
        <v>119.209491</v>
      </c>
      <c r="AL116" s="14">
        <v>0.9686270035088157</v>
      </c>
      <c r="AM116">
        <v>33.042000000000002</v>
      </c>
      <c r="AN116" s="14">
        <v>0.96653600889252911</v>
      </c>
      <c r="AO116">
        <v>54</v>
      </c>
      <c r="AQ116">
        <v>114</v>
      </c>
      <c r="AR116">
        <v>117.97917200000001</v>
      </c>
      <c r="AS116" s="14">
        <v>0.96831393250198805</v>
      </c>
      <c r="AT116">
        <v>32.752000000000002</v>
      </c>
      <c r="AU116" s="14">
        <v>0.96719132976995548</v>
      </c>
      <c r="AV116">
        <v>54</v>
      </c>
      <c r="AX116">
        <v>114</v>
      </c>
      <c r="AY116">
        <v>120.032269</v>
      </c>
      <c r="AZ116" s="14">
        <v>0.97095747418507627</v>
      </c>
      <c r="BA116">
        <v>33.299999999999997</v>
      </c>
      <c r="BB116" s="14">
        <v>0.97016664724391088</v>
      </c>
      <c r="BC116">
        <v>54</v>
      </c>
    </row>
    <row r="117" spans="15:55" x14ac:dyDescent="0.35">
      <c r="O117">
        <v>115</v>
      </c>
      <c r="P117">
        <v>119.62196400000001</v>
      </c>
      <c r="Q117" s="14">
        <v>0.9750742047245784</v>
      </c>
      <c r="R117">
        <v>33.118000000000002</v>
      </c>
      <c r="S117" s="14">
        <v>0.97595332115282618</v>
      </c>
      <c r="T117">
        <v>54</v>
      </c>
      <c r="V117">
        <v>115</v>
      </c>
      <c r="W117">
        <v>119.70469199999999</v>
      </c>
      <c r="X117" s="14">
        <v>0.9766124199720132</v>
      </c>
      <c r="Y117">
        <v>33.085000000000001</v>
      </c>
      <c r="Z117" s="14">
        <v>0.97659247889485801</v>
      </c>
      <c r="AA117">
        <v>54</v>
      </c>
      <c r="AC117">
        <v>115</v>
      </c>
      <c r="AD117">
        <v>118.827522</v>
      </c>
      <c r="AE117" s="14">
        <v>0.97867937563615381</v>
      </c>
      <c r="AF117">
        <v>32.834000000000003</v>
      </c>
      <c r="AG117" s="14">
        <v>0.97740600720388171</v>
      </c>
      <c r="AH117">
        <v>54</v>
      </c>
      <c r="AJ117">
        <v>115</v>
      </c>
      <c r="AK117">
        <v>119.256479</v>
      </c>
      <c r="AL117" s="14">
        <v>0.96900880067327866</v>
      </c>
      <c r="AM117">
        <v>33.052999999999997</v>
      </c>
      <c r="AN117" s="14">
        <v>0.96685777803779316</v>
      </c>
      <c r="AO117">
        <v>54</v>
      </c>
      <c r="AQ117">
        <v>115</v>
      </c>
      <c r="AR117">
        <v>118.016171</v>
      </c>
      <c r="AS117" s="14">
        <v>0.96861760175632594</v>
      </c>
      <c r="AT117">
        <v>32.758000000000003</v>
      </c>
      <c r="AU117" s="14">
        <v>0.96736851430765147</v>
      </c>
      <c r="AV117">
        <v>54</v>
      </c>
      <c r="AX117">
        <v>115</v>
      </c>
      <c r="AY117">
        <v>119.985934</v>
      </c>
      <c r="AZ117" s="14">
        <v>0.97058266401993343</v>
      </c>
      <c r="BA117">
        <v>33.287999999999997</v>
      </c>
      <c r="BB117" s="14">
        <v>0.96981703764130056</v>
      </c>
      <c r="BC117">
        <v>54</v>
      </c>
    </row>
    <row r="118" spans="15:55" x14ac:dyDescent="0.35">
      <c r="O118">
        <v>116</v>
      </c>
      <c r="P118">
        <v>119.635912</v>
      </c>
      <c r="Q118" s="14">
        <v>0.97518789902078229</v>
      </c>
      <c r="R118">
        <v>33.119999999999997</v>
      </c>
      <c r="S118" s="14">
        <v>0.97601225909117695</v>
      </c>
      <c r="T118">
        <v>54</v>
      </c>
      <c r="V118">
        <v>116</v>
      </c>
      <c r="W118">
        <v>119.650915</v>
      </c>
      <c r="X118" s="14">
        <v>0.97617367955815515</v>
      </c>
      <c r="Y118">
        <v>33.070999999999998</v>
      </c>
      <c r="Z118" s="14">
        <v>0.97617923135958429</v>
      </c>
      <c r="AA118">
        <v>54</v>
      </c>
      <c r="AC118">
        <v>116</v>
      </c>
      <c r="AD118">
        <v>118.762489</v>
      </c>
      <c r="AE118" s="14">
        <v>0.9781437551438259</v>
      </c>
      <c r="AF118">
        <v>32.819000000000003</v>
      </c>
      <c r="AG118" s="14">
        <v>0.97695948560712054</v>
      </c>
      <c r="AH118">
        <v>54</v>
      </c>
      <c r="AJ118">
        <v>116</v>
      </c>
      <c r="AK118">
        <v>119.25589100000001</v>
      </c>
      <c r="AL118" s="14">
        <v>0.96900402292720089</v>
      </c>
      <c r="AM118">
        <v>33.048000000000002</v>
      </c>
      <c r="AN118" s="14">
        <v>0.96671151933540056</v>
      </c>
      <c r="AO118">
        <v>54</v>
      </c>
      <c r="AQ118">
        <v>116</v>
      </c>
      <c r="AR118">
        <v>118.00867700000001</v>
      </c>
      <c r="AS118" s="14">
        <v>0.96855609475905557</v>
      </c>
      <c r="AT118">
        <v>32.753999999999998</v>
      </c>
      <c r="AU118" s="14">
        <v>0.96725039128252066</v>
      </c>
      <c r="AV118">
        <v>54</v>
      </c>
      <c r="AX118">
        <v>116</v>
      </c>
      <c r="AY118">
        <v>119.930548</v>
      </c>
      <c r="AZ118" s="14">
        <v>0.97013463907536446</v>
      </c>
      <c r="BA118">
        <v>33.273000000000003</v>
      </c>
      <c r="BB118" s="14">
        <v>0.96938002563803771</v>
      </c>
      <c r="BC118">
        <v>54</v>
      </c>
    </row>
    <row r="119" spans="15:55" x14ac:dyDescent="0.35">
      <c r="O119">
        <v>117</v>
      </c>
      <c r="P119">
        <v>119.622242</v>
      </c>
      <c r="Q119" s="14">
        <v>0.97507647078525694</v>
      </c>
      <c r="R119">
        <v>33.116</v>
      </c>
      <c r="S119" s="14">
        <v>0.97589438321447519</v>
      </c>
      <c r="T119">
        <v>54</v>
      </c>
      <c r="V119">
        <v>117</v>
      </c>
      <c r="W119">
        <v>119.625648</v>
      </c>
      <c r="X119" s="14">
        <v>0.97596753838187245</v>
      </c>
      <c r="Y119">
        <v>33.064</v>
      </c>
      <c r="Z119" s="14">
        <v>0.97597260759194759</v>
      </c>
      <c r="AA119">
        <v>54</v>
      </c>
      <c r="AC119">
        <v>117</v>
      </c>
      <c r="AD119">
        <v>118.74582700000001</v>
      </c>
      <c r="AE119" s="14">
        <v>0.97800652468170413</v>
      </c>
      <c r="AF119">
        <v>32.814</v>
      </c>
      <c r="AG119" s="14">
        <v>0.9768106450748667</v>
      </c>
      <c r="AH119">
        <v>54</v>
      </c>
      <c r="AJ119">
        <v>117</v>
      </c>
      <c r="AK119">
        <v>119.20374099999999</v>
      </c>
      <c r="AL119" s="14">
        <v>0.96858028235244253</v>
      </c>
      <c r="AM119">
        <v>33.036000000000001</v>
      </c>
      <c r="AN119" s="14">
        <v>0.96636049844965777</v>
      </c>
      <c r="AO119">
        <v>54</v>
      </c>
      <c r="AQ119">
        <v>117</v>
      </c>
      <c r="AR119">
        <v>117.935675</v>
      </c>
      <c r="AS119" s="14">
        <v>0.96795693091935242</v>
      </c>
      <c r="AT119">
        <v>32.734999999999999</v>
      </c>
      <c r="AU119" s="14">
        <v>0.96668930691315003</v>
      </c>
      <c r="AV119">
        <v>54</v>
      </c>
      <c r="AX119">
        <v>117</v>
      </c>
      <c r="AY119">
        <v>119.931021</v>
      </c>
      <c r="AZ119" s="14">
        <v>0.97013846523718839</v>
      </c>
      <c r="BA119">
        <v>33.273000000000003</v>
      </c>
      <c r="BB119" s="14">
        <v>0.96938002563803771</v>
      </c>
      <c r="BC119">
        <v>54</v>
      </c>
    </row>
    <row r="120" spans="15:55" x14ac:dyDescent="0.35">
      <c r="O120">
        <v>118</v>
      </c>
      <c r="P120">
        <v>119.560001</v>
      </c>
      <c r="Q120" s="14">
        <v>0.97456912588347733</v>
      </c>
      <c r="R120">
        <v>33.098999999999997</v>
      </c>
      <c r="S120" s="14">
        <v>0.97539341073849239</v>
      </c>
      <c r="T120">
        <v>54</v>
      </c>
      <c r="V120">
        <v>118</v>
      </c>
      <c r="W120">
        <v>119.648518</v>
      </c>
      <c r="X120" s="14">
        <v>0.97615412359980824</v>
      </c>
      <c r="Y120">
        <v>33.069000000000003</v>
      </c>
      <c r="Z120" s="14">
        <v>0.97612019599740252</v>
      </c>
      <c r="AA120">
        <v>54</v>
      </c>
      <c r="AC120">
        <v>118</v>
      </c>
      <c r="AD120">
        <v>118.775195</v>
      </c>
      <c r="AE120" s="14">
        <v>0.97824840346045772</v>
      </c>
      <c r="AF120">
        <v>32.819000000000003</v>
      </c>
      <c r="AG120" s="14">
        <v>0.97695948560712054</v>
      </c>
      <c r="AH120">
        <v>54</v>
      </c>
      <c r="AJ120">
        <v>118</v>
      </c>
      <c r="AK120">
        <v>119.14778</v>
      </c>
      <c r="AL120" s="14">
        <v>0.96812557580778202</v>
      </c>
      <c r="AM120">
        <v>33.018999999999998</v>
      </c>
      <c r="AN120" s="14">
        <v>0.96586321886152227</v>
      </c>
      <c r="AO120">
        <v>54</v>
      </c>
      <c r="AQ120">
        <v>118</v>
      </c>
      <c r="AR120">
        <v>117.905342</v>
      </c>
      <c r="AS120" s="14">
        <v>0.96770797285313903</v>
      </c>
      <c r="AT120">
        <v>32.728999999999999</v>
      </c>
      <c r="AU120" s="14">
        <v>0.96651212237545403</v>
      </c>
      <c r="AV120">
        <v>54</v>
      </c>
      <c r="AX120">
        <v>118</v>
      </c>
      <c r="AY120">
        <v>119.93124299999999</v>
      </c>
      <c r="AZ120" s="14">
        <v>0.97014026102561313</v>
      </c>
      <c r="BA120">
        <v>33.273000000000003</v>
      </c>
      <c r="BB120" s="14">
        <v>0.96938002563803771</v>
      </c>
      <c r="BC120">
        <v>54</v>
      </c>
    </row>
    <row r="121" spans="15:55" x14ac:dyDescent="0.35">
      <c r="O121">
        <v>119</v>
      </c>
      <c r="P121">
        <v>119.50320000000001</v>
      </c>
      <c r="Q121" s="14">
        <v>0.97410612403958063</v>
      </c>
      <c r="R121">
        <v>33.084000000000003</v>
      </c>
      <c r="S121" s="14">
        <v>0.9749513762008607</v>
      </c>
      <c r="T121">
        <v>54</v>
      </c>
      <c r="V121">
        <v>119</v>
      </c>
      <c r="W121">
        <v>119.651689</v>
      </c>
      <c r="X121" s="14">
        <v>0.97617999424808444</v>
      </c>
      <c r="Y121">
        <v>33.067999999999998</v>
      </c>
      <c r="Z121" s="14">
        <v>0.97609067831631136</v>
      </c>
      <c r="AA121">
        <v>54</v>
      </c>
      <c r="AC121">
        <v>119</v>
      </c>
      <c r="AD121">
        <v>118.777208</v>
      </c>
      <c r="AE121" s="14">
        <v>0.97826498279788732</v>
      </c>
      <c r="AF121">
        <v>32.819000000000003</v>
      </c>
      <c r="AG121" s="14">
        <v>0.97695948560712054</v>
      </c>
      <c r="AH121">
        <v>54</v>
      </c>
      <c r="AJ121">
        <v>119</v>
      </c>
      <c r="AK121">
        <v>119.167175</v>
      </c>
      <c r="AL121" s="14">
        <v>0.96828316829958327</v>
      </c>
      <c r="AM121">
        <v>33.024999999999999</v>
      </c>
      <c r="AN121" s="14">
        <v>0.96603872930439361</v>
      </c>
      <c r="AO121">
        <v>54</v>
      </c>
      <c r="AQ121">
        <v>119</v>
      </c>
      <c r="AR121">
        <v>117.910003</v>
      </c>
      <c r="AS121" s="14">
        <v>0.96774622800583154</v>
      </c>
      <c r="AT121">
        <v>32.725000000000001</v>
      </c>
      <c r="AU121" s="14">
        <v>0.96639399935032344</v>
      </c>
      <c r="AV121">
        <v>54</v>
      </c>
      <c r="AX121">
        <v>119</v>
      </c>
      <c r="AY121">
        <v>119.928364</v>
      </c>
      <c r="AZ121" s="14">
        <v>0.97011697240005046</v>
      </c>
      <c r="BA121">
        <v>33.268999999999998</v>
      </c>
      <c r="BB121" s="14">
        <v>0.96926348910383409</v>
      </c>
      <c r="BC121">
        <v>54</v>
      </c>
    </row>
    <row r="122" spans="15:55" x14ac:dyDescent="0.35">
      <c r="O122">
        <v>120</v>
      </c>
      <c r="P122">
        <v>119.50184299999999</v>
      </c>
      <c r="Q122" s="14">
        <v>0.97409506272900204</v>
      </c>
      <c r="R122">
        <v>33.082999999999998</v>
      </c>
      <c r="S122" s="14">
        <v>0.97492190723168504</v>
      </c>
      <c r="T122">
        <v>54</v>
      </c>
      <c r="V122">
        <v>120</v>
      </c>
      <c r="W122">
        <v>119.613558</v>
      </c>
      <c r="X122" s="14">
        <v>0.97586890194615561</v>
      </c>
      <c r="Y122">
        <v>33.055999999999997</v>
      </c>
      <c r="Z122" s="14">
        <v>0.97573646614321974</v>
      </c>
      <c r="AA122">
        <v>54</v>
      </c>
      <c r="AC122">
        <v>120</v>
      </c>
      <c r="AD122">
        <v>118.737173</v>
      </c>
      <c r="AE122" s="14">
        <v>0.97793524917941133</v>
      </c>
      <c r="AF122">
        <v>32.808</v>
      </c>
      <c r="AG122" s="14">
        <v>0.97663203643616214</v>
      </c>
      <c r="AH122">
        <v>54</v>
      </c>
      <c r="AJ122">
        <v>120</v>
      </c>
      <c r="AK122">
        <v>119.14525399999999</v>
      </c>
      <c r="AL122" s="14">
        <v>0.96810505100065181</v>
      </c>
      <c r="AM122">
        <v>33.015999999999998</v>
      </c>
      <c r="AN122" s="14">
        <v>0.96577546364008648</v>
      </c>
      <c r="AO122">
        <v>54</v>
      </c>
      <c r="AQ122">
        <v>120</v>
      </c>
      <c r="AR122">
        <v>117.890523</v>
      </c>
      <c r="AS122" s="14">
        <v>0.96758634592592385</v>
      </c>
      <c r="AT122">
        <v>32.72</v>
      </c>
      <c r="AU122" s="14">
        <v>0.96624634556890998</v>
      </c>
      <c r="AV122">
        <v>54</v>
      </c>
      <c r="AX122">
        <v>120</v>
      </c>
      <c r="AY122">
        <v>119.86382399999999</v>
      </c>
      <c r="AZ122" s="14">
        <v>0.96959489949493938</v>
      </c>
      <c r="BA122">
        <v>33.252000000000002</v>
      </c>
      <c r="BB122" s="14">
        <v>0.96876820883346937</v>
      </c>
      <c r="BC122">
        <v>54</v>
      </c>
    </row>
    <row r="123" spans="15:55" x14ac:dyDescent="0.35">
      <c r="O123">
        <v>121</v>
      </c>
      <c r="P123">
        <v>119.510767</v>
      </c>
      <c r="Q123" s="14">
        <v>0.97416780490704358</v>
      </c>
      <c r="R123">
        <v>33.084000000000003</v>
      </c>
      <c r="S123" s="14">
        <v>0.9749513762008607</v>
      </c>
      <c r="T123">
        <v>54</v>
      </c>
      <c r="V123">
        <v>121</v>
      </c>
      <c r="W123">
        <v>119.548632</v>
      </c>
      <c r="X123" s="14">
        <v>0.97533920225836812</v>
      </c>
      <c r="Y123">
        <v>33.04</v>
      </c>
      <c r="Z123" s="14">
        <v>0.97526418324576414</v>
      </c>
      <c r="AA123">
        <v>54</v>
      </c>
      <c r="AC123">
        <v>121</v>
      </c>
      <c r="AD123">
        <v>118.67154600000001</v>
      </c>
      <c r="AE123" s="14">
        <v>0.97739473642357966</v>
      </c>
      <c r="AF123">
        <v>32.790999999999997</v>
      </c>
      <c r="AG123" s="14">
        <v>0.97612597862649941</v>
      </c>
      <c r="AH123">
        <v>54</v>
      </c>
      <c r="AJ123">
        <v>121</v>
      </c>
      <c r="AK123">
        <v>119.11590200000001</v>
      </c>
      <c r="AL123" s="14">
        <v>0.96786655371684926</v>
      </c>
      <c r="AM123">
        <v>33.006999999999998</v>
      </c>
      <c r="AN123" s="14">
        <v>0.96551219797577947</v>
      </c>
      <c r="AO123">
        <v>54</v>
      </c>
      <c r="AQ123">
        <v>121</v>
      </c>
      <c r="AR123">
        <v>117.85966500000001</v>
      </c>
      <c r="AS123" s="14">
        <v>0.967333078922752</v>
      </c>
      <c r="AT123">
        <v>32.707000000000001</v>
      </c>
      <c r="AU123" s="14">
        <v>0.96586244573723534</v>
      </c>
      <c r="AV123">
        <v>54</v>
      </c>
      <c r="AX123">
        <v>121</v>
      </c>
      <c r="AY123">
        <v>119.79548800000001</v>
      </c>
      <c r="AZ123" s="14">
        <v>0.96904212022559222</v>
      </c>
      <c r="BA123">
        <v>33.235999999999997</v>
      </c>
      <c r="BB123" s="14">
        <v>0.96830206269665542</v>
      </c>
      <c r="BC123">
        <v>54</v>
      </c>
    </row>
    <row r="124" spans="15:55" x14ac:dyDescent="0.35">
      <c r="O124">
        <v>122</v>
      </c>
      <c r="P124">
        <v>119.50843500000001</v>
      </c>
      <c r="Q124" s="14">
        <v>0.97414879608149529</v>
      </c>
      <c r="R124">
        <v>33.081000000000003</v>
      </c>
      <c r="S124" s="14">
        <v>0.97486296929333427</v>
      </c>
      <c r="T124">
        <v>54</v>
      </c>
      <c r="V124">
        <v>122</v>
      </c>
      <c r="W124">
        <v>119.52507300000001</v>
      </c>
      <c r="X124" s="14">
        <v>0.97514699582420339</v>
      </c>
      <c r="Y124">
        <v>33.033999999999999</v>
      </c>
      <c r="Z124" s="14">
        <v>0.97508707715921838</v>
      </c>
      <c r="AA124">
        <v>54</v>
      </c>
      <c r="AC124">
        <v>122</v>
      </c>
      <c r="AD124">
        <v>118.64485500000001</v>
      </c>
      <c r="AE124" s="14">
        <v>0.97717490577512855</v>
      </c>
      <c r="AF124">
        <v>32.783000000000001</v>
      </c>
      <c r="AG124" s="14">
        <v>0.97588783377489352</v>
      </c>
      <c r="AH124">
        <v>54</v>
      </c>
      <c r="AJ124">
        <v>122</v>
      </c>
      <c r="AK124">
        <v>119.050971</v>
      </c>
      <c r="AL124" s="14">
        <v>0.96733896216824655</v>
      </c>
      <c r="AM124">
        <v>32.988999999999997</v>
      </c>
      <c r="AN124" s="14">
        <v>0.96498566664716545</v>
      </c>
      <c r="AO124">
        <v>54</v>
      </c>
      <c r="AQ124">
        <v>122</v>
      </c>
      <c r="AR124">
        <v>117.788757</v>
      </c>
      <c r="AS124" s="14">
        <v>0.96675110158588906</v>
      </c>
      <c r="AT124">
        <v>32.691000000000003</v>
      </c>
      <c r="AU124" s="14">
        <v>0.96538995363671276</v>
      </c>
      <c r="AV124">
        <v>54</v>
      </c>
      <c r="AX124">
        <v>122</v>
      </c>
      <c r="AY124">
        <v>119.780749</v>
      </c>
      <c r="AZ124" s="14">
        <v>0.96892289443463409</v>
      </c>
      <c r="BA124">
        <v>33.232999999999997</v>
      </c>
      <c r="BB124" s="14">
        <v>0.96821466029600278</v>
      </c>
      <c r="BC124">
        <v>54</v>
      </c>
    </row>
    <row r="125" spans="15:55" x14ac:dyDescent="0.35">
      <c r="O125">
        <v>123</v>
      </c>
      <c r="P125">
        <v>119.443226</v>
      </c>
      <c r="Q125" s="14">
        <v>0.97361725812901789</v>
      </c>
      <c r="R125">
        <v>33.064</v>
      </c>
      <c r="S125" s="14">
        <v>0.97436199681735136</v>
      </c>
      <c r="T125">
        <v>54</v>
      </c>
      <c r="V125">
        <v>123</v>
      </c>
      <c r="W125">
        <v>119.543351</v>
      </c>
      <c r="X125" s="14">
        <v>0.97529611714529774</v>
      </c>
      <c r="Y125">
        <v>33.036999999999999</v>
      </c>
      <c r="Z125" s="14">
        <v>0.97517563020249121</v>
      </c>
      <c r="AA125">
        <v>54</v>
      </c>
      <c r="AC125">
        <v>123</v>
      </c>
      <c r="AD125">
        <v>118.66866</v>
      </c>
      <c r="AE125" s="14">
        <v>0.97737096694130365</v>
      </c>
      <c r="AF125">
        <v>32.789000000000001</v>
      </c>
      <c r="AG125" s="14">
        <v>0.97606644241359797</v>
      </c>
      <c r="AH125">
        <v>54</v>
      </c>
      <c r="AJ125">
        <v>123</v>
      </c>
      <c r="AK125">
        <v>118.9884</v>
      </c>
      <c r="AL125" s="14">
        <v>0.96683054660730305</v>
      </c>
      <c r="AM125">
        <v>32.973999999999997</v>
      </c>
      <c r="AN125" s="14">
        <v>0.96454689053998699</v>
      </c>
      <c r="AO125">
        <v>54</v>
      </c>
      <c r="AQ125">
        <v>123</v>
      </c>
      <c r="AR125">
        <v>117.743359</v>
      </c>
      <c r="AS125" s="14">
        <v>0.9663784975477141</v>
      </c>
      <c r="AT125">
        <v>32.677</v>
      </c>
      <c r="AU125" s="14">
        <v>0.96497652304875525</v>
      </c>
      <c r="AV125">
        <v>54</v>
      </c>
      <c r="AX125">
        <v>123</v>
      </c>
      <c r="AY125">
        <v>119.785877</v>
      </c>
      <c r="AZ125" s="14">
        <v>0.96896437552941883</v>
      </c>
      <c r="BA125">
        <v>33.231999999999999</v>
      </c>
      <c r="BB125" s="14">
        <v>0.96818552616245201</v>
      </c>
      <c r="BC125">
        <v>54</v>
      </c>
    </row>
    <row r="126" spans="15:55" x14ac:dyDescent="0.35">
      <c r="O126">
        <v>124</v>
      </c>
      <c r="P126">
        <v>119.38464</v>
      </c>
      <c r="Q126" s="14">
        <v>0.97313970621925328</v>
      </c>
      <c r="R126">
        <v>33.048000000000002</v>
      </c>
      <c r="S126" s="14">
        <v>0.97389049331054411</v>
      </c>
      <c r="T126">
        <v>54</v>
      </c>
      <c r="V126">
        <v>124</v>
      </c>
      <c r="W126">
        <v>119.54777300000001</v>
      </c>
      <c r="X126" s="14">
        <v>0.9753321940947387</v>
      </c>
      <c r="Y126">
        <v>33.036999999999999</v>
      </c>
      <c r="Z126" s="14">
        <v>0.97517563020249121</v>
      </c>
      <c r="AA126">
        <v>54</v>
      </c>
      <c r="AC126">
        <v>124</v>
      </c>
      <c r="AD126">
        <v>118.67800099999999</v>
      </c>
      <c r="AE126" s="14">
        <v>0.97744790066754772</v>
      </c>
      <c r="AF126">
        <v>32.789000000000001</v>
      </c>
      <c r="AG126" s="14">
        <v>0.97606644241359797</v>
      </c>
      <c r="AH126">
        <v>54</v>
      </c>
      <c r="AJ126">
        <v>124</v>
      </c>
      <c r="AK126">
        <v>118.989149</v>
      </c>
      <c r="AL126" s="14">
        <v>0.96683663254575924</v>
      </c>
      <c r="AM126">
        <v>32.972000000000001</v>
      </c>
      <c r="AN126" s="14">
        <v>0.96448838705903006</v>
      </c>
      <c r="AO126">
        <v>54</v>
      </c>
      <c r="AQ126">
        <v>124</v>
      </c>
      <c r="AR126">
        <v>117.759871</v>
      </c>
      <c r="AS126" s="14">
        <v>0.96651401977068307</v>
      </c>
      <c r="AT126">
        <v>32.679000000000002</v>
      </c>
      <c r="AU126" s="14">
        <v>0.96503558456132066</v>
      </c>
      <c r="AV126">
        <v>54</v>
      </c>
      <c r="AX126">
        <v>124</v>
      </c>
      <c r="AY126">
        <v>119.779856</v>
      </c>
      <c r="AZ126" s="14">
        <v>0.96891567083524976</v>
      </c>
      <c r="BA126">
        <v>33.228000000000002</v>
      </c>
      <c r="BB126" s="14">
        <v>0.9680689896282485</v>
      </c>
      <c r="BC126">
        <v>54</v>
      </c>
    </row>
    <row r="127" spans="15:55" x14ac:dyDescent="0.35">
      <c r="O127">
        <v>125</v>
      </c>
      <c r="P127">
        <v>119.383635</v>
      </c>
      <c r="Q127" s="14">
        <v>0.97313151416536126</v>
      </c>
      <c r="R127">
        <v>33.048000000000002</v>
      </c>
      <c r="S127" s="14">
        <v>0.97389049331054411</v>
      </c>
      <c r="T127">
        <v>54</v>
      </c>
      <c r="V127">
        <v>125</v>
      </c>
      <c r="W127">
        <v>119.510682</v>
      </c>
      <c r="X127" s="14">
        <v>0.97502958664749517</v>
      </c>
      <c r="Y127">
        <v>33.024999999999999</v>
      </c>
      <c r="Z127" s="14">
        <v>0.97482141802939959</v>
      </c>
      <c r="AA127">
        <v>54</v>
      </c>
      <c r="AC127">
        <v>125</v>
      </c>
      <c r="AD127">
        <v>118.643421</v>
      </c>
      <c r="AE127" s="14">
        <v>0.97716309515919508</v>
      </c>
      <c r="AF127">
        <v>32.779000000000003</v>
      </c>
      <c r="AG127" s="14">
        <v>0.97576876134909063</v>
      </c>
      <c r="AH127">
        <v>54</v>
      </c>
      <c r="AJ127">
        <v>125</v>
      </c>
      <c r="AK127">
        <v>118.990089</v>
      </c>
      <c r="AL127" s="14">
        <v>0.966844270439149</v>
      </c>
      <c r="AM127">
        <v>32.97</v>
      </c>
      <c r="AN127" s="14">
        <v>0.96442988357807291</v>
      </c>
      <c r="AO127">
        <v>54</v>
      </c>
      <c r="AQ127">
        <v>125</v>
      </c>
      <c r="AR127">
        <v>117.765006</v>
      </c>
      <c r="AS127" s="14">
        <v>0.96655616527788668</v>
      </c>
      <c r="AT127">
        <v>32.677</v>
      </c>
      <c r="AU127" s="14">
        <v>0.96497652304875525</v>
      </c>
      <c r="AV127">
        <v>54</v>
      </c>
      <c r="AX127">
        <v>125</v>
      </c>
      <c r="AY127">
        <v>119.719374</v>
      </c>
      <c r="AZ127" s="14">
        <v>0.96842642364828158</v>
      </c>
      <c r="BA127">
        <v>33.212000000000003</v>
      </c>
      <c r="BB127" s="14">
        <v>0.96760284349143466</v>
      </c>
      <c r="BC127">
        <v>54</v>
      </c>
    </row>
    <row r="128" spans="15:55" x14ac:dyDescent="0.35">
      <c r="O128">
        <v>126</v>
      </c>
      <c r="P128">
        <v>119.38653499999999</v>
      </c>
      <c r="Q128" s="14">
        <v>0.9731551529278355</v>
      </c>
      <c r="R128">
        <v>33.045999999999999</v>
      </c>
      <c r="S128" s="14">
        <v>0.97383155537219313</v>
      </c>
      <c r="T128">
        <v>54</v>
      </c>
      <c r="V128">
        <v>126</v>
      </c>
      <c r="W128">
        <v>119.44824300000001</v>
      </c>
      <c r="X128" s="14">
        <v>0.97452017718432538</v>
      </c>
      <c r="Y128">
        <v>33.01</v>
      </c>
      <c r="Z128" s="14">
        <v>0.97437865281303493</v>
      </c>
      <c r="AA128">
        <v>54</v>
      </c>
      <c r="AC128">
        <v>126</v>
      </c>
      <c r="AD128">
        <v>118.58004</v>
      </c>
      <c r="AE128" s="14">
        <v>0.97664108075997869</v>
      </c>
      <c r="AF128">
        <v>32.762999999999998</v>
      </c>
      <c r="AG128" s="14">
        <v>0.9752924716458784</v>
      </c>
      <c r="AH128">
        <v>54</v>
      </c>
      <c r="AJ128">
        <v>126</v>
      </c>
      <c r="AK128">
        <v>118.979201</v>
      </c>
      <c r="AL128" s="14">
        <v>0.96675580088252455</v>
      </c>
      <c r="AM128">
        <v>32.965000000000003</v>
      </c>
      <c r="AN128" s="14">
        <v>0.9642836248756802</v>
      </c>
      <c r="AO128">
        <v>54</v>
      </c>
      <c r="AQ128">
        <v>126</v>
      </c>
      <c r="AR128">
        <v>117.72235000000001</v>
      </c>
      <c r="AS128" s="14">
        <v>0.96620606620188365</v>
      </c>
      <c r="AT128">
        <v>32.665999999999997</v>
      </c>
      <c r="AU128" s="14">
        <v>0.9646516847296458</v>
      </c>
      <c r="AV128">
        <v>54</v>
      </c>
      <c r="AX128">
        <v>126</v>
      </c>
      <c r="AY128">
        <v>119.65690600000001</v>
      </c>
      <c r="AZ128" s="14">
        <v>0.96792111143513504</v>
      </c>
      <c r="BA128">
        <v>33.195999999999998</v>
      </c>
      <c r="BB128" s="14">
        <v>0.96713669735462071</v>
      </c>
      <c r="BC128">
        <v>54</v>
      </c>
    </row>
    <row r="129" spans="15:55" x14ac:dyDescent="0.35">
      <c r="O129">
        <v>127</v>
      </c>
      <c r="P129">
        <v>119.37752999999999</v>
      </c>
      <c r="Q129" s="14">
        <v>0.97308175049470425</v>
      </c>
      <c r="R129">
        <v>33.042000000000002</v>
      </c>
      <c r="S129" s="14">
        <v>0.97371367949549137</v>
      </c>
      <c r="T129">
        <v>54</v>
      </c>
      <c r="V129">
        <v>127</v>
      </c>
      <c r="W129">
        <v>119.403221</v>
      </c>
      <c r="X129" s="14">
        <v>0.97415286456159222</v>
      </c>
      <c r="Y129">
        <v>32.997999999999998</v>
      </c>
      <c r="Z129" s="14">
        <v>0.9740244406399432</v>
      </c>
      <c r="AA129">
        <v>54</v>
      </c>
      <c r="AC129">
        <v>127</v>
      </c>
      <c r="AD129">
        <v>118.535798</v>
      </c>
      <c r="AE129" s="14">
        <v>0.97627669772641779</v>
      </c>
      <c r="AF129">
        <v>32.750999999999998</v>
      </c>
      <c r="AG129" s="14">
        <v>0.9749352543684694</v>
      </c>
      <c r="AH129">
        <v>54</v>
      </c>
      <c r="AJ129">
        <v>127</v>
      </c>
      <c r="AK129">
        <v>118.910843</v>
      </c>
      <c r="AL129" s="14">
        <v>0.96620036352472338</v>
      </c>
      <c r="AM129">
        <v>32.945</v>
      </c>
      <c r="AN129" s="14">
        <v>0.96369859006610892</v>
      </c>
      <c r="AO129">
        <v>54</v>
      </c>
      <c r="AQ129">
        <v>127</v>
      </c>
      <c r="AR129">
        <v>117.64426</v>
      </c>
      <c r="AS129" s="14">
        <v>0.96556514260742854</v>
      </c>
      <c r="AT129">
        <v>32.646999999999998</v>
      </c>
      <c r="AU129" s="14">
        <v>0.96409060036027516</v>
      </c>
      <c r="AV129">
        <v>54</v>
      </c>
      <c r="AX129">
        <v>127</v>
      </c>
      <c r="AY129">
        <v>119.631128</v>
      </c>
      <c r="AZ129" s="14">
        <v>0.96771258966029849</v>
      </c>
      <c r="BA129">
        <v>33.19</v>
      </c>
      <c r="BB129" s="14">
        <v>0.96696189255331544</v>
      </c>
      <c r="BC129">
        <v>54</v>
      </c>
    </row>
    <row r="130" spans="15:55" x14ac:dyDescent="0.35">
      <c r="O130">
        <v>128</v>
      </c>
      <c r="P130">
        <v>119.3222</v>
      </c>
      <c r="Q130" s="14">
        <v>0.97263073920929011</v>
      </c>
      <c r="R130">
        <v>33.027999999999999</v>
      </c>
      <c r="S130" s="14">
        <v>0.97330111392703489</v>
      </c>
      <c r="T130">
        <v>54</v>
      </c>
      <c r="V130">
        <v>128</v>
      </c>
      <c r="W130">
        <v>119.42266499999999</v>
      </c>
      <c r="X130" s="14">
        <v>0.9743114987101511</v>
      </c>
      <c r="Y130">
        <v>33.002000000000002</v>
      </c>
      <c r="Z130" s="14">
        <v>0.9741425113643073</v>
      </c>
      <c r="AA130">
        <v>54</v>
      </c>
      <c r="AC130">
        <v>128</v>
      </c>
      <c r="AD130">
        <v>118.552611</v>
      </c>
      <c r="AE130" s="14">
        <v>0.97641517184475013</v>
      </c>
      <c r="AF130">
        <v>32.755000000000003</v>
      </c>
      <c r="AG130" s="14">
        <v>0.97505432679427262</v>
      </c>
      <c r="AH130">
        <v>54</v>
      </c>
      <c r="AJ130">
        <v>128</v>
      </c>
      <c r="AK130">
        <v>118.867178</v>
      </c>
      <c r="AL130" s="14">
        <v>0.96584556712593483</v>
      </c>
      <c r="AM130">
        <v>32.936</v>
      </c>
      <c r="AN130" s="14">
        <v>0.96343532440180191</v>
      </c>
      <c r="AO130">
        <v>54</v>
      </c>
      <c r="AQ130">
        <v>128</v>
      </c>
      <c r="AR130">
        <v>117.612796</v>
      </c>
      <c r="AS130" s="14">
        <v>0.96530690185988166</v>
      </c>
      <c r="AT130">
        <v>32.637</v>
      </c>
      <c r="AU130" s="14">
        <v>0.96379529279744858</v>
      </c>
      <c r="AV130">
        <v>54</v>
      </c>
      <c r="AX130">
        <v>128</v>
      </c>
      <c r="AY130">
        <v>119.61811400000001</v>
      </c>
      <c r="AZ130" s="14">
        <v>0.96760731763074914</v>
      </c>
      <c r="BA130">
        <v>33.183999999999997</v>
      </c>
      <c r="BB130" s="14">
        <v>0.96678708775201028</v>
      </c>
      <c r="BC130">
        <v>54</v>
      </c>
    </row>
    <row r="131" spans="15:55" x14ac:dyDescent="0.35">
      <c r="O131">
        <v>129</v>
      </c>
      <c r="P131">
        <v>119.27030000000001</v>
      </c>
      <c r="Q131" s="14">
        <v>0.97220768687397485</v>
      </c>
      <c r="R131">
        <v>33.015000000000001</v>
      </c>
      <c r="S131" s="14">
        <v>0.97291801732775396</v>
      </c>
      <c r="T131">
        <v>54</v>
      </c>
      <c r="V131">
        <v>129</v>
      </c>
      <c r="W131">
        <v>119.421558</v>
      </c>
      <c r="X131" s="14">
        <v>0.97430246723501979</v>
      </c>
      <c r="Y131">
        <v>33</v>
      </c>
      <c r="Z131" s="14">
        <v>0.9740834760021253</v>
      </c>
      <c r="AA131">
        <v>54</v>
      </c>
      <c r="AC131">
        <v>129</v>
      </c>
      <c r="AD131">
        <v>118.55439800000001</v>
      </c>
      <c r="AE131" s="14">
        <v>0.97642988981593082</v>
      </c>
      <c r="AF131">
        <v>32.753</v>
      </c>
      <c r="AG131" s="14">
        <v>0.97499479058137106</v>
      </c>
      <c r="AH131">
        <v>54</v>
      </c>
      <c r="AJ131">
        <v>129</v>
      </c>
      <c r="AK131">
        <v>118.843289</v>
      </c>
      <c r="AL131" s="14">
        <v>0.965651459003396</v>
      </c>
      <c r="AM131">
        <v>32.929000000000002</v>
      </c>
      <c r="AN131" s="14">
        <v>0.96323056221845205</v>
      </c>
      <c r="AO131">
        <v>54</v>
      </c>
      <c r="AQ131">
        <v>129</v>
      </c>
      <c r="AR131">
        <v>117.630444</v>
      </c>
      <c r="AS131" s="14">
        <v>0.96545174780167875</v>
      </c>
      <c r="AT131">
        <v>32.637999999999998</v>
      </c>
      <c r="AU131" s="14">
        <v>0.96382482355373111</v>
      </c>
      <c r="AV131">
        <v>54</v>
      </c>
      <c r="AX131">
        <v>129</v>
      </c>
      <c r="AY131">
        <v>119.604077</v>
      </c>
      <c r="AZ131" s="14">
        <v>0.96749377041399909</v>
      </c>
      <c r="BA131">
        <v>33.177999999999997</v>
      </c>
      <c r="BB131" s="14">
        <v>0.966612282950705</v>
      </c>
      <c r="BC131">
        <v>54</v>
      </c>
    </row>
    <row r="132" spans="15:55" x14ac:dyDescent="0.35">
      <c r="O132">
        <v>130</v>
      </c>
      <c r="P132">
        <v>119.268601</v>
      </c>
      <c r="Q132" s="14">
        <v>0.97219383781968383</v>
      </c>
      <c r="R132">
        <v>33.014000000000003</v>
      </c>
      <c r="S132" s="14">
        <v>0.97288854835857852</v>
      </c>
      <c r="T132">
        <v>54</v>
      </c>
      <c r="V132">
        <v>130</v>
      </c>
      <c r="W132">
        <v>119.386668</v>
      </c>
      <c r="X132" s="14">
        <v>0.97401781667735554</v>
      </c>
      <c r="Y132">
        <v>32.988999999999997</v>
      </c>
      <c r="Z132" s="14">
        <v>0.97375878151012452</v>
      </c>
      <c r="AA132">
        <v>54</v>
      </c>
      <c r="AC132">
        <v>130</v>
      </c>
      <c r="AD132">
        <v>118.530427</v>
      </c>
      <c r="AE132" s="14">
        <v>0.97623246145153741</v>
      </c>
      <c r="AF132">
        <v>32.746000000000002</v>
      </c>
      <c r="AG132" s="14">
        <v>0.97478641383621589</v>
      </c>
      <c r="AH132">
        <v>54</v>
      </c>
      <c r="AJ132">
        <v>130</v>
      </c>
      <c r="AK132">
        <v>118.864193</v>
      </c>
      <c r="AL132" s="14">
        <v>0.96582131275171335</v>
      </c>
      <c r="AM132">
        <v>32.930999999999997</v>
      </c>
      <c r="AN132" s="14">
        <v>0.96328906569940909</v>
      </c>
      <c r="AO132">
        <v>54</v>
      </c>
      <c r="AQ132">
        <v>130</v>
      </c>
      <c r="AR132">
        <v>117.627951</v>
      </c>
      <c r="AS132" s="14">
        <v>0.96543128650675014</v>
      </c>
      <c r="AT132">
        <v>32.634</v>
      </c>
      <c r="AU132" s="14">
        <v>0.96370670052860052</v>
      </c>
      <c r="AV132">
        <v>54</v>
      </c>
      <c r="AX132">
        <v>130</v>
      </c>
      <c r="AY132">
        <v>119.549643</v>
      </c>
      <c r="AZ132" s="14">
        <v>0.96705344632790025</v>
      </c>
      <c r="BA132">
        <v>33.164000000000001</v>
      </c>
      <c r="BB132" s="14">
        <v>0.96620440508099303</v>
      </c>
      <c r="BC132">
        <v>54</v>
      </c>
    </row>
    <row r="133" spans="15:55" x14ac:dyDescent="0.35">
      <c r="O133">
        <v>131</v>
      </c>
      <c r="P133">
        <v>119.28462500000001</v>
      </c>
      <c r="Q133" s="14">
        <v>0.97232445420930025</v>
      </c>
      <c r="R133">
        <v>33.015000000000001</v>
      </c>
      <c r="S133" s="14">
        <v>0.97291801732775396</v>
      </c>
      <c r="T133">
        <v>54</v>
      </c>
      <c r="V133">
        <v>131</v>
      </c>
      <c r="W133">
        <v>119.332674</v>
      </c>
      <c r="X133" s="14">
        <v>0.97357730586593327</v>
      </c>
      <c r="Y133">
        <v>32.975000000000001</v>
      </c>
      <c r="Z133" s="14">
        <v>0.97334553397485102</v>
      </c>
      <c r="AA133">
        <v>54</v>
      </c>
      <c r="AC133">
        <v>131</v>
      </c>
      <c r="AD133">
        <v>118.46785800000001</v>
      </c>
      <c r="AE133" s="14">
        <v>0.97571713479300304</v>
      </c>
      <c r="AF133">
        <v>32.729999999999997</v>
      </c>
      <c r="AG133" s="14">
        <v>0.97431012413300366</v>
      </c>
      <c r="AH133">
        <v>54</v>
      </c>
      <c r="AJ133">
        <v>131</v>
      </c>
      <c r="AK133">
        <v>118.846045</v>
      </c>
      <c r="AL133" s="14">
        <v>0.96567385265678118</v>
      </c>
      <c r="AM133">
        <v>32.926000000000002</v>
      </c>
      <c r="AN133" s="14">
        <v>0.96314280699701638</v>
      </c>
      <c r="AO133">
        <v>54</v>
      </c>
      <c r="AQ133">
        <v>131</v>
      </c>
      <c r="AR133">
        <v>117.61638000000001</v>
      </c>
      <c r="AS133" s="14">
        <v>0.96533631753618498</v>
      </c>
      <c r="AT133">
        <v>32.628999999999998</v>
      </c>
      <c r="AU133" s="14">
        <v>0.96355904674718718</v>
      </c>
      <c r="AV133">
        <v>54</v>
      </c>
      <c r="AX133">
        <v>131</v>
      </c>
      <c r="AY133">
        <v>119.49160999999999</v>
      </c>
      <c r="AZ133" s="14">
        <v>0.96658400943756384</v>
      </c>
      <c r="BA133">
        <v>33.148000000000003</v>
      </c>
      <c r="BB133" s="14">
        <v>0.9657382589441792</v>
      </c>
      <c r="BC133">
        <v>54</v>
      </c>
    </row>
    <row r="134" spans="15:55" x14ac:dyDescent="0.35">
      <c r="O134">
        <v>132</v>
      </c>
      <c r="P134">
        <v>119.279977</v>
      </c>
      <c r="Q134" s="14">
        <v>0.97228656697896221</v>
      </c>
      <c r="R134">
        <v>33.012999999999998</v>
      </c>
      <c r="S134" s="14">
        <v>0.97285907938940297</v>
      </c>
      <c r="T134">
        <v>54</v>
      </c>
      <c r="V134">
        <v>132</v>
      </c>
      <c r="W134">
        <v>119.306336</v>
      </c>
      <c r="X134" s="14">
        <v>0.9733624269210277</v>
      </c>
      <c r="Y134">
        <v>32.969000000000001</v>
      </c>
      <c r="Z134" s="14">
        <v>0.97316842788830515</v>
      </c>
      <c r="AA134">
        <v>54</v>
      </c>
      <c r="AC134">
        <v>132</v>
      </c>
      <c r="AD134">
        <v>118.432706</v>
      </c>
      <c r="AE134" s="14">
        <v>0.97542761821609114</v>
      </c>
      <c r="AF134">
        <v>32.720999999999997</v>
      </c>
      <c r="AG134" s="14">
        <v>0.97404221117494694</v>
      </c>
      <c r="AH134">
        <v>54</v>
      </c>
      <c r="AJ134">
        <v>132</v>
      </c>
      <c r="AK134">
        <v>118.795492</v>
      </c>
      <c r="AL134" s="14">
        <v>0.96526308837536678</v>
      </c>
      <c r="AM134">
        <v>32.911000000000001</v>
      </c>
      <c r="AN134" s="14">
        <v>0.96270403088983802</v>
      </c>
      <c r="AO134">
        <v>54</v>
      </c>
      <c r="AQ134">
        <v>132</v>
      </c>
      <c r="AR134">
        <v>117.538425</v>
      </c>
      <c r="AS134" s="14">
        <v>0.96469650195409062</v>
      </c>
      <c r="AT134">
        <v>32.610999999999997</v>
      </c>
      <c r="AU134" s="14">
        <v>0.96302749313409908</v>
      </c>
      <c r="AV134">
        <v>54</v>
      </c>
      <c r="AX134">
        <v>132</v>
      </c>
      <c r="AY134">
        <v>119.470477</v>
      </c>
      <c r="AZ134" s="14">
        <v>0.96641306170431762</v>
      </c>
      <c r="BA134">
        <v>33.143000000000001</v>
      </c>
      <c r="BB134" s="14">
        <v>0.96559258827642469</v>
      </c>
      <c r="BC134">
        <v>54</v>
      </c>
    </row>
    <row r="135" spans="15:55" x14ac:dyDescent="0.35">
      <c r="O135">
        <v>133</v>
      </c>
      <c r="P135">
        <v>119.23078700000001</v>
      </c>
      <c r="Q135" s="14">
        <v>0.97188560465961427</v>
      </c>
      <c r="R135">
        <v>32.997999999999998</v>
      </c>
      <c r="S135" s="14">
        <v>0.97241704485177105</v>
      </c>
      <c r="T135">
        <v>54</v>
      </c>
      <c r="V135">
        <v>133</v>
      </c>
      <c r="W135">
        <v>119.31982499999999</v>
      </c>
      <c r="X135" s="14">
        <v>0.973472477117999</v>
      </c>
      <c r="Y135">
        <v>32.970999999999997</v>
      </c>
      <c r="Z135" s="14">
        <v>0.97322746325048692</v>
      </c>
      <c r="AA135">
        <v>54</v>
      </c>
      <c r="AC135">
        <v>133</v>
      </c>
      <c r="AD135">
        <v>118.452764</v>
      </c>
      <c r="AE135" s="14">
        <v>0.97559281858874991</v>
      </c>
      <c r="AF135">
        <v>32.725000000000001</v>
      </c>
      <c r="AG135" s="14">
        <v>0.97416128360075005</v>
      </c>
      <c r="AH135">
        <v>54</v>
      </c>
      <c r="AJ135">
        <v>133</v>
      </c>
      <c r="AK135">
        <v>118.734121</v>
      </c>
      <c r="AL135" s="14">
        <v>0.96476442331662293</v>
      </c>
      <c r="AM135">
        <v>32.895000000000003</v>
      </c>
      <c r="AN135" s="14">
        <v>0.96223600304218115</v>
      </c>
      <c r="AO135">
        <v>54</v>
      </c>
      <c r="AQ135">
        <v>133</v>
      </c>
      <c r="AR135">
        <v>117.48338800000001</v>
      </c>
      <c r="AS135" s="14">
        <v>0.96424478583335771</v>
      </c>
      <c r="AT135">
        <v>32.597999999999999</v>
      </c>
      <c r="AU135" s="14">
        <v>0.96264359330242444</v>
      </c>
      <c r="AV135">
        <v>54</v>
      </c>
      <c r="AX135">
        <v>133</v>
      </c>
      <c r="AY135">
        <v>119.482713</v>
      </c>
      <c r="AZ135" s="14">
        <v>0.9665120403852433</v>
      </c>
      <c r="BA135">
        <v>33.146000000000001</v>
      </c>
      <c r="BB135" s="14">
        <v>0.96567999067707733</v>
      </c>
      <c r="BC135">
        <v>54</v>
      </c>
    </row>
    <row r="136" spans="15:55" x14ac:dyDescent="0.35">
      <c r="O136">
        <v>134</v>
      </c>
      <c r="P136">
        <v>119.189385</v>
      </c>
      <c r="Q136" s="14">
        <v>0.97154812464445572</v>
      </c>
      <c r="R136">
        <v>32.987000000000002</v>
      </c>
      <c r="S136" s="14">
        <v>0.97209288619084122</v>
      </c>
      <c r="T136">
        <v>54</v>
      </c>
      <c r="V136">
        <v>134</v>
      </c>
      <c r="W136">
        <v>119.329317</v>
      </c>
      <c r="X136" s="14">
        <v>0.97354991773403088</v>
      </c>
      <c r="Y136">
        <v>32.972000000000001</v>
      </c>
      <c r="Z136" s="14">
        <v>0.97325698093157809</v>
      </c>
      <c r="AA136">
        <v>54</v>
      </c>
      <c r="AC136">
        <v>134</v>
      </c>
      <c r="AD136">
        <v>118.471593</v>
      </c>
      <c r="AE136" s="14">
        <v>0.97574789675291329</v>
      </c>
      <c r="AF136">
        <v>32.728000000000002</v>
      </c>
      <c r="AG136" s="14">
        <v>0.97425058792010233</v>
      </c>
      <c r="AH136">
        <v>54</v>
      </c>
      <c r="AJ136">
        <v>134</v>
      </c>
      <c r="AK136">
        <v>118.693609</v>
      </c>
      <c r="AL136" s="14">
        <v>0.96443524636236388</v>
      </c>
      <c r="AM136">
        <v>32.884</v>
      </c>
      <c r="AN136" s="14">
        <v>0.96191423389691688</v>
      </c>
      <c r="AO136">
        <v>54</v>
      </c>
      <c r="AQ136">
        <v>134</v>
      </c>
      <c r="AR136">
        <v>117.458545</v>
      </c>
      <c r="AS136" s="14">
        <v>0.96404088693648171</v>
      </c>
      <c r="AT136">
        <v>32.591999999999999</v>
      </c>
      <c r="AU136" s="14">
        <v>0.96246640876472844</v>
      </c>
      <c r="AV136">
        <v>54</v>
      </c>
      <c r="AX136">
        <v>134</v>
      </c>
      <c r="AY136">
        <v>119.493853</v>
      </c>
      <c r="AZ136" s="14">
        <v>0.96660215337196365</v>
      </c>
      <c r="BA136">
        <v>33.145000000000003</v>
      </c>
      <c r="BB136" s="14">
        <v>0.96565085654352656</v>
      </c>
      <c r="BC136">
        <v>54</v>
      </c>
    </row>
    <row r="137" spans="15:55" x14ac:dyDescent="0.35">
      <c r="O137">
        <v>135</v>
      </c>
      <c r="P137">
        <v>119.178455</v>
      </c>
      <c r="Q137" s="14">
        <v>0.97145903096381991</v>
      </c>
      <c r="R137">
        <v>32.981999999999999</v>
      </c>
      <c r="S137" s="14">
        <v>0.9719455413449638</v>
      </c>
      <c r="T137">
        <v>54</v>
      </c>
      <c r="V137">
        <v>135</v>
      </c>
      <c r="W137">
        <v>119.319159</v>
      </c>
      <c r="X137" s="14">
        <v>0.97346704354759483</v>
      </c>
      <c r="Y137">
        <v>32.966999999999999</v>
      </c>
      <c r="Z137" s="14">
        <v>0.97310939252612316</v>
      </c>
      <c r="AA137">
        <v>54</v>
      </c>
      <c r="AC137">
        <v>135</v>
      </c>
      <c r="AD137">
        <v>118.463087</v>
      </c>
      <c r="AE137" s="14">
        <v>0.97567784019842962</v>
      </c>
      <c r="AF137">
        <v>32.723999999999997</v>
      </c>
      <c r="AG137" s="14">
        <v>0.97413151549429922</v>
      </c>
      <c r="AH137">
        <v>54</v>
      </c>
      <c r="AJ137">
        <v>135</v>
      </c>
      <c r="AK137">
        <v>118.706024</v>
      </c>
      <c r="AL137" s="14">
        <v>0.96453612343303741</v>
      </c>
      <c r="AM137">
        <v>32.884</v>
      </c>
      <c r="AN137" s="14">
        <v>0.96191423389691688</v>
      </c>
      <c r="AO137">
        <v>54</v>
      </c>
      <c r="AQ137">
        <v>135</v>
      </c>
      <c r="AR137">
        <v>117.46083299999999</v>
      </c>
      <c r="AS137" s="14">
        <v>0.96405966569412171</v>
      </c>
      <c r="AT137">
        <v>32.590000000000003</v>
      </c>
      <c r="AU137" s="14">
        <v>0.96240734725216326</v>
      </c>
      <c r="AV137">
        <v>54</v>
      </c>
      <c r="AX137">
        <v>135</v>
      </c>
      <c r="AY137">
        <v>119.45520999999999</v>
      </c>
      <c r="AZ137" s="14">
        <v>0.96628956484899786</v>
      </c>
      <c r="BA137">
        <v>33.134</v>
      </c>
      <c r="BB137" s="14">
        <v>0.96533038107446689</v>
      </c>
      <c r="BC137">
        <v>54</v>
      </c>
    </row>
    <row r="138" spans="15:55" x14ac:dyDescent="0.35">
      <c r="O138">
        <v>136</v>
      </c>
      <c r="P138">
        <v>119.21572500000001</v>
      </c>
      <c r="Q138" s="14">
        <v>0.97176282981810136</v>
      </c>
      <c r="R138">
        <v>32.991999999999997</v>
      </c>
      <c r="S138" s="14">
        <v>0.97224023103671831</v>
      </c>
      <c r="T138">
        <v>54</v>
      </c>
      <c r="V138">
        <v>136</v>
      </c>
      <c r="W138">
        <v>119.26326</v>
      </c>
      <c r="X138" s="14">
        <v>0.973010990766773</v>
      </c>
      <c r="Y138">
        <v>32.953000000000003</v>
      </c>
      <c r="Z138" s="14">
        <v>0.97269614499084955</v>
      </c>
      <c r="AA138">
        <v>54</v>
      </c>
      <c r="AC138">
        <v>136</v>
      </c>
      <c r="AD138">
        <v>118.406398</v>
      </c>
      <c r="AE138" s="14">
        <v>0.9752109420069025</v>
      </c>
      <c r="AF138">
        <v>32.71</v>
      </c>
      <c r="AG138" s="14">
        <v>0.97371476200398888</v>
      </c>
      <c r="AH138">
        <v>54</v>
      </c>
      <c r="AJ138">
        <v>136</v>
      </c>
      <c r="AK138">
        <v>118.712903</v>
      </c>
      <c r="AL138" s="14">
        <v>0.96459201818689677</v>
      </c>
      <c r="AM138">
        <v>32.884999999999998</v>
      </c>
      <c r="AN138" s="14">
        <v>0.9619434856373954</v>
      </c>
      <c r="AO138">
        <v>54</v>
      </c>
      <c r="AQ138">
        <v>136</v>
      </c>
      <c r="AR138">
        <v>117.464009</v>
      </c>
      <c r="AS138" s="14">
        <v>0.96408573271084597</v>
      </c>
      <c r="AT138">
        <v>32.588000000000001</v>
      </c>
      <c r="AU138" s="14">
        <v>0.96234828573959785</v>
      </c>
      <c r="AV138">
        <v>54</v>
      </c>
      <c r="AX138">
        <v>136</v>
      </c>
      <c r="AY138">
        <v>119.39482</v>
      </c>
      <c r="AZ138" s="14">
        <v>0.96580106186263814</v>
      </c>
      <c r="BA138">
        <v>33.119</v>
      </c>
      <c r="BB138" s="14">
        <v>0.96489336907120382</v>
      </c>
      <c r="BC138">
        <v>54</v>
      </c>
    </row>
    <row r="139" spans="15:55" x14ac:dyDescent="0.35">
      <c r="O139">
        <v>137</v>
      </c>
      <c r="P139">
        <v>119.216672</v>
      </c>
      <c r="Q139" s="14">
        <v>0.97177054909674376</v>
      </c>
      <c r="R139">
        <v>32.99</v>
      </c>
      <c r="S139" s="14">
        <v>0.97218129309836754</v>
      </c>
      <c r="T139">
        <v>54</v>
      </c>
      <c r="V139">
        <v>137</v>
      </c>
      <c r="W139">
        <v>119.223378</v>
      </c>
      <c r="X139" s="14">
        <v>0.97268561290661926</v>
      </c>
      <c r="Y139">
        <v>32.942999999999998</v>
      </c>
      <c r="Z139" s="14">
        <v>0.97240096817993971</v>
      </c>
      <c r="AA139">
        <v>54</v>
      </c>
      <c r="AC139">
        <v>137</v>
      </c>
      <c r="AD139">
        <v>118.363258</v>
      </c>
      <c r="AE139" s="14">
        <v>0.97485563519283858</v>
      </c>
      <c r="AF139">
        <v>32.698</v>
      </c>
      <c r="AG139" s="14">
        <v>0.97335754472657987</v>
      </c>
      <c r="AH139">
        <v>54</v>
      </c>
      <c r="AJ139">
        <v>137</v>
      </c>
      <c r="AK139">
        <v>118.684192</v>
      </c>
      <c r="AL139" s="14">
        <v>0.96435872929635236</v>
      </c>
      <c r="AM139">
        <v>32.874000000000002</v>
      </c>
      <c r="AN139" s="14">
        <v>0.96162171649213135</v>
      </c>
      <c r="AO139">
        <v>54</v>
      </c>
      <c r="AQ139">
        <v>137</v>
      </c>
      <c r="AR139">
        <v>117.418092</v>
      </c>
      <c r="AS139" s="14">
        <v>0.9637088689807064</v>
      </c>
      <c r="AT139">
        <v>32.575000000000003</v>
      </c>
      <c r="AU139" s="14">
        <v>0.96196438590792321</v>
      </c>
      <c r="AV139">
        <v>54</v>
      </c>
      <c r="AX139">
        <v>137</v>
      </c>
      <c r="AY139">
        <v>119.373516</v>
      </c>
      <c r="AZ139" s="14">
        <v>0.96562873088695667</v>
      </c>
      <c r="BA139">
        <v>33.112000000000002</v>
      </c>
      <c r="BB139" s="14">
        <v>0.96468943013634789</v>
      </c>
      <c r="BC139">
        <v>54</v>
      </c>
    </row>
    <row r="140" spans="15:55" x14ac:dyDescent="0.35">
      <c r="O140">
        <v>138</v>
      </c>
      <c r="P140">
        <v>119.166252</v>
      </c>
      <c r="Q140" s="14">
        <v>0.97135956068158769</v>
      </c>
      <c r="R140">
        <v>32.975999999999999</v>
      </c>
      <c r="S140" s="14">
        <v>0.97176872752991106</v>
      </c>
      <c r="T140">
        <v>54</v>
      </c>
      <c r="V140">
        <v>138</v>
      </c>
      <c r="W140">
        <v>119.21359099999999</v>
      </c>
      <c r="X140" s="14">
        <v>0.97260576552892186</v>
      </c>
      <c r="Y140">
        <v>32.939</v>
      </c>
      <c r="Z140" s="14">
        <v>0.97228289745557583</v>
      </c>
      <c r="AA140">
        <v>54</v>
      </c>
      <c r="AC140">
        <v>138</v>
      </c>
      <c r="AD140">
        <v>118.35865200000001</v>
      </c>
      <c r="AE140" s="14">
        <v>0.97481769956034947</v>
      </c>
      <c r="AF140">
        <v>32.695999999999998</v>
      </c>
      <c r="AG140" s="14">
        <v>0.97329800851367831</v>
      </c>
      <c r="AH140">
        <v>54</v>
      </c>
      <c r="AJ140">
        <v>138</v>
      </c>
      <c r="AK140">
        <v>118.631004</v>
      </c>
      <c r="AL140" s="14">
        <v>0.96392655453719145</v>
      </c>
      <c r="AM140">
        <v>32.860999999999997</v>
      </c>
      <c r="AN140" s="14">
        <v>0.96124144386590993</v>
      </c>
      <c r="AO140">
        <v>54</v>
      </c>
      <c r="AQ140">
        <v>138</v>
      </c>
      <c r="AR140">
        <v>117.356804</v>
      </c>
      <c r="AS140" s="14">
        <v>0.96320584778392104</v>
      </c>
      <c r="AT140">
        <v>32.558999999999997</v>
      </c>
      <c r="AU140" s="14">
        <v>0.9614918938074003</v>
      </c>
      <c r="AV140">
        <v>54</v>
      </c>
      <c r="AX140">
        <v>138</v>
      </c>
      <c r="AY140">
        <v>119.36895199999999</v>
      </c>
      <c r="AZ140" s="14">
        <v>0.96559181206546718</v>
      </c>
      <c r="BA140">
        <v>33.109000000000002</v>
      </c>
      <c r="BB140" s="14">
        <v>0.96460202773569526</v>
      </c>
      <c r="BC140">
        <v>54</v>
      </c>
    </row>
    <row r="141" spans="15:55" x14ac:dyDescent="0.35">
      <c r="O141">
        <v>139</v>
      </c>
      <c r="P141">
        <v>119.11895</v>
      </c>
      <c r="Q141" s="14">
        <v>0.97097398801174017</v>
      </c>
      <c r="R141">
        <v>32.963999999999999</v>
      </c>
      <c r="S141" s="14">
        <v>0.97141509989980557</v>
      </c>
      <c r="T141">
        <v>54</v>
      </c>
      <c r="V141">
        <v>139</v>
      </c>
      <c r="W141">
        <v>119.240737</v>
      </c>
      <c r="X141" s="14">
        <v>0.972827236553237</v>
      </c>
      <c r="Y141">
        <v>32.945</v>
      </c>
      <c r="Z141" s="14">
        <v>0.9724600035421217</v>
      </c>
      <c r="AA141">
        <v>54</v>
      </c>
      <c r="AC141">
        <v>139</v>
      </c>
      <c r="AD141">
        <v>118.448599</v>
      </c>
      <c r="AE141" s="14">
        <v>0.97555851509128633</v>
      </c>
      <c r="AF141">
        <v>32.723999999999997</v>
      </c>
      <c r="AG141" s="14">
        <v>0.97413151549429922</v>
      </c>
      <c r="AH141">
        <v>54</v>
      </c>
      <c r="AJ141">
        <v>139</v>
      </c>
      <c r="AK141">
        <v>118.59539700000001</v>
      </c>
      <c r="AL141" s="14">
        <v>0.96363723276067337</v>
      </c>
      <c r="AM141">
        <v>32.850999999999999</v>
      </c>
      <c r="AN141" s="14">
        <v>0.9609489264611244</v>
      </c>
      <c r="AO141">
        <v>54</v>
      </c>
      <c r="AQ141">
        <v>139</v>
      </c>
      <c r="AR141">
        <v>117.345141</v>
      </c>
      <c r="AS141" s="14">
        <v>0.96311012372345073</v>
      </c>
      <c r="AT141">
        <v>32.555</v>
      </c>
      <c r="AU141" s="14">
        <v>0.96137377078226971</v>
      </c>
      <c r="AV141">
        <v>54</v>
      </c>
      <c r="AX141">
        <v>139</v>
      </c>
      <c r="AY141">
        <v>119.347115</v>
      </c>
      <c r="AZ141" s="14">
        <v>0.96541516957973883</v>
      </c>
      <c r="BA141">
        <v>33.101999999999997</v>
      </c>
      <c r="BB141" s="14">
        <v>0.96439808880083899</v>
      </c>
      <c r="BC141">
        <v>54</v>
      </c>
    </row>
    <row r="142" spans="15:55" x14ac:dyDescent="0.35">
      <c r="O142">
        <v>140</v>
      </c>
      <c r="P142">
        <v>118.87287600000001</v>
      </c>
      <c r="Q142" s="14">
        <v>0.96896816565412203</v>
      </c>
      <c r="R142">
        <v>32.911000000000001</v>
      </c>
      <c r="S142" s="14">
        <v>0.9698532445335063</v>
      </c>
      <c r="T142">
        <v>54</v>
      </c>
      <c r="V142">
        <v>140</v>
      </c>
      <c r="W142">
        <v>119.219144</v>
      </c>
      <c r="X142" s="14">
        <v>0.97265106975783311</v>
      </c>
      <c r="Y142">
        <v>32.936999999999998</v>
      </c>
      <c r="Z142" s="14">
        <v>0.97222386209339384</v>
      </c>
      <c r="AA142">
        <v>54</v>
      </c>
      <c r="AC142">
        <v>140</v>
      </c>
      <c r="AD142">
        <v>118.594555</v>
      </c>
      <c r="AE142" s="14">
        <v>0.9767606282427358</v>
      </c>
      <c r="AF142">
        <v>32.749000000000002</v>
      </c>
      <c r="AG142" s="14">
        <v>0.97487571815556806</v>
      </c>
      <c r="AH142">
        <v>54</v>
      </c>
      <c r="AJ142">
        <v>140</v>
      </c>
      <c r="AK142">
        <v>118.58777600000001</v>
      </c>
      <c r="AL142" s="14">
        <v>0.9635753089462874</v>
      </c>
      <c r="AM142">
        <v>32.847999999999999</v>
      </c>
      <c r="AN142" s="14">
        <v>0.96086117123968873</v>
      </c>
      <c r="AO142">
        <v>54</v>
      </c>
      <c r="AQ142">
        <v>140</v>
      </c>
      <c r="AR142">
        <v>117.33372</v>
      </c>
      <c r="AS142" s="14">
        <v>0.96301638587773075</v>
      </c>
      <c r="AT142">
        <v>32.549999999999997</v>
      </c>
      <c r="AU142" s="14">
        <v>0.96122611700085636</v>
      </c>
      <c r="AV142">
        <v>54</v>
      </c>
      <c r="AX142">
        <v>140</v>
      </c>
      <c r="AY142">
        <v>119.297898</v>
      </c>
      <c r="AZ142" s="14">
        <v>0.96501704652162223</v>
      </c>
      <c r="BA142">
        <v>33.088999999999999</v>
      </c>
      <c r="BB142" s="14">
        <v>0.96401934506467779</v>
      </c>
      <c r="BC142">
        <v>54</v>
      </c>
    </row>
    <row r="143" spans="15:55" x14ac:dyDescent="0.35">
      <c r="O143">
        <v>141</v>
      </c>
      <c r="P143">
        <v>119.108158</v>
      </c>
      <c r="Q143" s="14">
        <v>0.97088601921014628</v>
      </c>
      <c r="R143">
        <v>32.96</v>
      </c>
      <c r="S143" s="14">
        <v>0.97129722402310381</v>
      </c>
      <c r="T143">
        <v>54</v>
      </c>
      <c r="V143">
        <v>141</v>
      </c>
      <c r="W143">
        <v>119.17052200000001</v>
      </c>
      <c r="X143" s="14">
        <v>0.97225438648426621</v>
      </c>
      <c r="Y143">
        <v>32.923999999999999</v>
      </c>
      <c r="Z143" s="14">
        <v>0.97184013223921129</v>
      </c>
      <c r="AA143">
        <v>54</v>
      </c>
      <c r="AC143">
        <v>141</v>
      </c>
      <c r="AD143">
        <v>118.56161400000001</v>
      </c>
      <c r="AE143" s="14">
        <v>0.97648932175775471</v>
      </c>
      <c r="AF143">
        <v>32.74</v>
      </c>
      <c r="AG143" s="14">
        <v>0.97460780519751133</v>
      </c>
      <c r="AH143">
        <v>54</v>
      </c>
      <c r="AJ143">
        <v>141</v>
      </c>
      <c r="AK143">
        <v>118.642466</v>
      </c>
      <c r="AL143" s="14">
        <v>0.96401968808403482</v>
      </c>
      <c r="AM143">
        <v>32.86</v>
      </c>
      <c r="AN143" s="14">
        <v>0.96121219212543141</v>
      </c>
      <c r="AO143">
        <v>54</v>
      </c>
      <c r="AQ143">
        <v>141</v>
      </c>
      <c r="AR143">
        <v>117.381587</v>
      </c>
      <c r="AS143" s="14">
        <v>0.96340925423085888</v>
      </c>
      <c r="AT143">
        <v>32.558999999999997</v>
      </c>
      <c r="AU143" s="14">
        <v>0.9614918938074003</v>
      </c>
      <c r="AV143">
        <v>54</v>
      </c>
      <c r="AX143">
        <v>141</v>
      </c>
      <c r="AY143">
        <v>119.248375</v>
      </c>
      <c r="AZ143" s="14">
        <v>0.96461644818756853</v>
      </c>
      <c r="BA143">
        <v>33.073999999999998</v>
      </c>
      <c r="BB143" s="14">
        <v>0.96358233306141472</v>
      </c>
      <c r="BC143">
        <v>54</v>
      </c>
    </row>
    <row r="144" spans="15:55" x14ac:dyDescent="0.35">
      <c r="O144">
        <v>142</v>
      </c>
      <c r="P144">
        <v>119.13907</v>
      </c>
      <c r="Q144" s="14">
        <v>0.9711379921155272</v>
      </c>
      <c r="R144">
        <v>32.965000000000003</v>
      </c>
      <c r="S144" s="14">
        <v>0.97144456886898112</v>
      </c>
      <c r="T144">
        <v>54</v>
      </c>
      <c r="V144">
        <v>142</v>
      </c>
      <c r="W144">
        <v>119.131199</v>
      </c>
      <c r="X144" s="14">
        <v>0.97193356923350571</v>
      </c>
      <c r="Y144">
        <v>32.912999999999997</v>
      </c>
      <c r="Z144" s="14">
        <v>0.9715154377472105</v>
      </c>
      <c r="AA144">
        <v>54</v>
      </c>
      <c r="AC144">
        <v>142</v>
      </c>
      <c r="AD144">
        <v>118.523161</v>
      </c>
      <c r="AE144" s="14">
        <v>0.97617261770302122</v>
      </c>
      <c r="AF144">
        <v>32.729999999999997</v>
      </c>
      <c r="AG144" s="14">
        <v>0.97431012413300366</v>
      </c>
      <c r="AH144">
        <v>54</v>
      </c>
      <c r="AJ144">
        <v>142</v>
      </c>
      <c r="AK144">
        <v>118.64591</v>
      </c>
      <c r="AL144" s="14">
        <v>0.96404767202534769</v>
      </c>
      <c r="AM144">
        <v>32.853999999999999</v>
      </c>
      <c r="AN144" s="14">
        <v>0.96103668168256007</v>
      </c>
      <c r="AO144">
        <v>54</v>
      </c>
      <c r="AQ144">
        <v>142</v>
      </c>
      <c r="AR144">
        <v>117.319942</v>
      </c>
      <c r="AS144" s="14">
        <v>0.96290330295694182</v>
      </c>
      <c r="AT144">
        <v>32.542000000000002</v>
      </c>
      <c r="AU144" s="14">
        <v>0.96098987095059507</v>
      </c>
      <c r="AV144">
        <v>54</v>
      </c>
      <c r="AX144">
        <v>142</v>
      </c>
      <c r="AY144">
        <v>118.89621099999999</v>
      </c>
      <c r="AZ144" s="14">
        <v>0.96176774532801579</v>
      </c>
      <c r="BA144">
        <v>32.978000000000002</v>
      </c>
      <c r="BB144" s="14">
        <v>0.96078545624053147</v>
      </c>
      <c r="BC144">
        <v>54</v>
      </c>
    </row>
    <row r="145" spans="15:55" x14ac:dyDescent="0.35">
      <c r="O145">
        <v>143</v>
      </c>
      <c r="P145">
        <v>119.124593</v>
      </c>
      <c r="Q145" s="14">
        <v>0.9710199857829962</v>
      </c>
      <c r="R145">
        <v>32.959000000000003</v>
      </c>
      <c r="S145" s="14">
        <v>0.97126775505392837</v>
      </c>
      <c r="T145">
        <v>54</v>
      </c>
      <c r="V145">
        <v>143</v>
      </c>
      <c r="W145">
        <v>118.93508799999999</v>
      </c>
      <c r="X145" s="14">
        <v>0.97033359487082049</v>
      </c>
      <c r="Y145">
        <v>32.874000000000002</v>
      </c>
      <c r="Z145" s="14">
        <v>0.97036424818466271</v>
      </c>
      <c r="AA145">
        <v>54</v>
      </c>
      <c r="AC145">
        <v>143</v>
      </c>
      <c r="AD145">
        <v>117.976782</v>
      </c>
      <c r="AE145" s="14">
        <v>0.97167256712904126</v>
      </c>
      <c r="AF145">
        <v>32.610999999999997</v>
      </c>
      <c r="AG145" s="14">
        <v>0.97076771946536466</v>
      </c>
      <c r="AH145">
        <v>54</v>
      </c>
      <c r="AJ145">
        <v>143</v>
      </c>
      <c r="AK145">
        <v>118.590351</v>
      </c>
      <c r="AL145" s="14">
        <v>0.96359623189892396</v>
      </c>
      <c r="AM145">
        <v>32.840000000000003</v>
      </c>
      <c r="AN145" s="14">
        <v>0.96062715731586035</v>
      </c>
      <c r="AO145">
        <v>54</v>
      </c>
      <c r="AQ145">
        <v>143</v>
      </c>
      <c r="AR145">
        <v>117.265596</v>
      </c>
      <c r="AS145" s="14">
        <v>0.96245725821799633</v>
      </c>
      <c r="AT145">
        <v>32.527000000000001</v>
      </c>
      <c r="AU145" s="14">
        <v>0.96054690960635503</v>
      </c>
      <c r="AV145">
        <v>54</v>
      </c>
      <c r="AX145">
        <v>143</v>
      </c>
      <c r="AY145">
        <v>119.24081200000001</v>
      </c>
      <c r="AZ145" s="14">
        <v>0.96455527004407071</v>
      </c>
      <c r="BA145">
        <v>33.070999999999998</v>
      </c>
      <c r="BB145" s="14">
        <v>0.96349493066076219</v>
      </c>
      <c r="BC145">
        <v>54</v>
      </c>
    </row>
    <row r="146" spans="15:55" x14ac:dyDescent="0.35">
      <c r="O146">
        <v>144</v>
      </c>
      <c r="P146">
        <v>119.09570100000001</v>
      </c>
      <c r="Q146" s="14">
        <v>0.97078447849837324</v>
      </c>
      <c r="R146">
        <v>32.951000000000001</v>
      </c>
      <c r="S146" s="14">
        <v>0.97103200330052464</v>
      </c>
      <c r="T146">
        <v>54</v>
      </c>
      <c r="V146">
        <v>144</v>
      </c>
      <c r="W146">
        <v>119.165128</v>
      </c>
      <c r="X146" s="14">
        <v>0.97221037945910016</v>
      </c>
      <c r="Y146">
        <v>32.920999999999999</v>
      </c>
      <c r="Z146" s="14">
        <v>0.97175157919593835</v>
      </c>
      <c r="AA146">
        <v>54</v>
      </c>
      <c r="AC146">
        <v>144</v>
      </c>
      <c r="AD146">
        <v>118.339944</v>
      </c>
      <c r="AE146" s="14">
        <v>0.97466361796838119</v>
      </c>
      <c r="AF146">
        <v>32.686</v>
      </c>
      <c r="AG146" s="14">
        <v>0.97300032744917087</v>
      </c>
      <c r="AH146">
        <v>54</v>
      </c>
      <c r="AJ146">
        <v>144</v>
      </c>
      <c r="AK146">
        <v>118.527635</v>
      </c>
      <c r="AL146" s="14">
        <v>0.96308663815229811</v>
      </c>
      <c r="AM146">
        <v>32.823999999999998</v>
      </c>
      <c r="AN146" s="14">
        <v>0.96015912946820325</v>
      </c>
      <c r="AO146">
        <v>54</v>
      </c>
      <c r="AQ146">
        <v>144</v>
      </c>
      <c r="AR146">
        <v>116.894587</v>
      </c>
      <c r="AS146" s="14">
        <v>0.95941220223316848</v>
      </c>
      <c r="AT146">
        <v>32.441000000000003</v>
      </c>
      <c r="AU146" s="14">
        <v>0.95800726456604557</v>
      </c>
      <c r="AV146">
        <v>54</v>
      </c>
      <c r="AX146">
        <v>144</v>
      </c>
      <c r="AY146">
        <v>119.30756599999999</v>
      </c>
      <c r="AZ146" s="14">
        <v>0.96509525229860715</v>
      </c>
      <c r="BA146">
        <v>33.085000000000001</v>
      </c>
      <c r="BB146" s="14">
        <v>0.96390280853047439</v>
      </c>
      <c r="BC146">
        <v>54</v>
      </c>
    </row>
    <row r="147" spans="15:55" x14ac:dyDescent="0.35">
      <c r="O147">
        <v>145</v>
      </c>
      <c r="P147">
        <v>118.826517</v>
      </c>
      <c r="Q147" s="14">
        <v>0.96859027965772737</v>
      </c>
      <c r="R147">
        <v>32.884</v>
      </c>
      <c r="S147" s="14">
        <v>0.96905758236576889</v>
      </c>
      <c r="T147">
        <v>54</v>
      </c>
      <c r="V147">
        <v>145</v>
      </c>
      <c r="W147">
        <v>119.200554</v>
      </c>
      <c r="X147" s="14">
        <v>0.97249940298033299</v>
      </c>
      <c r="Y147">
        <v>32.927999999999997</v>
      </c>
      <c r="Z147" s="14">
        <v>0.97195820296357505</v>
      </c>
      <c r="AA147">
        <v>54</v>
      </c>
      <c r="AC147">
        <v>145</v>
      </c>
      <c r="AD147">
        <v>118.38120600000001</v>
      </c>
      <c r="AE147" s="14">
        <v>0.9750034573230848</v>
      </c>
      <c r="AF147">
        <v>32.694000000000003</v>
      </c>
      <c r="AG147" s="14">
        <v>0.97323847230077687</v>
      </c>
      <c r="AH147">
        <v>54</v>
      </c>
      <c r="AJ147">
        <v>145</v>
      </c>
      <c r="AK147">
        <v>118.290646</v>
      </c>
      <c r="AL147" s="14">
        <v>0.96116100334747745</v>
      </c>
      <c r="AM147">
        <v>32.777000000000001</v>
      </c>
      <c r="AN147" s="14">
        <v>0.95878429766571116</v>
      </c>
      <c r="AO147">
        <v>54</v>
      </c>
      <c r="AQ147">
        <v>145</v>
      </c>
      <c r="AR147">
        <v>117.201167</v>
      </c>
      <c r="AS147" s="14">
        <v>0.96192845726695075</v>
      </c>
      <c r="AT147">
        <v>32.511000000000003</v>
      </c>
      <c r="AU147" s="14">
        <v>0.96007441750583244</v>
      </c>
      <c r="AV147">
        <v>54</v>
      </c>
      <c r="AX147">
        <v>145</v>
      </c>
      <c r="AY147">
        <v>119.331834</v>
      </c>
      <c r="AZ147" s="14">
        <v>0.96529155947650047</v>
      </c>
      <c r="BA147">
        <v>33.087000000000003</v>
      </c>
      <c r="BB147" s="14">
        <v>0.96396107679757614</v>
      </c>
      <c r="BC147">
        <v>54</v>
      </c>
    </row>
    <row r="148" spans="15:55" x14ac:dyDescent="0.35">
      <c r="O148">
        <v>146</v>
      </c>
      <c r="P148">
        <v>118.724445</v>
      </c>
      <c r="Q148" s="14">
        <v>0.96775826042901247</v>
      </c>
      <c r="R148">
        <v>32.859000000000002</v>
      </c>
      <c r="S148" s="14">
        <v>0.96832085813638247</v>
      </c>
      <c r="T148">
        <v>54</v>
      </c>
      <c r="V148">
        <v>146</v>
      </c>
      <c r="W148">
        <v>119.185211</v>
      </c>
      <c r="X148" s="14">
        <v>0.97237422689818209</v>
      </c>
      <c r="Y148">
        <v>32.921999999999997</v>
      </c>
      <c r="Z148" s="14">
        <v>0.97178109687702929</v>
      </c>
      <c r="AA148">
        <v>54</v>
      </c>
      <c r="AC148">
        <v>146</v>
      </c>
      <c r="AD148">
        <v>118.372865</v>
      </c>
      <c r="AE148" s="14">
        <v>0.97493475973068544</v>
      </c>
      <c r="AF148">
        <v>32.69</v>
      </c>
      <c r="AG148" s="14">
        <v>0.97311939987497376</v>
      </c>
      <c r="AH148">
        <v>54</v>
      </c>
      <c r="AJ148">
        <v>146</v>
      </c>
      <c r="AK148">
        <v>118.494229</v>
      </c>
      <c r="AL148" s="14">
        <v>0.96281520042189783</v>
      </c>
      <c r="AM148">
        <v>32.814</v>
      </c>
      <c r="AN148" s="14">
        <v>0.95986661206341772</v>
      </c>
      <c r="AO148">
        <v>54</v>
      </c>
      <c r="AQ148">
        <v>146</v>
      </c>
      <c r="AR148">
        <v>117.258512</v>
      </c>
      <c r="AS148" s="14">
        <v>0.96239911629530295</v>
      </c>
      <c r="AT148">
        <v>32.520000000000003</v>
      </c>
      <c r="AU148" s="14">
        <v>0.96034019431237649</v>
      </c>
      <c r="AV148">
        <v>54</v>
      </c>
      <c r="AX148">
        <v>146</v>
      </c>
      <c r="AY148">
        <v>119.304975</v>
      </c>
      <c r="AZ148" s="14">
        <v>0.96507429334451444</v>
      </c>
      <c r="BA148">
        <v>33.08</v>
      </c>
      <c r="BB148" s="14">
        <v>0.96375713786271999</v>
      </c>
      <c r="BC148">
        <v>54</v>
      </c>
    </row>
    <row r="149" spans="15:55" x14ac:dyDescent="0.35">
      <c r="O149">
        <v>147</v>
      </c>
      <c r="P149">
        <v>118.688396</v>
      </c>
      <c r="Q149" s="14">
        <v>0.96746441430886243</v>
      </c>
      <c r="R149">
        <v>32.848999999999997</v>
      </c>
      <c r="S149" s="14">
        <v>0.96802616844462774</v>
      </c>
      <c r="T149">
        <v>54</v>
      </c>
      <c r="V149">
        <v>147</v>
      </c>
      <c r="W149">
        <v>119.156237</v>
      </c>
      <c r="X149" s="14">
        <v>0.97213784211005483</v>
      </c>
      <c r="Y149">
        <v>32.912999999999997</v>
      </c>
      <c r="Z149" s="14">
        <v>0.9715154377472105</v>
      </c>
      <c r="AA149">
        <v>54</v>
      </c>
      <c r="AC149">
        <v>147</v>
      </c>
      <c r="AD149">
        <v>118.34630199999999</v>
      </c>
      <c r="AE149" s="14">
        <v>0.97471598330736631</v>
      </c>
      <c r="AF149">
        <v>32.683</v>
      </c>
      <c r="AG149" s="14">
        <v>0.97291102312981859</v>
      </c>
      <c r="AH149">
        <v>54</v>
      </c>
      <c r="AJ149">
        <v>147</v>
      </c>
      <c r="AK149">
        <v>118.52116700000001</v>
      </c>
      <c r="AL149" s="14">
        <v>0.96303408294544213</v>
      </c>
      <c r="AM149">
        <v>32.817</v>
      </c>
      <c r="AN149" s="14">
        <v>0.9599543672848535</v>
      </c>
      <c r="AO149">
        <v>54</v>
      </c>
      <c r="AQ149">
        <v>147</v>
      </c>
      <c r="AR149">
        <v>117.256557</v>
      </c>
      <c r="AS149" s="14">
        <v>0.96238307063481943</v>
      </c>
      <c r="AT149">
        <v>32.517000000000003</v>
      </c>
      <c r="AU149" s="14">
        <v>0.96025160204352844</v>
      </c>
      <c r="AV149">
        <v>54</v>
      </c>
      <c r="AX149">
        <v>147</v>
      </c>
      <c r="AY149">
        <v>119.17649</v>
      </c>
      <c r="AZ149" s="14">
        <v>0.96403496057083615</v>
      </c>
      <c r="BA149">
        <v>33.040999999999997</v>
      </c>
      <c r="BB149" s="14">
        <v>0.96262090665423605</v>
      </c>
      <c r="BC149">
        <v>54</v>
      </c>
    </row>
    <row r="150" spans="15:55" x14ac:dyDescent="0.35">
      <c r="O150">
        <v>148</v>
      </c>
      <c r="P150">
        <v>118.61615999999999</v>
      </c>
      <c r="Q150" s="14">
        <v>0.96687559718952065</v>
      </c>
      <c r="R150">
        <v>32.831000000000003</v>
      </c>
      <c r="S150" s="14">
        <v>0.96749572699946973</v>
      </c>
      <c r="T150">
        <v>54</v>
      </c>
      <c r="V150">
        <v>148</v>
      </c>
      <c r="W150">
        <v>118.88310799999999</v>
      </c>
      <c r="X150" s="14">
        <v>0.96990951530683689</v>
      </c>
      <c r="Y150">
        <v>32.843000000000004</v>
      </c>
      <c r="Z150" s="14">
        <v>0.96944920007084256</v>
      </c>
      <c r="AA150">
        <v>54</v>
      </c>
      <c r="AC150">
        <v>148</v>
      </c>
      <c r="AD150">
        <v>118.048511</v>
      </c>
      <c r="AE150" s="14">
        <v>0.972263336773594</v>
      </c>
      <c r="AF150">
        <v>32.604999999999997</v>
      </c>
      <c r="AG150" s="14">
        <v>0.97058911082666011</v>
      </c>
      <c r="AH150">
        <v>54</v>
      </c>
      <c r="AJ150">
        <v>148</v>
      </c>
      <c r="AK150">
        <v>118.50188</v>
      </c>
      <c r="AL150" s="14">
        <v>0.96287736799883883</v>
      </c>
      <c r="AM150">
        <v>32.808999999999997</v>
      </c>
      <c r="AN150" s="14">
        <v>0.9597203533610249</v>
      </c>
      <c r="AO150">
        <v>54</v>
      </c>
      <c r="AQ150">
        <v>148</v>
      </c>
      <c r="AR150">
        <v>117.228037</v>
      </c>
      <c r="AS150" s="14">
        <v>0.96214899276423604</v>
      </c>
      <c r="AT150">
        <v>32.506999999999998</v>
      </c>
      <c r="AU150" s="14">
        <v>0.95995629448070163</v>
      </c>
      <c r="AV150">
        <v>54</v>
      </c>
      <c r="AX150">
        <v>148</v>
      </c>
      <c r="AY150">
        <v>118.93998000000001</v>
      </c>
      <c r="AZ150" s="14">
        <v>0.96212179876749226</v>
      </c>
      <c r="BA150">
        <v>32.988</v>
      </c>
      <c r="BB150" s="14">
        <v>0.96107679757604014</v>
      </c>
      <c r="BC150">
        <v>54</v>
      </c>
    </row>
    <row r="151" spans="15:55" x14ac:dyDescent="0.35">
      <c r="O151">
        <v>149</v>
      </c>
      <c r="P151">
        <v>118.569827</v>
      </c>
      <c r="Q151" s="14">
        <v>0.96649792312685856</v>
      </c>
      <c r="R151">
        <v>32.819000000000003</v>
      </c>
      <c r="S151" s="14">
        <v>0.96714209936936424</v>
      </c>
      <c r="T151">
        <v>54</v>
      </c>
      <c r="V151">
        <v>149</v>
      </c>
      <c r="W151">
        <v>118.774879</v>
      </c>
      <c r="X151" s="14">
        <v>0.96902652748208951</v>
      </c>
      <c r="Y151">
        <v>32.819000000000003</v>
      </c>
      <c r="Z151" s="14">
        <v>0.96874077572465911</v>
      </c>
      <c r="AA151">
        <v>54</v>
      </c>
      <c r="AC151">
        <v>149</v>
      </c>
      <c r="AD151">
        <v>117.903871</v>
      </c>
      <c r="AE151" s="14">
        <v>0.97107206237428412</v>
      </c>
      <c r="AF151">
        <v>32.573999999999998</v>
      </c>
      <c r="AG151" s="14">
        <v>0.96966629952668693</v>
      </c>
      <c r="AH151">
        <v>54</v>
      </c>
      <c r="AJ151">
        <v>149</v>
      </c>
      <c r="AK151">
        <v>118.46935499999999</v>
      </c>
      <c r="AL151" s="14">
        <v>0.96261308876213669</v>
      </c>
      <c r="AM151">
        <v>32.801000000000002</v>
      </c>
      <c r="AN151" s="14">
        <v>0.95948633943719652</v>
      </c>
      <c r="AO151">
        <v>54</v>
      </c>
      <c r="AQ151">
        <v>149</v>
      </c>
      <c r="AR151">
        <v>117.074763</v>
      </c>
      <c r="AS151" s="14">
        <v>0.96089099656732846</v>
      </c>
      <c r="AT151">
        <v>32.466999999999999</v>
      </c>
      <c r="AU151" s="14">
        <v>0.95877506422939485</v>
      </c>
      <c r="AV151">
        <v>54</v>
      </c>
      <c r="AX151">
        <v>149</v>
      </c>
      <c r="AY151">
        <v>118.87985999999999</v>
      </c>
      <c r="AZ151" s="14">
        <v>0.96163547984813547</v>
      </c>
      <c r="BA151">
        <v>32.972999999999999</v>
      </c>
      <c r="BB151" s="14">
        <v>0.96063978557277707</v>
      </c>
      <c r="BC151">
        <v>54</v>
      </c>
    </row>
    <row r="152" spans="15:55" x14ac:dyDescent="0.35">
      <c r="O152">
        <v>150</v>
      </c>
      <c r="P152">
        <v>118.623457</v>
      </c>
      <c r="Q152" s="14">
        <v>0.96693507720668437</v>
      </c>
      <c r="R152">
        <v>32.832000000000001</v>
      </c>
      <c r="S152" s="14">
        <v>0.96752519596864506</v>
      </c>
      <c r="T152">
        <v>54</v>
      </c>
      <c r="V152">
        <v>150</v>
      </c>
      <c r="W152">
        <v>118.73871800000001</v>
      </c>
      <c r="X152" s="14">
        <v>0.96873150745297809</v>
      </c>
      <c r="Y152">
        <v>32.808999999999997</v>
      </c>
      <c r="Z152" s="14">
        <v>0.96844559891374926</v>
      </c>
      <c r="AA152">
        <v>54</v>
      </c>
      <c r="AC152">
        <v>150</v>
      </c>
      <c r="AD152">
        <v>117.868602</v>
      </c>
      <c r="AE152" s="14">
        <v>0.97078158216971244</v>
      </c>
      <c r="AF152">
        <v>32.564</v>
      </c>
      <c r="AG152" s="14">
        <v>0.96936861846217948</v>
      </c>
      <c r="AH152">
        <v>54</v>
      </c>
      <c r="AJ152">
        <v>150</v>
      </c>
      <c r="AK152">
        <v>118.16801100000001</v>
      </c>
      <c r="AL152" s="14">
        <v>0.96016454264976925</v>
      </c>
      <c r="AM152">
        <v>32.728000000000002</v>
      </c>
      <c r="AN152" s="14">
        <v>0.95735096238226181</v>
      </c>
      <c r="AO152">
        <v>54</v>
      </c>
      <c r="AQ152">
        <v>150</v>
      </c>
      <c r="AR152">
        <v>116.84674699999999</v>
      </c>
      <c r="AS152" s="14">
        <v>0.95901955548251239</v>
      </c>
      <c r="AT152">
        <v>32.415999999999997</v>
      </c>
      <c r="AU152" s="14">
        <v>0.95726899565897872</v>
      </c>
      <c r="AV152">
        <v>54</v>
      </c>
      <c r="AX152">
        <v>150</v>
      </c>
      <c r="AY152">
        <v>118.82168900000001</v>
      </c>
      <c r="AZ152" s="14">
        <v>0.96116492665688646</v>
      </c>
      <c r="BA152">
        <v>32.957999999999998</v>
      </c>
      <c r="BB152" s="14">
        <v>0.960202773569514</v>
      </c>
      <c r="BC152">
        <v>54</v>
      </c>
    </row>
    <row r="153" spans="15:55" x14ac:dyDescent="0.35">
      <c r="O153">
        <v>151</v>
      </c>
      <c r="P153">
        <v>118.740371</v>
      </c>
      <c r="Q153" s="14">
        <v>0.96788807799148313</v>
      </c>
      <c r="R153">
        <v>32.853999999999999</v>
      </c>
      <c r="S153" s="14">
        <v>0.96817351329050516</v>
      </c>
      <c r="T153">
        <v>26</v>
      </c>
      <c r="V153">
        <v>151</v>
      </c>
      <c r="W153">
        <v>118.781334</v>
      </c>
      <c r="X153" s="14">
        <v>0.96907919069073734</v>
      </c>
      <c r="Y153">
        <v>32.816000000000003</v>
      </c>
      <c r="Z153" s="14">
        <v>0.96865222268138618</v>
      </c>
      <c r="AA153">
        <v>26</v>
      </c>
      <c r="AC153">
        <v>151</v>
      </c>
      <c r="AD153">
        <v>117.953192</v>
      </c>
      <c r="AE153" s="14">
        <v>0.97147827673164289</v>
      </c>
      <c r="AF153">
        <v>32.581000000000003</v>
      </c>
      <c r="AG153" s="14">
        <v>0.96987467627184232</v>
      </c>
      <c r="AH153">
        <v>26</v>
      </c>
      <c r="AJ153">
        <v>151</v>
      </c>
      <c r="AK153">
        <v>118.13267999999999</v>
      </c>
      <c r="AL153" s="14">
        <v>0.95987746348875691</v>
      </c>
      <c r="AM153">
        <v>32.716999999999999</v>
      </c>
      <c r="AN153" s="14">
        <v>0.95702919323699753</v>
      </c>
      <c r="AO153">
        <v>26</v>
      </c>
      <c r="AQ153">
        <v>151</v>
      </c>
      <c r="AR153">
        <v>116.885023</v>
      </c>
      <c r="AS153" s="14">
        <v>0.95933370571303322</v>
      </c>
      <c r="AT153">
        <v>32.421999999999997</v>
      </c>
      <c r="AU153" s="14">
        <v>0.95744618019667471</v>
      </c>
      <c r="AV153">
        <v>26</v>
      </c>
      <c r="AX153">
        <v>151</v>
      </c>
      <c r="AY153">
        <v>118.881817</v>
      </c>
      <c r="AZ153" s="14">
        <v>0.96165131028933948</v>
      </c>
      <c r="BA153">
        <v>32.966999999999999</v>
      </c>
      <c r="BB153" s="14">
        <v>0.96046498077147191</v>
      </c>
      <c r="BC153">
        <v>26</v>
      </c>
    </row>
    <row r="154" spans="15:55" x14ac:dyDescent="0.35">
      <c r="O154">
        <v>152</v>
      </c>
      <c r="P154">
        <v>118.701846</v>
      </c>
      <c r="Q154" s="14">
        <v>0.96757404925895862</v>
      </c>
      <c r="R154">
        <v>32.838000000000001</v>
      </c>
      <c r="S154" s="14">
        <v>0.96770200978369791</v>
      </c>
      <c r="T154">
        <v>26</v>
      </c>
      <c r="V154">
        <v>152</v>
      </c>
      <c r="W154">
        <v>118.81222699999999</v>
      </c>
      <c r="X154" s="14">
        <v>0.96933123166746182</v>
      </c>
      <c r="Y154">
        <v>32.819000000000003</v>
      </c>
      <c r="Z154" s="14">
        <v>0.96874077572465911</v>
      </c>
      <c r="AA154">
        <v>26</v>
      </c>
      <c r="AC154">
        <v>152</v>
      </c>
      <c r="AD154">
        <v>117.96641700000001</v>
      </c>
      <c r="AE154" s="14">
        <v>0.97158719960174023</v>
      </c>
      <c r="AF154">
        <v>32.58</v>
      </c>
      <c r="AG154" s="14">
        <v>0.96984490816539148</v>
      </c>
      <c r="AH154">
        <v>26</v>
      </c>
      <c r="AJ154">
        <v>152</v>
      </c>
      <c r="AK154">
        <v>118.140112</v>
      </c>
      <c r="AL154" s="14">
        <v>0.95993785159904665</v>
      </c>
      <c r="AM154">
        <v>32.71</v>
      </c>
      <c r="AN154" s="14">
        <v>0.95682443105364767</v>
      </c>
      <c r="AO154">
        <v>26</v>
      </c>
      <c r="AQ154">
        <v>152</v>
      </c>
      <c r="AR154">
        <v>116.849811</v>
      </c>
      <c r="AS154" s="14">
        <v>0.95904470325935209</v>
      </c>
      <c r="AT154">
        <v>32.405000000000001</v>
      </c>
      <c r="AU154" s="14">
        <v>0.95694415733986948</v>
      </c>
      <c r="AV154">
        <v>26</v>
      </c>
      <c r="AX154">
        <v>152</v>
      </c>
      <c r="AY154">
        <v>118.937073</v>
      </c>
      <c r="AZ154" s="14">
        <v>0.96209828364609218</v>
      </c>
      <c r="BA154">
        <v>32.975000000000001</v>
      </c>
      <c r="BB154" s="14">
        <v>0.96069805383987894</v>
      </c>
      <c r="BC154">
        <v>26</v>
      </c>
    </row>
    <row r="155" spans="15:55" x14ac:dyDescent="0.35">
      <c r="O155">
        <v>153</v>
      </c>
      <c r="P155">
        <v>118.65187</v>
      </c>
      <c r="Q155" s="14">
        <v>0.9671666800198504</v>
      </c>
      <c r="R155">
        <v>32.826000000000001</v>
      </c>
      <c r="S155" s="14">
        <v>0.96734838215359231</v>
      </c>
      <c r="T155">
        <v>26</v>
      </c>
      <c r="V155">
        <v>153</v>
      </c>
      <c r="W155">
        <v>118.82264499999999</v>
      </c>
      <c r="X155" s="14">
        <v>0.96941622706756925</v>
      </c>
      <c r="Y155">
        <v>32.822000000000003</v>
      </c>
      <c r="Z155" s="14">
        <v>0.96882932876793204</v>
      </c>
      <c r="AA155">
        <v>26</v>
      </c>
      <c r="AC155">
        <v>153</v>
      </c>
      <c r="AD155">
        <v>118.065974</v>
      </c>
      <c r="AE155" s="14">
        <v>0.97240716437892538</v>
      </c>
      <c r="AF155">
        <v>32.606999999999999</v>
      </c>
      <c r="AG155" s="14">
        <v>0.97064864703956166</v>
      </c>
      <c r="AH155">
        <v>26</v>
      </c>
      <c r="AJ155">
        <v>153</v>
      </c>
      <c r="AK155">
        <v>118.092051</v>
      </c>
      <c r="AL155" s="14">
        <v>0.95954733586053353</v>
      </c>
      <c r="AM155">
        <v>32.697000000000003</v>
      </c>
      <c r="AN155" s="14">
        <v>0.95644415842742647</v>
      </c>
      <c r="AO155">
        <v>26</v>
      </c>
      <c r="AQ155">
        <v>153</v>
      </c>
      <c r="AR155">
        <v>116.81619600000001</v>
      </c>
      <c r="AS155" s="14">
        <v>0.95876880818152388</v>
      </c>
      <c r="AT155">
        <v>32.396000000000001</v>
      </c>
      <c r="AU155" s="14">
        <v>0.95667838053332555</v>
      </c>
      <c r="AV155">
        <v>26</v>
      </c>
      <c r="AX155">
        <v>153</v>
      </c>
      <c r="AY155">
        <v>118.935675</v>
      </c>
      <c r="AZ155" s="14">
        <v>0.9620869750324984</v>
      </c>
      <c r="BA155">
        <v>32.973999999999997</v>
      </c>
      <c r="BB155" s="14">
        <v>0.96066891970632784</v>
      </c>
      <c r="BC155">
        <v>26</v>
      </c>
    </row>
    <row r="156" spans="15:55" x14ac:dyDescent="0.35">
      <c r="O156">
        <v>154</v>
      </c>
      <c r="P156">
        <v>118.649243</v>
      </c>
      <c r="Q156" s="14">
        <v>0.96714526656156763</v>
      </c>
      <c r="R156">
        <v>32.826000000000001</v>
      </c>
      <c r="S156" s="14">
        <v>0.96734838215359231</v>
      </c>
      <c r="T156">
        <v>26</v>
      </c>
      <c r="V156">
        <v>154</v>
      </c>
      <c r="W156">
        <v>118.81144</v>
      </c>
      <c r="X156" s="14">
        <v>0.96932481091684908</v>
      </c>
      <c r="Y156">
        <v>32.817</v>
      </c>
      <c r="Z156" s="14">
        <v>0.96868174036247712</v>
      </c>
      <c r="AA156">
        <v>26</v>
      </c>
      <c r="AC156">
        <v>154</v>
      </c>
      <c r="AD156">
        <v>118.068753</v>
      </c>
      <c r="AE156" s="14">
        <v>0.97243005259488002</v>
      </c>
      <c r="AF156">
        <v>32.607999999999997</v>
      </c>
      <c r="AG156" s="14">
        <v>0.97067841514601239</v>
      </c>
      <c r="AH156">
        <v>26</v>
      </c>
      <c r="AJ156">
        <v>154</v>
      </c>
      <c r="AK156">
        <v>118.069277</v>
      </c>
      <c r="AL156" s="14">
        <v>0.95936228757962183</v>
      </c>
      <c r="AM156">
        <v>32.691000000000003</v>
      </c>
      <c r="AN156" s="14">
        <v>0.95626864798455513</v>
      </c>
      <c r="AO156">
        <v>26</v>
      </c>
      <c r="AQ156">
        <v>154</v>
      </c>
      <c r="AR156">
        <v>116.833473</v>
      </c>
      <c r="AS156" s="14">
        <v>0.95891060914120363</v>
      </c>
      <c r="AT156">
        <v>32.399000000000001</v>
      </c>
      <c r="AU156" s="14">
        <v>0.95676697280217349</v>
      </c>
      <c r="AV156">
        <v>26</v>
      </c>
      <c r="AX156">
        <v>154</v>
      </c>
      <c r="AY156">
        <v>118.893709</v>
      </c>
      <c r="AZ156" s="14">
        <v>0.96174750630712047</v>
      </c>
      <c r="BA156">
        <v>32.963000000000001</v>
      </c>
      <c r="BB156" s="14">
        <v>0.96034844423726851</v>
      </c>
      <c r="BC156">
        <v>26</v>
      </c>
    </row>
    <row r="157" spans="15:55" x14ac:dyDescent="0.35">
      <c r="O157">
        <v>155</v>
      </c>
      <c r="P157">
        <v>118.483147</v>
      </c>
      <c r="Q157" s="14">
        <v>0.96579136866780013</v>
      </c>
      <c r="R157">
        <v>32.781999999999996</v>
      </c>
      <c r="S157" s="14">
        <v>0.96605174750987211</v>
      </c>
      <c r="T157">
        <v>26</v>
      </c>
      <c r="V157">
        <v>155</v>
      </c>
      <c r="W157">
        <v>118.762805</v>
      </c>
      <c r="X157" s="14">
        <v>0.96892802158259861</v>
      </c>
      <c r="Y157">
        <v>32.805</v>
      </c>
      <c r="Z157" s="14">
        <v>0.96832752818938539</v>
      </c>
      <c r="AA157">
        <v>26</v>
      </c>
      <c r="AC157">
        <v>155</v>
      </c>
      <c r="AD157">
        <v>118.022744</v>
      </c>
      <c r="AE157" s="14">
        <v>0.97205111631281538</v>
      </c>
      <c r="AF157">
        <v>32.594999999999999</v>
      </c>
      <c r="AG157" s="14">
        <v>0.97029142976215266</v>
      </c>
      <c r="AH157">
        <v>26</v>
      </c>
      <c r="AJ157">
        <v>155</v>
      </c>
      <c r="AK157">
        <v>118.086932</v>
      </c>
      <c r="AL157" s="14">
        <v>0.95950574184323367</v>
      </c>
      <c r="AM157">
        <v>32.692999999999998</v>
      </c>
      <c r="AN157" s="14">
        <v>0.95632715146551217</v>
      </c>
      <c r="AO157">
        <v>26</v>
      </c>
      <c r="AQ157">
        <v>155</v>
      </c>
      <c r="AR157">
        <v>116.819962</v>
      </c>
      <c r="AS157" s="14">
        <v>0.95879971762263949</v>
      </c>
      <c r="AT157">
        <v>32.392000000000003</v>
      </c>
      <c r="AU157" s="14">
        <v>0.95656025750819484</v>
      </c>
      <c r="AV157">
        <v>26</v>
      </c>
      <c r="AX157">
        <v>155</v>
      </c>
      <c r="AY157">
        <v>118.833765</v>
      </c>
      <c r="AZ157" s="14">
        <v>0.96126261107588429</v>
      </c>
      <c r="BA157">
        <v>32.948</v>
      </c>
      <c r="BB157" s="14">
        <v>0.95991143223400544</v>
      </c>
      <c r="BC157">
        <v>26</v>
      </c>
    </row>
    <row r="158" spans="15:55" x14ac:dyDescent="0.35">
      <c r="O158">
        <v>156</v>
      </c>
      <c r="P158">
        <v>118.38753</v>
      </c>
      <c r="Q158" s="14">
        <v>0.96501196606383388</v>
      </c>
      <c r="R158">
        <v>32.758000000000003</v>
      </c>
      <c r="S158" s="14">
        <v>0.96534449224966123</v>
      </c>
      <c r="T158">
        <v>26</v>
      </c>
      <c r="V158">
        <v>156</v>
      </c>
      <c r="W158">
        <v>118.713419</v>
      </c>
      <c r="X158" s="14">
        <v>0.96852510520424362</v>
      </c>
      <c r="Y158">
        <v>32.792000000000002</v>
      </c>
      <c r="Z158" s="14">
        <v>0.96794379833520283</v>
      </c>
      <c r="AA158">
        <v>26</v>
      </c>
      <c r="AC158">
        <v>156</v>
      </c>
      <c r="AD158">
        <v>117.97214200000001</v>
      </c>
      <c r="AE158" s="14">
        <v>0.97163435146800159</v>
      </c>
      <c r="AF158">
        <v>32.582000000000001</v>
      </c>
      <c r="AG158" s="14">
        <v>0.96990444437829304</v>
      </c>
      <c r="AH158">
        <v>26</v>
      </c>
      <c r="AJ158">
        <v>156</v>
      </c>
      <c r="AK158">
        <v>118.07333199999999</v>
      </c>
      <c r="AL158" s="14">
        <v>0.95939523615163791</v>
      </c>
      <c r="AM158">
        <v>32.688000000000002</v>
      </c>
      <c r="AN158" s="14">
        <v>0.95618089276311946</v>
      </c>
      <c r="AO158">
        <v>26</v>
      </c>
      <c r="AQ158">
        <v>156</v>
      </c>
      <c r="AR158">
        <v>116.793083</v>
      </c>
      <c r="AS158" s="14">
        <v>0.95857910825786341</v>
      </c>
      <c r="AT158">
        <v>32.384</v>
      </c>
      <c r="AU158" s="14">
        <v>0.95632401145793344</v>
      </c>
      <c r="AV158">
        <v>26</v>
      </c>
      <c r="AX158">
        <v>156</v>
      </c>
      <c r="AY158">
        <v>118.802076</v>
      </c>
      <c r="AZ158" s="14">
        <v>0.96100627441195396</v>
      </c>
      <c r="BA158">
        <v>32.939</v>
      </c>
      <c r="BB158" s="14">
        <v>0.95964922503204764</v>
      </c>
      <c r="BC158">
        <v>26</v>
      </c>
    </row>
    <row r="159" spans="15:55" x14ac:dyDescent="0.35">
      <c r="O159">
        <v>157</v>
      </c>
      <c r="P159">
        <v>118.289781</v>
      </c>
      <c r="Q159" s="14">
        <v>0.96421518489380054</v>
      </c>
      <c r="R159">
        <v>32.734000000000002</v>
      </c>
      <c r="S159" s="14">
        <v>0.96463723698945025</v>
      </c>
      <c r="T159">
        <v>26</v>
      </c>
      <c r="V159">
        <v>157</v>
      </c>
      <c r="W159">
        <v>118.702063</v>
      </c>
      <c r="X159" s="14">
        <v>0.96843245711789117</v>
      </c>
      <c r="Y159">
        <v>32.787999999999997</v>
      </c>
      <c r="Z159" s="14">
        <v>0.96782572761083874</v>
      </c>
      <c r="AA159">
        <v>26</v>
      </c>
      <c r="AC159">
        <v>157</v>
      </c>
      <c r="AD159">
        <v>117.94712</v>
      </c>
      <c r="AE159" s="14">
        <v>0.97142826692693729</v>
      </c>
      <c r="AF159">
        <v>32.575000000000003</v>
      </c>
      <c r="AG159" s="14">
        <v>0.96969606763313787</v>
      </c>
      <c r="AH159">
        <v>26</v>
      </c>
      <c r="AJ159">
        <v>157</v>
      </c>
      <c r="AK159">
        <v>118.02367</v>
      </c>
      <c r="AL159" s="14">
        <v>0.95899171161810692</v>
      </c>
      <c r="AM159">
        <v>32.674999999999997</v>
      </c>
      <c r="AN159" s="14">
        <v>0.95580062013689804</v>
      </c>
      <c r="AO159">
        <v>26</v>
      </c>
      <c r="AQ159">
        <v>157</v>
      </c>
      <c r="AR159">
        <v>116.729113</v>
      </c>
      <c r="AS159" s="14">
        <v>0.95805407454884439</v>
      </c>
      <c r="AT159">
        <v>32.368000000000002</v>
      </c>
      <c r="AU159" s="14">
        <v>0.95585151935741086</v>
      </c>
      <c r="AV159">
        <v>26</v>
      </c>
      <c r="AX159">
        <v>157</v>
      </c>
      <c r="AY159">
        <v>118.778874</v>
      </c>
      <c r="AZ159" s="14">
        <v>0.96081859025415428</v>
      </c>
      <c r="BA159">
        <v>32.932000000000002</v>
      </c>
      <c r="BB159" s="14">
        <v>0.9594452860971916</v>
      </c>
      <c r="BC159">
        <v>26</v>
      </c>
    </row>
    <row r="160" spans="15:55" x14ac:dyDescent="0.35">
      <c r="O160">
        <v>158</v>
      </c>
      <c r="P160">
        <v>118.244277</v>
      </c>
      <c r="Q160" s="14">
        <v>0.96384426825668701</v>
      </c>
      <c r="R160">
        <v>32.722999999999999</v>
      </c>
      <c r="S160" s="14">
        <v>0.96431307832852009</v>
      </c>
      <c r="T160">
        <v>26</v>
      </c>
      <c r="V160">
        <v>158</v>
      </c>
      <c r="W160">
        <v>118.588643</v>
      </c>
      <c r="X160" s="14">
        <v>0.96750711844634418</v>
      </c>
      <c r="Y160">
        <v>32.756</v>
      </c>
      <c r="Z160" s="14">
        <v>0.96688116181592776</v>
      </c>
      <c r="AA160">
        <v>26</v>
      </c>
      <c r="AC160">
        <v>158</v>
      </c>
      <c r="AD160">
        <v>117.902427</v>
      </c>
      <c r="AE160" s="14">
        <v>0.97106016939701234</v>
      </c>
      <c r="AF160">
        <v>32.558</v>
      </c>
      <c r="AG160" s="14">
        <v>0.96919000982347503</v>
      </c>
      <c r="AH160">
        <v>26</v>
      </c>
      <c r="AJ160">
        <v>158</v>
      </c>
      <c r="AK160">
        <v>117.969487</v>
      </c>
      <c r="AL160" s="14">
        <v>0.95855145206753878</v>
      </c>
      <c r="AM160">
        <v>32.659999999999997</v>
      </c>
      <c r="AN160" s="14">
        <v>0.95536184402971969</v>
      </c>
      <c r="AO160">
        <v>26</v>
      </c>
      <c r="AQ160">
        <v>158</v>
      </c>
      <c r="AR160">
        <v>116.687679</v>
      </c>
      <c r="AS160" s="14">
        <v>0.957714005036581</v>
      </c>
      <c r="AT160">
        <v>32.356000000000002</v>
      </c>
      <c r="AU160" s="14">
        <v>0.95549715028201876</v>
      </c>
      <c r="AV160">
        <v>26</v>
      </c>
      <c r="AX160">
        <v>158</v>
      </c>
      <c r="AY160">
        <v>118.585032</v>
      </c>
      <c r="AZ160" s="14">
        <v>0.95925057575039629</v>
      </c>
      <c r="BA160">
        <v>32.883000000000003</v>
      </c>
      <c r="BB160" s="14">
        <v>0.95801771355319909</v>
      </c>
      <c r="BC160">
        <v>26</v>
      </c>
    </row>
    <row r="161" spans="15:55" x14ac:dyDescent="0.35">
      <c r="O161">
        <v>159</v>
      </c>
      <c r="P161">
        <v>118.319588</v>
      </c>
      <c r="Q161" s="14">
        <v>0.96445815061554885</v>
      </c>
      <c r="R161">
        <v>32.741999999999997</v>
      </c>
      <c r="S161" s="14">
        <v>0.96487298874285377</v>
      </c>
      <c r="T161">
        <v>26</v>
      </c>
      <c r="V161">
        <v>159</v>
      </c>
      <c r="W161">
        <v>118.459118</v>
      </c>
      <c r="X161" s="14">
        <v>0.96645038690488649</v>
      </c>
      <c r="Y161">
        <v>32.725000000000001</v>
      </c>
      <c r="Z161" s="14">
        <v>0.96596611370210761</v>
      </c>
      <c r="AA161">
        <v>26</v>
      </c>
      <c r="AC161">
        <v>159</v>
      </c>
      <c r="AD161">
        <v>117.70541799999999</v>
      </c>
      <c r="AE161" s="14">
        <v>0.96943757690438503</v>
      </c>
      <c r="AF161">
        <v>32.514000000000003</v>
      </c>
      <c r="AG161" s="14">
        <v>0.96788021313964212</v>
      </c>
      <c r="AH161">
        <v>26</v>
      </c>
      <c r="AJ161">
        <v>159</v>
      </c>
      <c r="AK161">
        <v>117.94258499999999</v>
      </c>
      <c r="AL161" s="14">
        <v>0.95833286205906032</v>
      </c>
      <c r="AM161">
        <v>32.652999999999999</v>
      </c>
      <c r="AN161" s="14">
        <v>0.95515708184636983</v>
      </c>
      <c r="AO161">
        <v>26</v>
      </c>
      <c r="AQ161">
        <v>159</v>
      </c>
      <c r="AR161">
        <v>116.679146</v>
      </c>
      <c r="AS161" s="14">
        <v>0.95764397044788219</v>
      </c>
      <c r="AT161">
        <v>32.353000000000002</v>
      </c>
      <c r="AU161" s="14">
        <v>0.95540855801317082</v>
      </c>
      <c r="AV161">
        <v>26</v>
      </c>
      <c r="AX161">
        <v>159</v>
      </c>
      <c r="AY161">
        <v>118.485501</v>
      </c>
      <c r="AZ161" s="14">
        <v>0.95844545585082064</v>
      </c>
      <c r="BA161">
        <v>32.857999999999997</v>
      </c>
      <c r="BB161" s="14">
        <v>0.95728936021442723</v>
      </c>
      <c r="BC161">
        <v>26</v>
      </c>
    </row>
    <row r="162" spans="15:55" x14ac:dyDescent="0.35">
      <c r="O162">
        <v>160</v>
      </c>
      <c r="P162">
        <v>118.39708400000001</v>
      </c>
      <c r="Q162" s="14">
        <v>0.96508984355924066</v>
      </c>
      <c r="R162">
        <v>32.756</v>
      </c>
      <c r="S162" s="14">
        <v>0.96528555431131025</v>
      </c>
      <c r="T162">
        <v>26</v>
      </c>
      <c r="V162">
        <v>160</v>
      </c>
      <c r="W162">
        <v>118.363854</v>
      </c>
      <c r="X162" s="14">
        <v>0.96567317421571131</v>
      </c>
      <c r="Y162">
        <v>32.701999999999998</v>
      </c>
      <c r="Z162" s="14">
        <v>0.96528720703701509</v>
      </c>
      <c r="AA162">
        <v>26</v>
      </c>
      <c r="AC162">
        <v>160</v>
      </c>
      <c r="AD162">
        <v>117.605262</v>
      </c>
      <c r="AE162" s="14">
        <v>0.9686126786830267</v>
      </c>
      <c r="AF162">
        <v>32.488999999999997</v>
      </c>
      <c r="AG162" s="14">
        <v>0.96713601047837328</v>
      </c>
      <c r="AH162">
        <v>26</v>
      </c>
      <c r="AJ162">
        <v>160</v>
      </c>
      <c r="AK162">
        <v>117.905924</v>
      </c>
      <c r="AL162" s="14">
        <v>0.95803497609144361</v>
      </c>
      <c r="AM162">
        <v>32.639000000000003</v>
      </c>
      <c r="AN162" s="14">
        <v>0.95474755747967011</v>
      </c>
      <c r="AO162">
        <v>26</v>
      </c>
      <c r="AQ162">
        <v>160</v>
      </c>
      <c r="AR162">
        <v>116.484267</v>
      </c>
      <c r="AS162" s="14">
        <v>0.95604450125638751</v>
      </c>
      <c r="AT162">
        <v>32.304000000000002</v>
      </c>
      <c r="AU162" s="14">
        <v>0.95396155095532009</v>
      </c>
      <c r="AV162">
        <v>26</v>
      </c>
      <c r="AX162">
        <v>160</v>
      </c>
      <c r="AY162">
        <v>118.400674</v>
      </c>
      <c r="AZ162" s="14">
        <v>0.9577592786224064</v>
      </c>
      <c r="BA162">
        <v>32.835999999999999</v>
      </c>
      <c r="BB162" s="14">
        <v>0.95664840927630812</v>
      </c>
      <c r="BC162">
        <v>26</v>
      </c>
    </row>
    <row r="163" spans="15:55" x14ac:dyDescent="0.35">
      <c r="O163">
        <v>161</v>
      </c>
      <c r="P163">
        <v>118.337035</v>
      </c>
      <c r="Q163" s="14">
        <v>0.96460036630137258</v>
      </c>
      <c r="R163">
        <v>32.74</v>
      </c>
      <c r="S163" s="14">
        <v>0.964814050804503</v>
      </c>
      <c r="T163">
        <v>26</v>
      </c>
      <c r="V163">
        <v>161</v>
      </c>
      <c r="W163">
        <v>118.297252</v>
      </c>
      <c r="X163" s="14">
        <v>0.96512980085825784</v>
      </c>
      <c r="Y163">
        <v>32.685000000000002</v>
      </c>
      <c r="Z163" s="14">
        <v>0.96478540645846866</v>
      </c>
      <c r="AA163">
        <v>26</v>
      </c>
      <c r="AC163">
        <v>161</v>
      </c>
      <c r="AD163">
        <v>117.536086</v>
      </c>
      <c r="AE163" s="14">
        <v>0.9680429358881798</v>
      </c>
      <c r="AF163">
        <v>32.472000000000001</v>
      </c>
      <c r="AG163" s="14">
        <v>0.96662995266871066</v>
      </c>
      <c r="AH163">
        <v>26</v>
      </c>
      <c r="AJ163">
        <v>161</v>
      </c>
      <c r="AK163">
        <v>117.683176</v>
      </c>
      <c r="AL163" s="14">
        <v>0.95622505537147695</v>
      </c>
      <c r="AM163">
        <v>32.588999999999999</v>
      </c>
      <c r="AN163" s="14">
        <v>0.95328497045574212</v>
      </c>
      <c r="AO163">
        <v>26</v>
      </c>
      <c r="AQ163">
        <v>161</v>
      </c>
      <c r="AR163">
        <v>116.393066</v>
      </c>
      <c r="AS163" s="14">
        <v>0.95529596914295556</v>
      </c>
      <c r="AT163">
        <v>32.280999999999999</v>
      </c>
      <c r="AU163" s="14">
        <v>0.95328234356081853</v>
      </c>
      <c r="AV163">
        <v>26</v>
      </c>
      <c r="AX163">
        <v>161</v>
      </c>
      <c r="AY163">
        <v>118.376891</v>
      </c>
      <c r="AZ163" s="14">
        <v>0.95756689467598155</v>
      </c>
      <c r="BA163">
        <v>32.832000000000001</v>
      </c>
      <c r="BB163" s="14">
        <v>0.95653187274210472</v>
      </c>
      <c r="BC163">
        <v>26</v>
      </c>
    </row>
    <row r="164" spans="15:55" x14ac:dyDescent="0.35">
      <c r="O164">
        <v>162</v>
      </c>
      <c r="P164">
        <v>118.279054</v>
      </c>
      <c r="Q164" s="14">
        <v>0.96412774592653794</v>
      </c>
      <c r="R164">
        <v>32.725999999999999</v>
      </c>
      <c r="S164" s="14">
        <v>0.96440148523604652</v>
      </c>
      <c r="T164">
        <v>26</v>
      </c>
      <c r="V164">
        <v>162</v>
      </c>
      <c r="W164">
        <v>118.342798</v>
      </c>
      <c r="X164" s="14">
        <v>0.96550138854239009</v>
      </c>
      <c r="Y164">
        <v>32.695999999999998</v>
      </c>
      <c r="Z164" s="14">
        <v>0.96511010095046923</v>
      </c>
      <c r="AA164">
        <v>26</v>
      </c>
      <c r="AC164">
        <v>162</v>
      </c>
      <c r="AD164">
        <v>117.564454</v>
      </c>
      <c r="AE164" s="14">
        <v>0.96827657853308868</v>
      </c>
      <c r="AF164">
        <v>32.478999999999999</v>
      </c>
      <c r="AG164" s="14">
        <v>0.96683832941386583</v>
      </c>
      <c r="AH164">
        <v>26</v>
      </c>
      <c r="AJ164">
        <v>162</v>
      </c>
      <c r="AK164">
        <v>117.56722000000001</v>
      </c>
      <c r="AL164" s="14">
        <v>0.95528286434392806</v>
      </c>
      <c r="AM164">
        <v>32.558999999999997</v>
      </c>
      <c r="AN164" s="14">
        <v>0.95240741824138531</v>
      </c>
      <c r="AO164">
        <v>26</v>
      </c>
      <c r="AQ164">
        <v>162</v>
      </c>
      <c r="AR164">
        <v>116.301625</v>
      </c>
      <c r="AS164" s="14">
        <v>0.95454546722977107</v>
      </c>
      <c r="AT164">
        <v>32.258000000000003</v>
      </c>
      <c r="AU164" s="14">
        <v>0.95260313616631731</v>
      </c>
      <c r="AV164">
        <v>26</v>
      </c>
      <c r="AX164">
        <v>162</v>
      </c>
      <c r="AY164">
        <v>118.459445</v>
      </c>
      <c r="AZ164" s="14">
        <v>0.95823468529588463</v>
      </c>
      <c r="BA164">
        <v>32.851999999999997</v>
      </c>
      <c r="BB164" s="14">
        <v>0.95711455541312196</v>
      </c>
      <c r="BC164">
        <v>26</v>
      </c>
    </row>
    <row r="165" spans="15:55" x14ac:dyDescent="0.35">
      <c r="O165">
        <v>163</v>
      </c>
      <c r="P165">
        <v>118.22285100000001</v>
      </c>
      <c r="Q165" s="14">
        <v>0.9636696185584892</v>
      </c>
      <c r="R165">
        <v>32.712000000000003</v>
      </c>
      <c r="S165" s="14">
        <v>0.96398891966759015</v>
      </c>
      <c r="T165">
        <v>26</v>
      </c>
      <c r="V165">
        <v>163</v>
      </c>
      <c r="W165">
        <v>118.456553</v>
      </c>
      <c r="X165" s="14">
        <v>0.96642946031616739</v>
      </c>
      <c r="Y165">
        <v>32.722999999999999</v>
      </c>
      <c r="Z165" s="14">
        <v>0.96590707833992562</v>
      </c>
      <c r="AA165">
        <v>26</v>
      </c>
      <c r="AC165">
        <v>163</v>
      </c>
      <c r="AD165">
        <v>117.665903</v>
      </c>
      <c r="AE165" s="14">
        <v>0.96911212607550834</v>
      </c>
      <c r="AF165">
        <v>32.503</v>
      </c>
      <c r="AG165" s="14">
        <v>0.96755276396868384</v>
      </c>
      <c r="AH165">
        <v>26</v>
      </c>
      <c r="AJ165">
        <v>163</v>
      </c>
      <c r="AK165">
        <v>117.488973</v>
      </c>
      <c r="AL165" s="14">
        <v>0.95464707472258359</v>
      </c>
      <c r="AM165">
        <v>32.540999999999997</v>
      </c>
      <c r="AN165" s="14">
        <v>0.95188088691277117</v>
      </c>
      <c r="AO165">
        <v>26</v>
      </c>
      <c r="AQ165">
        <v>163</v>
      </c>
      <c r="AR165">
        <v>116.257825</v>
      </c>
      <c r="AS165" s="14">
        <v>0.95418597877494793</v>
      </c>
      <c r="AT165">
        <v>32.247</v>
      </c>
      <c r="AU165" s="14">
        <v>0.95227829784720786</v>
      </c>
      <c r="AV165">
        <v>26</v>
      </c>
      <c r="AX165">
        <v>163</v>
      </c>
      <c r="AY165">
        <v>118.499106</v>
      </c>
      <c r="AZ165" s="14">
        <v>0.95855550856036564</v>
      </c>
      <c r="BA165">
        <v>32.856000000000002</v>
      </c>
      <c r="BB165" s="14">
        <v>0.95723109194732559</v>
      </c>
      <c r="BC165">
        <v>26</v>
      </c>
    </row>
    <row r="166" spans="15:55" x14ac:dyDescent="0.35">
      <c r="O166">
        <v>164</v>
      </c>
      <c r="P166">
        <v>118.237348</v>
      </c>
      <c r="Q166" s="14">
        <v>0.96378778791696829</v>
      </c>
      <c r="R166">
        <v>32.713999999999999</v>
      </c>
      <c r="S166" s="14">
        <v>0.96404785760594103</v>
      </c>
      <c r="T166">
        <v>26</v>
      </c>
      <c r="V166">
        <v>164</v>
      </c>
      <c r="W166">
        <v>118.41798</v>
      </c>
      <c r="X166" s="14">
        <v>0.96611476195099744</v>
      </c>
      <c r="Y166">
        <v>32.710999999999999</v>
      </c>
      <c r="Z166" s="14">
        <v>0.96555286616683389</v>
      </c>
      <c r="AA166">
        <v>26</v>
      </c>
      <c r="AC166">
        <v>164</v>
      </c>
      <c r="AD166">
        <v>117.67125</v>
      </c>
      <c r="AE166" s="14">
        <v>0.96915616468317645</v>
      </c>
      <c r="AF166">
        <v>32.499000000000002</v>
      </c>
      <c r="AG166" s="14">
        <v>0.96743369154288095</v>
      </c>
      <c r="AH166">
        <v>26</v>
      </c>
      <c r="AJ166">
        <v>164</v>
      </c>
      <c r="AK166">
        <v>117.48045500000001</v>
      </c>
      <c r="AL166" s="14">
        <v>0.9545778624078034</v>
      </c>
      <c r="AM166">
        <v>32.537999999999997</v>
      </c>
      <c r="AN166" s="14">
        <v>0.9517931316913355</v>
      </c>
      <c r="AO166">
        <v>26</v>
      </c>
      <c r="AQ166">
        <v>164</v>
      </c>
      <c r="AR166">
        <v>116.321538</v>
      </c>
      <c r="AS166" s="14">
        <v>0.95470890315673207</v>
      </c>
      <c r="AT166">
        <v>32.26</v>
      </c>
      <c r="AU166" s="14">
        <v>0.95266219767888249</v>
      </c>
      <c r="AV166">
        <v>26</v>
      </c>
      <c r="AX166">
        <v>164</v>
      </c>
      <c r="AY166">
        <v>118.443344</v>
      </c>
      <c r="AZ166" s="14">
        <v>0.95810444210026646</v>
      </c>
      <c r="BA166">
        <v>32.841000000000001</v>
      </c>
      <c r="BB166" s="14">
        <v>0.95679407994406251</v>
      </c>
      <c r="BC166">
        <v>26</v>
      </c>
    </row>
    <row r="167" spans="15:55" x14ac:dyDescent="0.35">
      <c r="O167">
        <v>165</v>
      </c>
      <c r="P167">
        <v>118.238817</v>
      </c>
      <c r="Q167" s="14">
        <v>0.96379976217285612</v>
      </c>
      <c r="R167">
        <v>32.712000000000003</v>
      </c>
      <c r="S167" s="14">
        <v>0.96398891966759015</v>
      </c>
      <c r="T167">
        <v>26</v>
      </c>
      <c r="V167">
        <v>165</v>
      </c>
      <c r="W167">
        <v>118.356745</v>
      </c>
      <c r="X167" s="14">
        <v>0.96561517533882868</v>
      </c>
      <c r="Y167">
        <v>32.695</v>
      </c>
      <c r="Z167" s="14">
        <v>0.9650805832693784</v>
      </c>
      <c r="AA167">
        <v>26</v>
      </c>
      <c r="AC167">
        <v>165</v>
      </c>
      <c r="AD167">
        <v>117.61479300000001</v>
      </c>
      <c r="AE167" s="14">
        <v>0.96869117727470144</v>
      </c>
      <c r="AF167">
        <v>32.484999999999999</v>
      </c>
      <c r="AG167" s="14">
        <v>0.96701693805257039</v>
      </c>
      <c r="AH167">
        <v>26</v>
      </c>
      <c r="AJ167">
        <v>165</v>
      </c>
      <c r="AK167">
        <v>117.565887</v>
      </c>
      <c r="AL167" s="14">
        <v>0.95527203316106801</v>
      </c>
      <c r="AM167">
        <v>32.557000000000002</v>
      </c>
      <c r="AN167" s="14">
        <v>0.95234891476042827</v>
      </c>
      <c r="AO167">
        <v>26</v>
      </c>
      <c r="AQ167">
        <v>165</v>
      </c>
      <c r="AR167">
        <v>116.391294</v>
      </c>
      <c r="AS167" s="14">
        <v>0.95528142545478323</v>
      </c>
      <c r="AT167">
        <v>32.271999999999998</v>
      </c>
      <c r="AU167" s="14">
        <v>0.9530165667542746</v>
      </c>
      <c r="AV167">
        <v>26</v>
      </c>
      <c r="AX167">
        <v>165</v>
      </c>
      <c r="AY167">
        <v>118.403347</v>
      </c>
      <c r="AZ167" s="14">
        <v>0.95778090088573709</v>
      </c>
      <c r="BA167">
        <v>32.826999999999998</v>
      </c>
      <c r="BB167" s="14">
        <v>0.95638620207435032</v>
      </c>
      <c r="BC167">
        <v>26</v>
      </c>
    </row>
    <row r="168" spans="15:55" x14ac:dyDescent="0.35">
      <c r="O168">
        <v>166</v>
      </c>
      <c r="P168">
        <v>118.203075</v>
      </c>
      <c r="Q168" s="14">
        <v>0.96350841850100954</v>
      </c>
      <c r="R168">
        <v>32.701999999999998</v>
      </c>
      <c r="S168" s="14">
        <v>0.96369422997583543</v>
      </c>
      <c r="T168">
        <v>26</v>
      </c>
      <c r="V168">
        <v>166</v>
      </c>
      <c r="W168">
        <v>118.298699</v>
      </c>
      <c r="X168" s="14">
        <v>0.96514160622819012</v>
      </c>
      <c r="Y168">
        <v>32.68</v>
      </c>
      <c r="Z168" s="14">
        <v>0.96463781805301374</v>
      </c>
      <c r="AA168">
        <v>26</v>
      </c>
      <c r="AC168">
        <v>166</v>
      </c>
      <c r="AD168">
        <v>117.55276499999999</v>
      </c>
      <c r="AE168" s="14">
        <v>0.96818030636457697</v>
      </c>
      <c r="AF168">
        <v>32.47</v>
      </c>
      <c r="AG168" s="14">
        <v>0.9665704164558091</v>
      </c>
      <c r="AH168">
        <v>26</v>
      </c>
      <c r="AJ168">
        <v>166</v>
      </c>
      <c r="AK168">
        <v>117.601285</v>
      </c>
      <c r="AL168" s="14">
        <v>0.95555965672511967</v>
      </c>
      <c r="AM168">
        <v>32.561</v>
      </c>
      <c r="AN168" s="14">
        <v>0.95246592172234246</v>
      </c>
      <c r="AO168">
        <v>26</v>
      </c>
      <c r="AQ168">
        <v>166</v>
      </c>
      <c r="AR168">
        <v>116.329589</v>
      </c>
      <c r="AS168" s="14">
        <v>0.95477498173092801</v>
      </c>
      <c r="AT168">
        <v>32.256999999999998</v>
      </c>
      <c r="AU168" s="14">
        <v>0.95257360541003455</v>
      </c>
      <c r="AV168">
        <v>26</v>
      </c>
      <c r="AX168">
        <v>166</v>
      </c>
      <c r="AY168">
        <v>118.34907800000001</v>
      </c>
      <c r="AZ168" s="14">
        <v>0.95734191150725134</v>
      </c>
      <c r="BA168">
        <v>32.817</v>
      </c>
      <c r="BB168" s="14">
        <v>0.95609486073884165</v>
      </c>
      <c r="BC168">
        <v>26</v>
      </c>
    </row>
    <row r="169" spans="15:55" x14ac:dyDescent="0.35">
      <c r="O169">
        <v>167</v>
      </c>
      <c r="P169">
        <v>118.137005</v>
      </c>
      <c r="Q169" s="14">
        <v>0.96296986228146653</v>
      </c>
      <c r="R169">
        <v>32.685000000000002</v>
      </c>
      <c r="S169" s="14">
        <v>0.96319325749985274</v>
      </c>
      <c r="T169">
        <v>26</v>
      </c>
      <c r="V169">
        <v>167</v>
      </c>
      <c r="W169">
        <v>118.297791</v>
      </c>
      <c r="X169" s="14">
        <v>0.96513419829736879</v>
      </c>
      <c r="Y169">
        <v>32.679000000000002</v>
      </c>
      <c r="Z169" s="14">
        <v>0.9646083003719228</v>
      </c>
      <c r="AA169">
        <v>26</v>
      </c>
      <c r="AC169">
        <v>167</v>
      </c>
      <c r="AD169">
        <v>117.528378</v>
      </c>
      <c r="AE169" s="14">
        <v>0.96797945176850431</v>
      </c>
      <c r="AF169">
        <v>32.463999999999999</v>
      </c>
      <c r="AG169" s="14">
        <v>0.96639180781710465</v>
      </c>
      <c r="AH169">
        <v>26</v>
      </c>
      <c r="AJ169">
        <v>167</v>
      </c>
      <c r="AK169">
        <v>117.53222</v>
      </c>
      <c r="AL169" s="14">
        <v>0.95499847469643928</v>
      </c>
      <c r="AM169">
        <v>32.542999999999999</v>
      </c>
      <c r="AN169" s="14">
        <v>0.95193939039372844</v>
      </c>
      <c r="AO169">
        <v>26</v>
      </c>
      <c r="AQ169">
        <v>167</v>
      </c>
      <c r="AR169">
        <v>116.261123</v>
      </c>
      <c r="AS169" s="14">
        <v>0.95421304710654631</v>
      </c>
      <c r="AT169">
        <v>32.24</v>
      </c>
      <c r="AU169" s="14">
        <v>0.95207158255322921</v>
      </c>
      <c r="AV169">
        <v>26</v>
      </c>
      <c r="AX169">
        <v>167</v>
      </c>
      <c r="AY169">
        <v>118.357664</v>
      </c>
      <c r="AZ169" s="14">
        <v>0.95741136483794986</v>
      </c>
      <c r="BA169">
        <v>32.819000000000003</v>
      </c>
      <c r="BB169" s="14">
        <v>0.95615312900594351</v>
      </c>
      <c r="BC169">
        <v>26</v>
      </c>
    </row>
    <row r="170" spans="15:55" x14ac:dyDescent="0.35">
      <c r="O170">
        <v>168</v>
      </c>
      <c r="P170">
        <v>118.091824</v>
      </c>
      <c r="Q170" s="14">
        <v>0.96260157851341488</v>
      </c>
      <c r="R170">
        <v>32.673999999999999</v>
      </c>
      <c r="S170" s="14">
        <v>0.96286909883892269</v>
      </c>
      <c r="T170">
        <v>26</v>
      </c>
      <c r="V170">
        <v>168</v>
      </c>
      <c r="W170">
        <v>118.30425700000001</v>
      </c>
      <c r="X170" s="14">
        <v>0.96518695124967191</v>
      </c>
      <c r="Y170">
        <v>32.68</v>
      </c>
      <c r="Z170" s="14">
        <v>0.96463781805301374</v>
      </c>
      <c r="AA170">
        <v>26</v>
      </c>
      <c r="AC170">
        <v>168</v>
      </c>
      <c r="AD170">
        <v>117.54533600000001</v>
      </c>
      <c r="AE170" s="14">
        <v>0.96811912012624424</v>
      </c>
      <c r="AF170">
        <v>32.466999999999999</v>
      </c>
      <c r="AG170" s="14">
        <v>0.96648111213645682</v>
      </c>
      <c r="AH170">
        <v>26</v>
      </c>
      <c r="AJ170">
        <v>168</v>
      </c>
      <c r="AK170">
        <v>117.466016</v>
      </c>
      <c r="AL170" s="14">
        <v>0.95446053949008647</v>
      </c>
      <c r="AM170">
        <v>32.527999999999999</v>
      </c>
      <c r="AN170" s="14">
        <v>0.95150061428654997</v>
      </c>
      <c r="AO170">
        <v>26</v>
      </c>
      <c r="AQ170">
        <v>168</v>
      </c>
      <c r="AR170">
        <v>116.215878</v>
      </c>
      <c r="AS170" s="14">
        <v>0.95384169881571368</v>
      </c>
      <c r="AT170">
        <v>32.228000000000002</v>
      </c>
      <c r="AU170" s="14">
        <v>0.95171721347783722</v>
      </c>
      <c r="AV170">
        <v>26</v>
      </c>
      <c r="AX170">
        <v>168</v>
      </c>
      <c r="AY170">
        <v>118.35399099999999</v>
      </c>
      <c r="AZ170" s="14">
        <v>0.95738165343757053</v>
      </c>
      <c r="BA170">
        <v>32.816000000000003</v>
      </c>
      <c r="BB170" s="14">
        <v>0.95606572660529088</v>
      </c>
      <c r="BC170">
        <v>26</v>
      </c>
    </row>
    <row r="171" spans="15:55" x14ac:dyDescent="0.35">
      <c r="O171">
        <v>169</v>
      </c>
      <c r="P171">
        <v>118.115066</v>
      </c>
      <c r="Q171" s="14">
        <v>0.96279103096769991</v>
      </c>
      <c r="R171">
        <v>32.677</v>
      </c>
      <c r="S171" s="14">
        <v>0.96295750574644901</v>
      </c>
      <c r="T171">
        <v>26</v>
      </c>
      <c r="V171">
        <v>169</v>
      </c>
      <c r="W171">
        <v>118.299055</v>
      </c>
      <c r="X171" s="14">
        <v>0.96514451065921703</v>
      </c>
      <c r="Y171">
        <v>32.676000000000002</v>
      </c>
      <c r="Z171" s="14">
        <v>0.96451974732864987</v>
      </c>
      <c r="AA171">
        <v>26</v>
      </c>
      <c r="AC171">
        <v>169</v>
      </c>
      <c r="AD171">
        <v>117.543942</v>
      </c>
      <c r="AE171" s="14">
        <v>0.96810763895566454</v>
      </c>
      <c r="AF171">
        <v>32.463999999999999</v>
      </c>
      <c r="AG171" s="14">
        <v>0.96639180781710465</v>
      </c>
      <c r="AH171">
        <v>26</v>
      </c>
      <c r="AJ171">
        <v>169</v>
      </c>
      <c r="AK171">
        <v>117.439787</v>
      </c>
      <c r="AL171" s="14">
        <v>0.95424741788825829</v>
      </c>
      <c r="AM171">
        <v>32.521000000000001</v>
      </c>
      <c r="AN171" s="14">
        <v>0.95129585210320011</v>
      </c>
      <c r="AO171">
        <v>26</v>
      </c>
      <c r="AQ171">
        <v>169</v>
      </c>
      <c r="AR171">
        <v>116.228345</v>
      </c>
      <c r="AS171" s="14">
        <v>0.95394402170535475</v>
      </c>
      <c r="AT171">
        <v>32.228999999999999</v>
      </c>
      <c r="AU171" s="14">
        <v>0.95174674423411987</v>
      </c>
      <c r="AV171">
        <v>26</v>
      </c>
      <c r="AX171">
        <v>169</v>
      </c>
      <c r="AY171">
        <v>118.309099</v>
      </c>
      <c r="AZ171" s="14">
        <v>0.95701851589718878</v>
      </c>
      <c r="BA171">
        <v>32.804000000000002</v>
      </c>
      <c r="BB171" s="14">
        <v>0.95571611700268044</v>
      </c>
      <c r="BC171">
        <v>26</v>
      </c>
    </row>
    <row r="172" spans="15:55" x14ac:dyDescent="0.35">
      <c r="O172">
        <v>170</v>
      </c>
      <c r="P172">
        <v>118.129649</v>
      </c>
      <c r="Q172" s="14">
        <v>0.96290990133775589</v>
      </c>
      <c r="R172">
        <v>32.679000000000002</v>
      </c>
      <c r="S172" s="14">
        <v>0.96301644368479999</v>
      </c>
      <c r="T172">
        <v>26</v>
      </c>
      <c r="V172">
        <v>170</v>
      </c>
      <c r="W172">
        <v>118.236791</v>
      </c>
      <c r="X172" s="14">
        <v>0.96463652893601826</v>
      </c>
      <c r="Y172">
        <v>32.659999999999997</v>
      </c>
      <c r="Z172" s="14">
        <v>0.96404746443119416</v>
      </c>
      <c r="AA172">
        <v>26</v>
      </c>
      <c r="AC172">
        <v>170</v>
      </c>
      <c r="AD172">
        <v>117.497749</v>
      </c>
      <c r="AE172" s="14">
        <v>0.96772718722497231</v>
      </c>
      <c r="AF172">
        <v>32.451000000000001</v>
      </c>
      <c r="AG172" s="14">
        <v>0.96600482243324493</v>
      </c>
      <c r="AH172">
        <v>26</v>
      </c>
      <c r="AJ172">
        <v>170</v>
      </c>
      <c r="AK172">
        <v>117.454598</v>
      </c>
      <c r="AL172" s="14">
        <v>0.95436776346165719</v>
      </c>
      <c r="AM172">
        <v>32.521999999999998</v>
      </c>
      <c r="AN172" s="14">
        <v>0.95132510384367863</v>
      </c>
      <c r="AO172">
        <v>26</v>
      </c>
      <c r="AQ172">
        <v>170</v>
      </c>
      <c r="AR172">
        <v>116.232046</v>
      </c>
      <c r="AS172" s="14">
        <v>0.95397439765903735</v>
      </c>
      <c r="AT172">
        <v>32.228000000000002</v>
      </c>
      <c r="AU172" s="14">
        <v>0.95171721347783722</v>
      </c>
      <c r="AV172">
        <v>26</v>
      </c>
      <c r="AX172">
        <v>170</v>
      </c>
      <c r="AY172">
        <v>118.232033</v>
      </c>
      <c r="AZ172" s="14">
        <v>0.95639511846140801</v>
      </c>
      <c r="BA172">
        <v>32.784999999999997</v>
      </c>
      <c r="BB172" s="14">
        <v>0.95516256846521375</v>
      </c>
      <c r="BC172">
        <v>26</v>
      </c>
    </row>
    <row r="173" spans="15:55" x14ac:dyDescent="0.35">
      <c r="O173">
        <v>171</v>
      </c>
      <c r="P173">
        <v>118.101732</v>
      </c>
      <c r="Q173" s="14">
        <v>0.96268234156810273</v>
      </c>
      <c r="R173">
        <v>32.670999999999999</v>
      </c>
      <c r="S173" s="14">
        <v>0.96278069193139626</v>
      </c>
      <c r="T173">
        <v>26</v>
      </c>
      <c r="V173">
        <v>171</v>
      </c>
      <c r="W173">
        <v>118.17465300000001</v>
      </c>
      <c r="X173" s="14">
        <v>0.96412957518559872</v>
      </c>
      <c r="Y173">
        <v>32.645000000000003</v>
      </c>
      <c r="Z173" s="14">
        <v>0.96360469921482972</v>
      </c>
      <c r="AA173">
        <v>26</v>
      </c>
      <c r="AC173">
        <v>171</v>
      </c>
      <c r="AD173">
        <v>117.434704</v>
      </c>
      <c r="AE173" s="14">
        <v>0.96720794016672784</v>
      </c>
      <c r="AF173">
        <v>32.436</v>
      </c>
      <c r="AG173" s="14">
        <v>0.96555830083648364</v>
      </c>
      <c r="AH173">
        <v>26</v>
      </c>
      <c r="AJ173">
        <v>171</v>
      </c>
      <c r="AK173">
        <v>117.445988</v>
      </c>
      <c r="AL173" s="14">
        <v>0.95429780360837491</v>
      </c>
      <c r="AM173">
        <v>32.517000000000003</v>
      </c>
      <c r="AN173" s="14">
        <v>0.95117884514128603</v>
      </c>
      <c r="AO173">
        <v>26</v>
      </c>
      <c r="AQ173">
        <v>171</v>
      </c>
      <c r="AR173">
        <v>116.205028</v>
      </c>
      <c r="AS173" s="14">
        <v>0.95375264745190469</v>
      </c>
      <c r="AT173">
        <v>32.219000000000001</v>
      </c>
      <c r="AU173" s="14">
        <v>0.95145143667129317</v>
      </c>
      <c r="AV173">
        <v>26</v>
      </c>
      <c r="AX173">
        <v>171</v>
      </c>
      <c r="AY173">
        <v>118.21221799999999</v>
      </c>
      <c r="AZ173" s="14">
        <v>0.95623483221079164</v>
      </c>
      <c r="BA173">
        <v>32.777999999999999</v>
      </c>
      <c r="BB173" s="14">
        <v>0.95495862953035782</v>
      </c>
      <c r="BC173">
        <v>26</v>
      </c>
    </row>
    <row r="174" spans="15:55" x14ac:dyDescent="0.35">
      <c r="O174">
        <v>172</v>
      </c>
      <c r="P174">
        <v>118.035389</v>
      </c>
      <c r="Q174" s="14">
        <v>0.96214156004436813</v>
      </c>
      <c r="R174">
        <v>32.654000000000003</v>
      </c>
      <c r="S174" s="14">
        <v>0.96227971945541357</v>
      </c>
      <c r="T174">
        <v>26</v>
      </c>
      <c r="V174">
        <v>172</v>
      </c>
      <c r="W174">
        <v>118.181574</v>
      </c>
      <c r="X174" s="14">
        <v>0.96418604026182664</v>
      </c>
      <c r="Y174">
        <v>32.645000000000003</v>
      </c>
      <c r="Z174" s="14">
        <v>0.96360469921482972</v>
      </c>
      <c r="AA174">
        <v>26</v>
      </c>
      <c r="AC174">
        <v>172</v>
      </c>
      <c r="AD174">
        <v>117.412184</v>
      </c>
      <c r="AE174" s="14">
        <v>0.96702246243254331</v>
      </c>
      <c r="AF174">
        <v>32.432000000000002</v>
      </c>
      <c r="AG174" s="14">
        <v>0.96543922841068075</v>
      </c>
      <c r="AH174">
        <v>26</v>
      </c>
      <c r="AJ174">
        <v>172</v>
      </c>
      <c r="AK174">
        <v>117.412761</v>
      </c>
      <c r="AL174" s="14">
        <v>0.95402782032788602</v>
      </c>
      <c r="AM174">
        <v>32.506999999999998</v>
      </c>
      <c r="AN174" s="14">
        <v>0.95088632773650028</v>
      </c>
      <c r="AO174">
        <v>26</v>
      </c>
      <c r="AQ174">
        <v>172</v>
      </c>
      <c r="AR174">
        <v>116.13262899999999</v>
      </c>
      <c r="AS174" s="14">
        <v>0.95315843273407963</v>
      </c>
      <c r="AT174">
        <v>32.200000000000003</v>
      </c>
      <c r="AU174" s="14">
        <v>0.95089035230192254</v>
      </c>
      <c r="AV174">
        <v>26</v>
      </c>
      <c r="AX174">
        <v>172</v>
      </c>
      <c r="AY174">
        <v>118.218543</v>
      </c>
      <c r="AZ174" s="14">
        <v>0.95628599600262354</v>
      </c>
      <c r="BA174">
        <v>32.779000000000003</v>
      </c>
      <c r="BB174" s="14">
        <v>0.95498776366390881</v>
      </c>
      <c r="BC174">
        <v>26</v>
      </c>
    </row>
    <row r="175" spans="15:55" x14ac:dyDescent="0.35">
      <c r="O175">
        <v>173</v>
      </c>
      <c r="P175">
        <v>117.99218</v>
      </c>
      <c r="Q175" s="14">
        <v>0.96178935063479909</v>
      </c>
      <c r="R175">
        <v>32.643000000000001</v>
      </c>
      <c r="S175" s="14">
        <v>0.96195556079448352</v>
      </c>
      <c r="T175">
        <v>26</v>
      </c>
      <c r="V175">
        <v>173</v>
      </c>
      <c r="W175">
        <v>118.200541</v>
      </c>
      <c r="X175" s="14">
        <v>0.96434078279915014</v>
      </c>
      <c r="Y175">
        <v>32.65</v>
      </c>
      <c r="Z175" s="14">
        <v>0.96375228762028453</v>
      </c>
      <c r="AA175">
        <v>26</v>
      </c>
      <c r="AC175">
        <v>173</v>
      </c>
      <c r="AD175">
        <v>117.43677</v>
      </c>
      <c r="AE175" s="14">
        <v>0.96722495601925118</v>
      </c>
      <c r="AF175">
        <v>32.433999999999997</v>
      </c>
      <c r="AG175" s="14">
        <v>0.96549876462358208</v>
      </c>
      <c r="AH175">
        <v>26</v>
      </c>
      <c r="AJ175">
        <v>173</v>
      </c>
      <c r="AK175">
        <v>117.33642399999999</v>
      </c>
      <c r="AL175" s="14">
        <v>0.95340755025587587</v>
      </c>
      <c r="AM175">
        <v>32.488</v>
      </c>
      <c r="AN175" s="14">
        <v>0.95033054466740774</v>
      </c>
      <c r="AO175">
        <v>26</v>
      </c>
      <c r="AQ175">
        <v>173</v>
      </c>
      <c r="AR175">
        <v>116.076543</v>
      </c>
      <c r="AS175" s="14">
        <v>0.9526981069469288</v>
      </c>
      <c r="AT175">
        <v>32.185000000000002</v>
      </c>
      <c r="AU175" s="14">
        <v>0.95044739095768249</v>
      </c>
      <c r="AV175">
        <v>26</v>
      </c>
      <c r="AX175">
        <v>173</v>
      </c>
      <c r="AY175">
        <v>118.22985799999999</v>
      </c>
      <c r="AZ175" s="14">
        <v>0.95637752458832737</v>
      </c>
      <c r="BA175">
        <v>32.78</v>
      </c>
      <c r="BB175" s="14">
        <v>0.95501689779745957</v>
      </c>
      <c r="BC175">
        <v>26</v>
      </c>
    </row>
    <row r="176" spans="15:55" x14ac:dyDescent="0.35">
      <c r="O176">
        <v>174</v>
      </c>
      <c r="P176">
        <v>117.98771600000001</v>
      </c>
      <c r="Q176" s="14">
        <v>0.96175296324318349</v>
      </c>
      <c r="R176">
        <v>32.640999999999998</v>
      </c>
      <c r="S176" s="14">
        <v>0.96189662285613253</v>
      </c>
      <c r="T176">
        <v>26</v>
      </c>
      <c r="V176">
        <v>174</v>
      </c>
      <c r="W176">
        <v>118.197373</v>
      </c>
      <c r="X176" s="14">
        <v>0.96431493662641643</v>
      </c>
      <c r="Y176">
        <v>32.646000000000001</v>
      </c>
      <c r="Z176" s="14">
        <v>0.96363421689592066</v>
      </c>
      <c r="AA176">
        <v>26</v>
      </c>
      <c r="AC176">
        <v>174</v>
      </c>
      <c r="AD176">
        <v>117.444563</v>
      </c>
      <c r="AE176" s="14">
        <v>0.96728914021030366</v>
      </c>
      <c r="AF176">
        <v>32.435000000000002</v>
      </c>
      <c r="AG176" s="14">
        <v>0.96552853273003303</v>
      </c>
      <c r="AH176">
        <v>26</v>
      </c>
      <c r="AJ176">
        <v>174</v>
      </c>
      <c r="AK176">
        <v>117.290599</v>
      </c>
      <c r="AL176" s="14">
        <v>0.95303520295312816</v>
      </c>
      <c r="AM176">
        <v>32.475999999999999</v>
      </c>
      <c r="AN176" s="14">
        <v>0.94997952378166495</v>
      </c>
      <c r="AO176">
        <v>26</v>
      </c>
      <c r="AQ176">
        <v>174</v>
      </c>
      <c r="AR176">
        <v>116.071487</v>
      </c>
      <c r="AS176" s="14">
        <v>0.95265660983214384</v>
      </c>
      <c r="AT176">
        <v>32.183999999999997</v>
      </c>
      <c r="AU176" s="14">
        <v>0.95041786020139973</v>
      </c>
      <c r="AV176">
        <v>26</v>
      </c>
      <c r="AX176">
        <v>174</v>
      </c>
      <c r="AY176">
        <v>118.198086</v>
      </c>
      <c r="AZ176" s="14">
        <v>0.95612051652602215</v>
      </c>
      <c r="BA176">
        <v>32.770000000000003</v>
      </c>
      <c r="BB176" s="14">
        <v>0.95472555646195101</v>
      </c>
      <c r="BC176">
        <v>26</v>
      </c>
    </row>
    <row r="177" spans="15:55" x14ac:dyDescent="0.35">
      <c r="O177">
        <v>175</v>
      </c>
      <c r="P177">
        <v>117.97956499999999</v>
      </c>
      <c r="Q177" s="14">
        <v>0.96168652201803595</v>
      </c>
      <c r="R177">
        <v>32.637</v>
      </c>
      <c r="S177" s="14">
        <v>0.96177874697943078</v>
      </c>
      <c r="T177">
        <v>26</v>
      </c>
      <c r="V177">
        <v>175</v>
      </c>
      <c r="W177">
        <v>118.142916</v>
      </c>
      <c r="X177" s="14">
        <v>0.96387064842295644</v>
      </c>
      <c r="Y177">
        <v>32.631999999999998</v>
      </c>
      <c r="Z177" s="14">
        <v>0.96322096936064694</v>
      </c>
      <c r="AA177">
        <v>26</v>
      </c>
      <c r="AC177">
        <v>175</v>
      </c>
      <c r="AD177">
        <v>117.403795</v>
      </c>
      <c r="AE177" s="14">
        <v>0.96695336950571942</v>
      </c>
      <c r="AF177">
        <v>32.423000000000002</v>
      </c>
      <c r="AG177" s="14">
        <v>0.96517131545262402</v>
      </c>
      <c r="AH177">
        <v>26</v>
      </c>
      <c r="AJ177">
        <v>175</v>
      </c>
      <c r="AK177">
        <v>117.291735</v>
      </c>
      <c r="AL177" s="14">
        <v>0.95304443342854384</v>
      </c>
      <c r="AM177">
        <v>32.475000000000001</v>
      </c>
      <c r="AN177" s="14">
        <v>0.94995027204118654</v>
      </c>
      <c r="AO177">
        <v>26</v>
      </c>
      <c r="AQ177">
        <v>175</v>
      </c>
      <c r="AR177">
        <v>116.077417</v>
      </c>
      <c r="AS177" s="14">
        <v>0.9527052803010273</v>
      </c>
      <c r="AT177">
        <v>32.183</v>
      </c>
      <c r="AU177" s="14">
        <v>0.95038832944511709</v>
      </c>
      <c r="AV177">
        <v>26</v>
      </c>
      <c r="AX177">
        <v>175</v>
      </c>
      <c r="AY177">
        <v>118.129942</v>
      </c>
      <c r="AZ177" s="14">
        <v>0.95556929037098814</v>
      </c>
      <c r="BA177">
        <v>32.752000000000002</v>
      </c>
      <c r="BB177" s="14">
        <v>0.9542011420580353</v>
      </c>
      <c r="BC177">
        <v>26</v>
      </c>
    </row>
    <row r="178" spans="15:55" x14ac:dyDescent="0.35">
      <c r="O178">
        <v>176</v>
      </c>
      <c r="P178">
        <v>117.93973099999999</v>
      </c>
      <c r="Q178" s="14">
        <v>0.96136182323720831</v>
      </c>
      <c r="R178">
        <v>32.625999999999998</v>
      </c>
      <c r="S178" s="14">
        <v>0.96145458831850061</v>
      </c>
      <c r="T178">
        <v>26</v>
      </c>
      <c r="V178">
        <v>176</v>
      </c>
      <c r="W178">
        <v>118.087371</v>
      </c>
      <c r="X178" s="14">
        <v>0.96341748375613334</v>
      </c>
      <c r="Y178">
        <v>32.616999999999997</v>
      </c>
      <c r="Z178" s="14">
        <v>0.96277820414428239</v>
      </c>
      <c r="AA178">
        <v>26</v>
      </c>
      <c r="AC178">
        <v>176</v>
      </c>
      <c r="AD178">
        <v>117.33619299999999</v>
      </c>
      <c r="AE178" s="14">
        <v>0.96639659038554415</v>
      </c>
      <c r="AF178">
        <v>32.405999999999999</v>
      </c>
      <c r="AG178" s="14">
        <v>0.96466525764296118</v>
      </c>
      <c r="AH178">
        <v>26</v>
      </c>
      <c r="AJ178">
        <v>176</v>
      </c>
      <c r="AK178">
        <v>117.291787</v>
      </c>
      <c r="AL178" s="14">
        <v>0.95304485595030575</v>
      </c>
      <c r="AM178">
        <v>32.473999999999997</v>
      </c>
      <c r="AN178" s="14">
        <v>0.9499210203007078</v>
      </c>
      <c r="AO178">
        <v>26</v>
      </c>
      <c r="AQ178">
        <v>176</v>
      </c>
      <c r="AR178">
        <v>116.064047</v>
      </c>
      <c r="AS178" s="14">
        <v>0.95259554603981766</v>
      </c>
      <c r="AT178">
        <v>32.177999999999997</v>
      </c>
      <c r="AU178" s="14">
        <v>0.95024067566370363</v>
      </c>
      <c r="AV178">
        <v>26</v>
      </c>
      <c r="AX178">
        <v>176</v>
      </c>
      <c r="AY178">
        <v>118.087431</v>
      </c>
      <c r="AZ178" s="14">
        <v>0.95522541306591879</v>
      </c>
      <c r="BA178">
        <v>32.741</v>
      </c>
      <c r="BB178" s="14">
        <v>0.95388066658897563</v>
      </c>
      <c r="BC178">
        <v>26</v>
      </c>
    </row>
    <row r="179" spans="15:55" x14ac:dyDescent="0.35">
      <c r="O179">
        <v>177</v>
      </c>
      <c r="P179">
        <v>117.869196</v>
      </c>
      <c r="Q179" s="14">
        <v>0.96078687147475239</v>
      </c>
      <c r="R179">
        <v>32.607999999999997</v>
      </c>
      <c r="S179" s="14">
        <v>0.96092414687334238</v>
      </c>
      <c r="T179">
        <v>26</v>
      </c>
      <c r="V179">
        <v>177</v>
      </c>
      <c r="W179">
        <v>118.058601</v>
      </c>
      <c r="X179" s="14">
        <v>0.9631827633048865</v>
      </c>
      <c r="Y179">
        <v>32.61</v>
      </c>
      <c r="Z179" s="14">
        <v>0.96257158037664559</v>
      </c>
      <c r="AA179">
        <v>26</v>
      </c>
      <c r="AC179">
        <v>177</v>
      </c>
      <c r="AD179">
        <v>117.30610900000001</v>
      </c>
      <c r="AE179" s="14">
        <v>0.96614881453495782</v>
      </c>
      <c r="AF179">
        <v>32.399000000000001</v>
      </c>
      <c r="AG179" s="14">
        <v>0.96445688089780601</v>
      </c>
      <c r="AH179">
        <v>26</v>
      </c>
      <c r="AJ179">
        <v>177</v>
      </c>
      <c r="AK179">
        <v>117.282309</v>
      </c>
      <c r="AL179" s="14">
        <v>0.95296784323376571</v>
      </c>
      <c r="AM179">
        <v>32.469000000000001</v>
      </c>
      <c r="AN179" s="14">
        <v>0.94977476159831509</v>
      </c>
      <c r="AO179">
        <v>26</v>
      </c>
      <c r="AQ179">
        <v>177</v>
      </c>
      <c r="AR179">
        <v>116.013239</v>
      </c>
      <c r="AS179" s="14">
        <v>0.95217853943222286</v>
      </c>
      <c r="AT179">
        <v>32.162999999999997</v>
      </c>
      <c r="AU179" s="14">
        <v>0.94979771431946358</v>
      </c>
      <c r="AV179">
        <v>26</v>
      </c>
      <c r="AX179">
        <v>177</v>
      </c>
      <c r="AY179">
        <v>118.07114799999999</v>
      </c>
      <c r="AZ179" s="14">
        <v>0.95509369764735774</v>
      </c>
      <c r="BA179">
        <v>32.737000000000002</v>
      </c>
      <c r="BB179" s="14">
        <v>0.95376413005477223</v>
      </c>
      <c r="BC179">
        <v>26</v>
      </c>
    </row>
    <row r="180" spans="15:55" x14ac:dyDescent="0.35">
      <c r="O180">
        <v>178</v>
      </c>
      <c r="P180">
        <v>117.820125</v>
      </c>
      <c r="Q180" s="14">
        <v>0.96038687915979559</v>
      </c>
      <c r="R180">
        <v>32.594999999999999</v>
      </c>
      <c r="S180" s="14">
        <v>0.96054105027406145</v>
      </c>
      <c r="T180">
        <v>26</v>
      </c>
      <c r="V180">
        <v>178</v>
      </c>
      <c r="W180">
        <v>118.06005399999999</v>
      </c>
      <c r="X180" s="14">
        <v>0.96319461762590353</v>
      </c>
      <c r="Y180">
        <v>32.609000000000002</v>
      </c>
      <c r="Z180" s="14">
        <v>0.96254206269555465</v>
      </c>
      <c r="AA180">
        <v>26</v>
      </c>
      <c r="AC180">
        <v>178</v>
      </c>
      <c r="AD180">
        <v>117.304698</v>
      </c>
      <c r="AE180" s="14">
        <v>0.96613719335010273</v>
      </c>
      <c r="AF180">
        <v>32.396999999999998</v>
      </c>
      <c r="AG180" s="14">
        <v>0.96439734468490446</v>
      </c>
      <c r="AH180">
        <v>26</v>
      </c>
      <c r="AJ180">
        <v>178</v>
      </c>
      <c r="AK180">
        <v>117.220783</v>
      </c>
      <c r="AL180" s="14">
        <v>0.95246791873515446</v>
      </c>
      <c r="AM180">
        <v>32.453000000000003</v>
      </c>
      <c r="AN180" s="14">
        <v>0.94930673375065822</v>
      </c>
      <c r="AO180">
        <v>26</v>
      </c>
      <c r="AQ180">
        <v>178</v>
      </c>
      <c r="AR180">
        <v>115.955224</v>
      </c>
      <c r="AS180" s="14">
        <v>0.95170238137956165</v>
      </c>
      <c r="AT180">
        <v>32.149000000000001</v>
      </c>
      <c r="AU180" s="14">
        <v>0.94938428373150641</v>
      </c>
      <c r="AV180">
        <v>26</v>
      </c>
      <c r="AX180">
        <v>178</v>
      </c>
      <c r="AY180">
        <v>118.073525</v>
      </c>
      <c r="AZ180" s="14">
        <v>0.95511292552612215</v>
      </c>
      <c r="BA180">
        <v>32.734999999999999</v>
      </c>
      <c r="BB180" s="14">
        <v>0.95370586178767047</v>
      </c>
      <c r="BC180">
        <v>26</v>
      </c>
    </row>
    <row r="181" spans="15:55" x14ac:dyDescent="0.35">
      <c r="O181">
        <v>179</v>
      </c>
      <c r="P181">
        <v>117.822394</v>
      </c>
      <c r="Q181" s="14">
        <v>0.96040537445360741</v>
      </c>
      <c r="R181">
        <v>32.594000000000001</v>
      </c>
      <c r="S181" s="14">
        <v>0.96051158130488601</v>
      </c>
      <c r="T181">
        <v>26</v>
      </c>
      <c r="V181">
        <v>179</v>
      </c>
      <c r="W181">
        <v>118.05254600000001</v>
      </c>
      <c r="X181" s="14">
        <v>0.96313336350188694</v>
      </c>
      <c r="Y181">
        <v>32.606000000000002</v>
      </c>
      <c r="Z181" s="14">
        <v>0.96245350965228171</v>
      </c>
      <c r="AA181">
        <v>26</v>
      </c>
      <c r="AC181">
        <v>179</v>
      </c>
      <c r="AD181">
        <v>117.30638399999999</v>
      </c>
      <c r="AE181" s="14">
        <v>0.96615107947176493</v>
      </c>
      <c r="AF181">
        <v>32.396000000000001</v>
      </c>
      <c r="AG181" s="14">
        <v>0.96436757657845373</v>
      </c>
      <c r="AH181">
        <v>26</v>
      </c>
      <c r="AJ181">
        <v>179</v>
      </c>
      <c r="AK181">
        <v>117.157989</v>
      </c>
      <c r="AL181" s="14">
        <v>0.95195769120588558</v>
      </c>
      <c r="AM181">
        <v>32.436</v>
      </c>
      <c r="AN181" s="14">
        <v>0.94880945416252271</v>
      </c>
      <c r="AO181">
        <v>26</v>
      </c>
      <c r="AQ181">
        <v>179</v>
      </c>
      <c r="AR181">
        <v>115.935288</v>
      </c>
      <c r="AS181" s="14">
        <v>0.95153875668012444</v>
      </c>
      <c r="AT181">
        <v>32.140999999999998</v>
      </c>
      <c r="AU181" s="14">
        <v>0.949148037681245</v>
      </c>
      <c r="AV181">
        <v>26</v>
      </c>
      <c r="AX181">
        <v>179</v>
      </c>
      <c r="AY181">
        <v>118.037633</v>
      </c>
      <c r="AZ181" s="14">
        <v>0.95482259021917693</v>
      </c>
      <c r="BA181">
        <v>32.725000000000001</v>
      </c>
      <c r="BB181" s="14">
        <v>0.9534145204521618</v>
      </c>
      <c r="BC181">
        <v>26</v>
      </c>
    </row>
    <row r="182" spans="15:55" x14ac:dyDescent="0.35">
      <c r="O182">
        <v>180</v>
      </c>
      <c r="P182">
        <v>117.80646</v>
      </c>
      <c r="Q182" s="14">
        <v>0.96027549168075732</v>
      </c>
      <c r="R182">
        <v>32.588999999999999</v>
      </c>
      <c r="S182" s="14">
        <v>0.9603642364590087</v>
      </c>
      <c r="T182">
        <v>26</v>
      </c>
      <c r="V182">
        <v>180</v>
      </c>
      <c r="W182">
        <v>117.992689</v>
      </c>
      <c r="X182" s="14">
        <v>0.96264501932217617</v>
      </c>
      <c r="Y182">
        <v>32.590000000000003</v>
      </c>
      <c r="Z182" s="14">
        <v>0.96198122675482622</v>
      </c>
      <c r="AA182">
        <v>26</v>
      </c>
      <c r="AC182">
        <v>180</v>
      </c>
      <c r="AD182">
        <v>117.26493499999999</v>
      </c>
      <c r="AE182" s="14">
        <v>0.96580969996003252</v>
      </c>
      <c r="AF182">
        <v>32.384</v>
      </c>
      <c r="AG182" s="14">
        <v>0.96401035930104473</v>
      </c>
      <c r="AH182">
        <v>26</v>
      </c>
      <c r="AJ182">
        <v>180</v>
      </c>
      <c r="AK182">
        <v>117.150074</v>
      </c>
      <c r="AL182" s="14">
        <v>0.95189337851846068</v>
      </c>
      <c r="AM182">
        <v>32.433</v>
      </c>
      <c r="AN182" s="14">
        <v>0.94872169894108704</v>
      </c>
      <c r="AO182">
        <v>26</v>
      </c>
      <c r="AQ182">
        <v>180</v>
      </c>
      <c r="AR182">
        <v>115.925831</v>
      </c>
      <c r="AS182" s="14">
        <v>0.95146113836237867</v>
      </c>
      <c r="AT182">
        <v>32.139000000000003</v>
      </c>
      <c r="AU182" s="14">
        <v>0.94908897616867982</v>
      </c>
      <c r="AV182">
        <v>26</v>
      </c>
      <c r="AX182">
        <v>180</v>
      </c>
      <c r="AY182">
        <v>117.955375</v>
      </c>
      <c r="AZ182" s="14">
        <v>0.95415719398384025</v>
      </c>
      <c r="BA182">
        <v>32.704000000000001</v>
      </c>
      <c r="BB182" s="14">
        <v>0.95280270364759356</v>
      </c>
      <c r="BC182">
        <v>26</v>
      </c>
    </row>
    <row r="183" spans="15:55" x14ac:dyDescent="0.35">
      <c r="O183">
        <v>181</v>
      </c>
      <c r="P183">
        <v>117.77086</v>
      </c>
      <c r="Q183" s="14">
        <v>0.9599853054931422</v>
      </c>
      <c r="R183">
        <v>32.579000000000001</v>
      </c>
      <c r="S183" s="14">
        <v>0.9600695467672542</v>
      </c>
      <c r="T183">
        <v>26</v>
      </c>
      <c r="V183">
        <v>181</v>
      </c>
      <c r="W183">
        <v>117.926652</v>
      </c>
      <c r="X183" s="14">
        <v>0.96210625552520079</v>
      </c>
      <c r="Y183">
        <v>32.573</v>
      </c>
      <c r="Z183" s="14">
        <v>0.96147942617627957</v>
      </c>
      <c r="AA183">
        <v>26</v>
      </c>
      <c r="AC183">
        <v>181</v>
      </c>
      <c r="AD183">
        <v>117.19541100000001</v>
      </c>
      <c r="AE183" s="14">
        <v>0.96523709099060773</v>
      </c>
      <c r="AF183">
        <v>32.368000000000002</v>
      </c>
      <c r="AG183" s="14">
        <v>0.96353406959783283</v>
      </c>
      <c r="AH183">
        <v>26</v>
      </c>
      <c r="AJ183">
        <v>181</v>
      </c>
      <c r="AK183">
        <v>117.149389</v>
      </c>
      <c r="AL183" s="14">
        <v>0.95188781260678834</v>
      </c>
      <c r="AM183">
        <v>32.430999999999997</v>
      </c>
      <c r="AN183" s="14">
        <v>0.94866319546012978</v>
      </c>
      <c r="AO183">
        <v>26</v>
      </c>
      <c r="AQ183">
        <v>181</v>
      </c>
      <c r="AR183">
        <v>115.905638</v>
      </c>
      <c r="AS183" s="14">
        <v>0.95129540433570647</v>
      </c>
      <c r="AT183">
        <v>32.130000000000003</v>
      </c>
      <c r="AU183" s="14">
        <v>0.94882319936213577</v>
      </c>
      <c r="AV183">
        <v>26</v>
      </c>
      <c r="AX183">
        <v>181</v>
      </c>
      <c r="AY183">
        <v>117.906268</v>
      </c>
      <c r="AZ183" s="14">
        <v>0.95375996073079883</v>
      </c>
      <c r="BA183">
        <v>32.692</v>
      </c>
      <c r="BB183" s="14">
        <v>0.95245309404498313</v>
      </c>
      <c r="BC183">
        <v>26</v>
      </c>
    </row>
    <row r="184" spans="15:55" x14ac:dyDescent="0.35">
      <c r="O184">
        <v>182</v>
      </c>
      <c r="P184">
        <v>117.688852</v>
      </c>
      <c r="Q184" s="14">
        <v>0.95931683389555955</v>
      </c>
      <c r="R184">
        <v>32.558</v>
      </c>
      <c r="S184" s="14">
        <v>0.95945069841456954</v>
      </c>
      <c r="T184">
        <v>26</v>
      </c>
      <c r="V184">
        <v>182</v>
      </c>
      <c r="W184">
        <v>117.90425999999999</v>
      </c>
      <c r="X184" s="14">
        <v>0.96192357007701446</v>
      </c>
      <c r="Y184">
        <v>32.567999999999998</v>
      </c>
      <c r="Z184" s="14">
        <v>0.96133183777082465</v>
      </c>
      <c r="AA184">
        <v>26</v>
      </c>
      <c r="AC184">
        <v>182</v>
      </c>
      <c r="AD184">
        <v>117.14919</v>
      </c>
      <c r="AE184" s="14">
        <v>0.96485640864816791</v>
      </c>
      <c r="AF184">
        <v>32.356000000000002</v>
      </c>
      <c r="AG184" s="14">
        <v>0.96317685232042383</v>
      </c>
      <c r="AH184">
        <v>26</v>
      </c>
      <c r="AJ184">
        <v>182</v>
      </c>
      <c r="AK184">
        <v>117.124126</v>
      </c>
      <c r="AL184" s="14">
        <v>0.95168254015923093</v>
      </c>
      <c r="AM184">
        <v>32.423000000000002</v>
      </c>
      <c r="AN184" s="14">
        <v>0.94842918153630151</v>
      </c>
      <c r="AO184">
        <v>26</v>
      </c>
      <c r="AQ184">
        <v>182</v>
      </c>
      <c r="AR184">
        <v>115.83047000000001</v>
      </c>
      <c r="AS184" s="14">
        <v>0.95067846305323755</v>
      </c>
      <c r="AT184">
        <v>32.112000000000002</v>
      </c>
      <c r="AU184" s="14">
        <v>0.94829164574904767</v>
      </c>
      <c r="AV184">
        <v>26</v>
      </c>
      <c r="AX184">
        <v>182</v>
      </c>
      <c r="AY184">
        <v>117.911614</v>
      </c>
      <c r="AZ184" s="14">
        <v>0.95380320525746021</v>
      </c>
      <c r="BA184">
        <v>32.691000000000003</v>
      </c>
      <c r="BB184" s="14">
        <v>0.95242395991143236</v>
      </c>
      <c r="BC184">
        <v>26</v>
      </c>
    </row>
    <row r="185" spans="15:55" x14ac:dyDescent="0.35">
      <c r="O185">
        <v>183</v>
      </c>
      <c r="P185">
        <v>117.65103499999999</v>
      </c>
      <c r="Q185" s="14">
        <v>0.95900857628159764</v>
      </c>
      <c r="R185">
        <v>32.548000000000002</v>
      </c>
      <c r="S185" s="14">
        <v>0.95915600872281503</v>
      </c>
      <c r="T185">
        <v>26</v>
      </c>
      <c r="V185">
        <v>183</v>
      </c>
      <c r="W185">
        <v>117.89962800000001</v>
      </c>
      <c r="X185" s="14">
        <v>0.96188577983960843</v>
      </c>
      <c r="Y185">
        <v>32.564999999999998</v>
      </c>
      <c r="Z185" s="14">
        <v>0.96124328472755172</v>
      </c>
      <c r="AA185">
        <v>26</v>
      </c>
      <c r="AC185">
        <v>183</v>
      </c>
      <c r="AD185">
        <v>117.151059</v>
      </c>
      <c r="AE185" s="14">
        <v>0.96487180198232381</v>
      </c>
      <c r="AF185">
        <v>32.354999999999997</v>
      </c>
      <c r="AG185" s="14">
        <v>0.96314708421397299</v>
      </c>
      <c r="AH185">
        <v>26</v>
      </c>
      <c r="AJ185">
        <v>183</v>
      </c>
      <c r="AK185">
        <v>117.031808</v>
      </c>
      <c r="AL185" s="14">
        <v>0.95093241777417747</v>
      </c>
      <c r="AM185">
        <v>32.399000000000001</v>
      </c>
      <c r="AN185" s="14">
        <v>0.94772713976481604</v>
      </c>
      <c r="AO185">
        <v>26</v>
      </c>
      <c r="AQ185">
        <v>183</v>
      </c>
      <c r="AR185">
        <v>115.76967399999999</v>
      </c>
      <c r="AS185" s="14">
        <v>0.95017947994594465</v>
      </c>
      <c r="AT185">
        <v>32.094999999999999</v>
      </c>
      <c r="AU185" s="14">
        <v>0.94778962289224222</v>
      </c>
      <c r="AV185">
        <v>26</v>
      </c>
      <c r="AX185">
        <v>183</v>
      </c>
      <c r="AY185">
        <v>117.889813</v>
      </c>
      <c r="AZ185" s="14">
        <v>0.9536268539806656</v>
      </c>
      <c r="BA185">
        <v>32.685000000000002</v>
      </c>
      <c r="BB185" s="14">
        <v>0.9522491551101272</v>
      </c>
      <c r="BC185">
        <v>26</v>
      </c>
    </row>
    <row r="186" spans="15:55" x14ac:dyDescent="0.35">
      <c r="O186">
        <v>184</v>
      </c>
      <c r="P186">
        <v>117.656958</v>
      </c>
      <c r="Q186" s="14">
        <v>0.95905685641612715</v>
      </c>
      <c r="R186">
        <v>32.549999999999997</v>
      </c>
      <c r="S186" s="14">
        <v>0.9592149466611658</v>
      </c>
      <c r="T186">
        <v>26</v>
      </c>
      <c r="V186">
        <v>184</v>
      </c>
      <c r="W186">
        <v>117.883747</v>
      </c>
      <c r="X186" s="14">
        <v>0.96175621447686077</v>
      </c>
      <c r="Y186">
        <v>32.56</v>
      </c>
      <c r="Z186" s="14">
        <v>0.96109569632209702</v>
      </c>
      <c r="AA186">
        <v>26</v>
      </c>
      <c r="AC186">
        <v>184</v>
      </c>
      <c r="AD186">
        <v>117.14603700000001</v>
      </c>
      <c r="AE186" s="14">
        <v>0.96483044011815533</v>
      </c>
      <c r="AF186">
        <v>32.351999999999997</v>
      </c>
      <c r="AG186" s="14">
        <v>0.96305777989462071</v>
      </c>
      <c r="AH186">
        <v>26</v>
      </c>
      <c r="AJ186">
        <v>184</v>
      </c>
      <c r="AK186">
        <v>116.971273</v>
      </c>
      <c r="AL186" s="14">
        <v>0.95044054556529933</v>
      </c>
      <c r="AM186">
        <v>32.384</v>
      </c>
      <c r="AN186" s="14">
        <v>0.94728836365763769</v>
      </c>
      <c r="AO186">
        <v>26</v>
      </c>
      <c r="AQ186">
        <v>184</v>
      </c>
      <c r="AR186">
        <v>115.743454</v>
      </c>
      <c r="AS186" s="14">
        <v>0.94996427932298899</v>
      </c>
      <c r="AT186">
        <v>32.090000000000003</v>
      </c>
      <c r="AU186" s="14">
        <v>0.9476419691108291</v>
      </c>
      <c r="AV186">
        <v>26</v>
      </c>
      <c r="AX186">
        <v>184</v>
      </c>
      <c r="AY186">
        <v>117.85455399999999</v>
      </c>
      <c r="AZ186" s="14">
        <v>0.95334163909747194</v>
      </c>
      <c r="BA186">
        <v>32.673999999999999</v>
      </c>
      <c r="BB186" s="14">
        <v>0.95192867964106753</v>
      </c>
      <c r="BC186">
        <v>26</v>
      </c>
    </row>
    <row r="187" spans="15:55" x14ac:dyDescent="0.35">
      <c r="O187">
        <v>185</v>
      </c>
      <c r="P187">
        <v>117.64836</v>
      </c>
      <c r="Q187" s="14">
        <v>0.95898677156103951</v>
      </c>
      <c r="R187">
        <v>32.545000000000002</v>
      </c>
      <c r="S187" s="14">
        <v>0.95906760181528861</v>
      </c>
      <c r="T187">
        <v>26</v>
      </c>
      <c r="V187">
        <v>185</v>
      </c>
      <c r="W187">
        <v>117.83305799999999</v>
      </c>
      <c r="X187" s="14">
        <v>0.96134266755460673</v>
      </c>
      <c r="Y187">
        <v>32.545999999999999</v>
      </c>
      <c r="Z187" s="14">
        <v>0.9606824487868233</v>
      </c>
      <c r="AA187">
        <v>26</v>
      </c>
      <c r="AC187">
        <v>185</v>
      </c>
      <c r="AD187">
        <v>117.11049199999999</v>
      </c>
      <c r="AE187" s="14">
        <v>0.96453768674064233</v>
      </c>
      <c r="AF187">
        <v>32.341000000000001</v>
      </c>
      <c r="AG187" s="14">
        <v>0.96273033072366265</v>
      </c>
      <c r="AH187">
        <v>26</v>
      </c>
      <c r="AJ187">
        <v>185</v>
      </c>
      <c r="AK187">
        <v>116.96004499999999</v>
      </c>
      <c r="AL187" s="14">
        <v>0.95034931336638495</v>
      </c>
      <c r="AM187">
        <v>32.381999999999998</v>
      </c>
      <c r="AN187" s="14">
        <v>0.94722986017668043</v>
      </c>
      <c r="AO187">
        <v>26</v>
      </c>
      <c r="AQ187">
        <v>185</v>
      </c>
      <c r="AR187">
        <v>115.753384</v>
      </c>
      <c r="AS187" s="14">
        <v>0.95004577978774674</v>
      </c>
      <c r="AT187">
        <v>32.087000000000003</v>
      </c>
      <c r="AU187" s="14">
        <v>0.94755337684198104</v>
      </c>
      <c r="AV187">
        <v>26</v>
      </c>
      <c r="AX187">
        <v>185</v>
      </c>
      <c r="AY187">
        <v>117.771879</v>
      </c>
      <c r="AZ187" s="14">
        <v>0.95267286969198617</v>
      </c>
      <c r="BA187">
        <v>32.654000000000003</v>
      </c>
      <c r="BB187" s="14">
        <v>0.95134599697005029</v>
      </c>
      <c r="BC187">
        <v>26</v>
      </c>
    </row>
    <row r="188" spans="15:55" x14ac:dyDescent="0.35">
      <c r="O188">
        <v>186</v>
      </c>
      <c r="P188">
        <v>117.61941899999999</v>
      </c>
      <c r="Q188" s="14">
        <v>0.95875086486284378</v>
      </c>
      <c r="R188">
        <v>32.536000000000001</v>
      </c>
      <c r="S188" s="14">
        <v>0.95880238109270943</v>
      </c>
      <c r="T188">
        <v>26</v>
      </c>
      <c r="V188">
        <v>186</v>
      </c>
      <c r="W188">
        <v>117.756861</v>
      </c>
      <c r="X188" s="14">
        <v>0.96072101325416703</v>
      </c>
      <c r="Y188">
        <v>32.527000000000001</v>
      </c>
      <c r="Z188" s="14">
        <v>0.96012161284609487</v>
      </c>
      <c r="AA188">
        <v>26</v>
      </c>
      <c r="AC188">
        <v>186</v>
      </c>
      <c r="AD188">
        <v>117.03109600000001</v>
      </c>
      <c r="AE188" s="14">
        <v>0.96388377065790187</v>
      </c>
      <c r="AF188">
        <v>32.323</v>
      </c>
      <c r="AG188" s="14">
        <v>0.96219450480754909</v>
      </c>
      <c r="AH188">
        <v>26</v>
      </c>
      <c r="AJ188">
        <v>186</v>
      </c>
      <c r="AK188">
        <v>116.953215</v>
      </c>
      <c r="AL188" s="14">
        <v>0.95029381675803215</v>
      </c>
      <c r="AM188">
        <v>32.375999999999998</v>
      </c>
      <c r="AN188" s="14">
        <v>0.94705434973380909</v>
      </c>
      <c r="AO188">
        <v>26</v>
      </c>
      <c r="AQ188">
        <v>186</v>
      </c>
      <c r="AR188">
        <v>115.72815900000001</v>
      </c>
      <c r="AS188" s="14">
        <v>0.9498387456262648</v>
      </c>
      <c r="AT188">
        <v>32.081000000000003</v>
      </c>
      <c r="AU188" s="14">
        <v>0.94737619230428505</v>
      </c>
      <c r="AV188">
        <v>26</v>
      </c>
      <c r="AX188">
        <v>186</v>
      </c>
      <c r="AY188">
        <v>117.721605</v>
      </c>
      <c r="AZ188" s="14">
        <v>0.95226619641600918</v>
      </c>
      <c r="BA188">
        <v>32.642000000000003</v>
      </c>
      <c r="BB188" s="14">
        <v>0.95099638736743985</v>
      </c>
      <c r="BC188">
        <v>26</v>
      </c>
    </row>
    <row r="189" spans="15:55" x14ac:dyDescent="0.35">
      <c r="O189">
        <v>187</v>
      </c>
      <c r="P189">
        <v>117.55839899999999</v>
      </c>
      <c r="Q189" s="14">
        <v>0.95825347269519556</v>
      </c>
      <c r="R189">
        <v>32.520000000000003</v>
      </c>
      <c r="S189" s="14">
        <v>0.95833087758590219</v>
      </c>
      <c r="T189">
        <v>26</v>
      </c>
      <c r="V189">
        <v>187</v>
      </c>
      <c r="W189">
        <v>117.732541</v>
      </c>
      <c r="X189" s="14">
        <v>0.96052259819075647</v>
      </c>
      <c r="Y189">
        <v>32.521000000000001</v>
      </c>
      <c r="Z189" s="14">
        <v>0.95994450675954901</v>
      </c>
      <c r="AA189">
        <v>26</v>
      </c>
      <c r="AC189">
        <v>187</v>
      </c>
      <c r="AD189">
        <v>116.979343</v>
      </c>
      <c r="AE189" s="14">
        <v>0.9634575260230327</v>
      </c>
      <c r="AF189">
        <v>32.308999999999997</v>
      </c>
      <c r="AG189" s="14">
        <v>0.96177775131723853</v>
      </c>
      <c r="AH189">
        <v>26</v>
      </c>
      <c r="AJ189">
        <v>187</v>
      </c>
      <c r="AK189">
        <v>116.936172</v>
      </c>
      <c r="AL189" s="14">
        <v>0.95015533525054208</v>
      </c>
      <c r="AM189">
        <v>32.371000000000002</v>
      </c>
      <c r="AN189" s="14">
        <v>0.94690809103141649</v>
      </c>
      <c r="AO189">
        <v>26</v>
      </c>
      <c r="AQ189">
        <v>187</v>
      </c>
      <c r="AR189">
        <v>115.67932999999999</v>
      </c>
      <c r="AS189" s="14">
        <v>0.94943798165912874</v>
      </c>
      <c r="AT189">
        <v>32.064999999999998</v>
      </c>
      <c r="AU189" s="14">
        <v>0.94690370020376213</v>
      </c>
      <c r="AV189">
        <v>26</v>
      </c>
      <c r="AX189">
        <v>187</v>
      </c>
      <c r="AY189">
        <v>117.721558</v>
      </c>
      <c r="AZ189" s="14">
        <v>0.95226581622656792</v>
      </c>
      <c r="BA189">
        <v>32.64</v>
      </c>
      <c r="BB189" s="14">
        <v>0.95093811910033799</v>
      </c>
      <c r="BC189">
        <v>26</v>
      </c>
    </row>
    <row r="190" spans="15:55" x14ac:dyDescent="0.35">
      <c r="O190">
        <v>188</v>
      </c>
      <c r="P190">
        <v>117.51106900000001</v>
      </c>
      <c r="Q190" s="14">
        <v>0.95786767178902077</v>
      </c>
      <c r="R190">
        <v>32.509</v>
      </c>
      <c r="S190" s="14">
        <v>0.95800671892497213</v>
      </c>
      <c r="T190">
        <v>26</v>
      </c>
      <c r="V190">
        <v>188</v>
      </c>
      <c r="W190">
        <v>117.738719</v>
      </c>
      <c r="X190" s="14">
        <v>0.96057300149099301</v>
      </c>
      <c r="Y190">
        <v>32.521000000000001</v>
      </c>
      <c r="Z190" s="14">
        <v>0.95994450675954901</v>
      </c>
      <c r="AA190">
        <v>26</v>
      </c>
      <c r="AC190">
        <v>188</v>
      </c>
      <c r="AD190">
        <v>116.990511</v>
      </c>
      <c r="AE190" s="14">
        <v>0.96354950716581123</v>
      </c>
      <c r="AF190">
        <v>32.311</v>
      </c>
      <c r="AG190" s="14">
        <v>0.96183728753014008</v>
      </c>
      <c r="AH190">
        <v>26</v>
      </c>
      <c r="AJ190">
        <v>188</v>
      </c>
      <c r="AK190">
        <v>116.867717</v>
      </c>
      <c r="AL190" s="14">
        <v>0.94959910972714656</v>
      </c>
      <c r="AM190">
        <v>32.351999999999997</v>
      </c>
      <c r="AN190" s="14">
        <v>0.94635230796232361</v>
      </c>
      <c r="AO190">
        <v>26</v>
      </c>
      <c r="AQ190">
        <v>188</v>
      </c>
      <c r="AR190">
        <v>115.605367</v>
      </c>
      <c r="AS190" s="14">
        <v>0.94883093041291688</v>
      </c>
      <c r="AT190">
        <v>32.048000000000002</v>
      </c>
      <c r="AU190" s="14">
        <v>0.9464016773469569</v>
      </c>
      <c r="AV190">
        <v>26</v>
      </c>
      <c r="AX190">
        <v>188</v>
      </c>
      <c r="AY190">
        <v>117.71195</v>
      </c>
      <c r="AZ190" s="14">
        <v>0.95218809579780583</v>
      </c>
      <c r="BA190">
        <v>32.637</v>
      </c>
      <c r="BB190" s="14">
        <v>0.95085071669968546</v>
      </c>
      <c r="BC190">
        <v>26</v>
      </c>
    </row>
    <row r="191" spans="15:55" x14ac:dyDescent="0.35">
      <c r="O191">
        <v>189</v>
      </c>
      <c r="P191">
        <v>117.506306</v>
      </c>
      <c r="Q191" s="14">
        <v>0.95782884715948113</v>
      </c>
      <c r="R191">
        <v>32.506</v>
      </c>
      <c r="S191" s="14">
        <v>0.95791831201744571</v>
      </c>
      <c r="T191">
        <v>26</v>
      </c>
      <c r="V191">
        <v>189</v>
      </c>
      <c r="W191">
        <v>117.729739</v>
      </c>
      <c r="X191" s="14">
        <v>0.96049973803419086</v>
      </c>
      <c r="Y191">
        <v>32.517000000000003</v>
      </c>
      <c r="Z191" s="14">
        <v>0.95982643603518514</v>
      </c>
      <c r="AA191">
        <v>26</v>
      </c>
      <c r="AC191">
        <v>189</v>
      </c>
      <c r="AD191">
        <v>116.985918</v>
      </c>
      <c r="AE191" s="14">
        <v>0.96351167860306208</v>
      </c>
      <c r="AF191">
        <v>32.308999999999997</v>
      </c>
      <c r="AG191" s="14">
        <v>0.96177775131723853</v>
      </c>
      <c r="AH191">
        <v>26</v>
      </c>
      <c r="AJ191">
        <v>189</v>
      </c>
      <c r="AK191">
        <v>116.791246</v>
      </c>
      <c r="AL191" s="14">
        <v>0.94897775084905756</v>
      </c>
      <c r="AM191">
        <v>32.332999999999998</v>
      </c>
      <c r="AN191" s="14">
        <v>0.94579652489323107</v>
      </c>
      <c r="AO191">
        <v>26</v>
      </c>
      <c r="AQ191">
        <v>189</v>
      </c>
      <c r="AR191">
        <v>115.58138099999999</v>
      </c>
      <c r="AS191" s="14">
        <v>0.94863406534265693</v>
      </c>
      <c r="AT191">
        <v>32.04</v>
      </c>
      <c r="AU191" s="14">
        <v>0.9461654312966955</v>
      </c>
      <c r="AV191">
        <v>26</v>
      </c>
      <c r="AX191">
        <v>189</v>
      </c>
      <c r="AY191">
        <v>117.68395099999999</v>
      </c>
      <c r="AZ191" s="14">
        <v>0.95196160804958441</v>
      </c>
      <c r="BA191">
        <v>32.628</v>
      </c>
      <c r="BB191" s="14">
        <v>0.95058850949772755</v>
      </c>
      <c r="BC191">
        <v>26</v>
      </c>
    </row>
    <row r="192" spans="15:55" x14ac:dyDescent="0.35">
      <c r="O192">
        <v>190</v>
      </c>
      <c r="P192">
        <v>117.504924</v>
      </c>
      <c r="Q192" s="14">
        <v>0.95781758206646761</v>
      </c>
      <c r="R192">
        <v>32.503999999999998</v>
      </c>
      <c r="S192" s="14">
        <v>0.95785937407909472</v>
      </c>
      <c r="T192">
        <v>26</v>
      </c>
      <c r="V192">
        <v>190</v>
      </c>
      <c r="W192">
        <v>117.69638399999999</v>
      </c>
      <c r="X192" s="14">
        <v>0.96022761079570162</v>
      </c>
      <c r="Y192">
        <v>32.506999999999998</v>
      </c>
      <c r="Z192" s="14">
        <v>0.95953125922427529</v>
      </c>
      <c r="AA192">
        <v>26</v>
      </c>
      <c r="AC192">
        <v>190</v>
      </c>
      <c r="AD192">
        <v>116.970136</v>
      </c>
      <c r="AE192" s="14">
        <v>0.96338169593872369</v>
      </c>
      <c r="AF192">
        <v>32.302999999999997</v>
      </c>
      <c r="AG192" s="14">
        <v>0.96159914267853408</v>
      </c>
      <c r="AH192">
        <v>26</v>
      </c>
      <c r="AJ192">
        <v>190</v>
      </c>
      <c r="AK192">
        <v>116.769747</v>
      </c>
      <c r="AL192" s="14">
        <v>0.94880306247673285</v>
      </c>
      <c r="AM192">
        <v>32.328000000000003</v>
      </c>
      <c r="AN192" s="14">
        <v>0.94565026619083847</v>
      </c>
      <c r="AO192">
        <v>26</v>
      </c>
      <c r="AQ192">
        <v>190</v>
      </c>
      <c r="AR192">
        <v>115.568448</v>
      </c>
      <c r="AS192" s="14">
        <v>0.94852791775849654</v>
      </c>
      <c r="AT192">
        <v>32.033999999999999</v>
      </c>
      <c r="AU192" s="14">
        <v>0.94598824675899951</v>
      </c>
      <c r="AV192">
        <v>26</v>
      </c>
      <c r="AX192">
        <v>190</v>
      </c>
      <c r="AY192">
        <v>117.62732800000001</v>
      </c>
      <c r="AZ192" s="14">
        <v>0.95150357684248643</v>
      </c>
      <c r="BA192">
        <v>32.612000000000002</v>
      </c>
      <c r="BB192" s="14">
        <v>0.95012236336091371</v>
      </c>
      <c r="BC192">
        <v>26</v>
      </c>
    </row>
    <row r="193" spans="15:55" x14ac:dyDescent="0.35">
      <c r="O193">
        <v>191</v>
      </c>
      <c r="P193">
        <v>117.492611</v>
      </c>
      <c r="Q193" s="14">
        <v>0.95771721514152075</v>
      </c>
      <c r="R193">
        <v>32.499000000000002</v>
      </c>
      <c r="S193" s="14">
        <v>0.95771202923321752</v>
      </c>
      <c r="T193">
        <v>26</v>
      </c>
      <c r="V193">
        <v>191</v>
      </c>
      <c r="W193">
        <v>117.633054</v>
      </c>
      <c r="X193" s="14">
        <v>0.95971093209645042</v>
      </c>
      <c r="Y193">
        <v>32.491</v>
      </c>
      <c r="Z193" s="14">
        <v>0.9590589763268198</v>
      </c>
      <c r="AA193">
        <v>26</v>
      </c>
      <c r="AC193">
        <v>191</v>
      </c>
      <c r="AD193">
        <v>116.906125</v>
      </c>
      <c r="AE193" s="14">
        <v>0.9628544927751852</v>
      </c>
      <c r="AF193">
        <v>32.286999999999999</v>
      </c>
      <c r="AG193" s="14">
        <v>0.96112285297532207</v>
      </c>
      <c r="AH193">
        <v>26</v>
      </c>
      <c r="AJ193">
        <v>191</v>
      </c>
      <c r="AK193">
        <v>116.750612</v>
      </c>
      <c r="AL193" s="14">
        <v>0.9486475825937416</v>
      </c>
      <c r="AM193">
        <v>32.320999999999998</v>
      </c>
      <c r="AN193" s="14">
        <v>0.94544550400748839</v>
      </c>
      <c r="AO193">
        <v>26</v>
      </c>
      <c r="AQ193">
        <v>191</v>
      </c>
      <c r="AR193">
        <v>115.55225</v>
      </c>
      <c r="AS193" s="14">
        <v>0.94839497269020379</v>
      </c>
      <c r="AT193">
        <v>32.027999999999999</v>
      </c>
      <c r="AU193" s="14">
        <v>0.94581106222130351</v>
      </c>
      <c r="AV193">
        <v>26</v>
      </c>
      <c r="AX193">
        <v>191</v>
      </c>
      <c r="AY193">
        <v>117.561905</v>
      </c>
      <c r="AZ193" s="14">
        <v>0.95097436122936152</v>
      </c>
      <c r="BA193">
        <v>32.597000000000001</v>
      </c>
      <c r="BB193" s="14">
        <v>0.94968535135765075</v>
      </c>
      <c r="BC193">
        <v>26</v>
      </c>
    </row>
    <row r="194" spans="15:55" x14ac:dyDescent="0.35">
      <c r="O194">
        <v>192</v>
      </c>
      <c r="P194">
        <v>117.441267</v>
      </c>
      <c r="Q194" s="14">
        <v>0.95729869492756259</v>
      </c>
      <c r="R194">
        <v>32.484999999999999</v>
      </c>
      <c r="S194" s="14">
        <v>0.95729946366476104</v>
      </c>
      <c r="T194">
        <v>26</v>
      </c>
      <c r="V194">
        <v>192</v>
      </c>
      <c r="W194">
        <v>117.599368</v>
      </c>
      <c r="X194" s="14">
        <v>0.95943610438978721</v>
      </c>
      <c r="Y194">
        <v>32.482999999999997</v>
      </c>
      <c r="Z194" s="14">
        <v>0.95882283487809183</v>
      </c>
      <c r="AA194">
        <v>26</v>
      </c>
      <c r="AC194">
        <v>192</v>
      </c>
      <c r="AD194">
        <v>116.85432</v>
      </c>
      <c r="AE194" s="14">
        <v>0.96242781986135606</v>
      </c>
      <c r="AF194">
        <v>32.274000000000001</v>
      </c>
      <c r="AG194" s="14">
        <v>0.96073586759146246</v>
      </c>
      <c r="AH194">
        <v>26</v>
      </c>
      <c r="AJ194">
        <v>192</v>
      </c>
      <c r="AK194">
        <v>116.73153600000001</v>
      </c>
      <c r="AL194" s="14">
        <v>0.94849258211044163</v>
      </c>
      <c r="AM194">
        <v>32.314999999999998</v>
      </c>
      <c r="AN194" s="14">
        <v>0.94526999356461705</v>
      </c>
      <c r="AO194">
        <v>26</v>
      </c>
      <c r="AQ194">
        <v>192</v>
      </c>
      <c r="AR194">
        <v>115.523152</v>
      </c>
      <c r="AS194" s="14">
        <v>0.94815615088521643</v>
      </c>
      <c r="AT194">
        <v>32.018000000000001</v>
      </c>
      <c r="AU194" s="14">
        <v>0.94551575465847681</v>
      </c>
      <c r="AV194">
        <v>26</v>
      </c>
      <c r="AX194">
        <v>192</v>
      </c>
      <c r="AY194">
        <v>117.56334200000001</v>
      </c>
      <c r="AZ194" s="14">
        <v>0.95098598531930023</v>
      </c>
      <c r="BA194">
        <v>32.595999999999997</v>
      </c>
      <c r="BB194" s="14">
        <v>0.94965621722409965</v>
      </c>
      <c r="BC194">
        <v>26</v>
      </c>
    </row>
    <row r="195" spans="15:55" x14ac:dyDescent="0.35">
      <c r="O195">
        <v>193</v>
      </c>
      <c r="P195">
        <v>117.39232</v>
      </c>
      <c r="Q195" s="14">
        <v>0.95689971337348401</v>
      </c>
      <c r="R195">
        <v>32.473999999999997</v>
      </c>
      <c r="S195" s="14">
        <v>0.95697530500383099</v>
      </c>
      <c r="T195">
        <v>26</v>
      </c>
      <c r="V195">
        <v>193</v>
      </c>
      <c r="W195">
        <v>117.599019</v>
      </c>
      <c r="X195" s="14">
        <v>0.95943325706835925</v>
      </c>
      <c r="Y195">
        <v>32.481999999999999</v>
      </c>
      <c r="Z195" s="14">
        <v>0.958793317197001</v>
      </c>
      <c r="AA195">
        <v>26</v>
      </c>
      <c r="AC195">
        <v>193</v>
      </c>
      <c r="AD195">
        <v>116.850916</v>
      </c>
      <c r="AE195" s="14">
        <v>0.96239978406174842</v>
      </c>
      <c r="AF195">
        <v>32.271999999999998</v>
      </c>
      <c r="AG195" s="14">
        <v>0.9606763313785609</v>
      </c>
      <c r="AH195">
        <v>26</v>
      </c>
      <c r="AJ195">
        <v>193</v>
      </c>
      <c r="AK195">
        <v>116.68779499999999</v>
      </c>
      <c r="AL195" s="14">
        <v>0.94813716817984706</v>
      </c>
      <c r="AM195">
        <v>32.302999999999997</v>
      </c>
      <c r="AN195" s="14">
        <v>0.94491897267887437</v>
      </c>
      <c r="AO195">
        <v>26</v>
      </c>
      <c r="AQ195">
        <v>193</v>
      </c>
      <c r="AR195">
        <v>115.47141499999999</v>
      </c>
      <c r="AS195" s="14">
        <v>0.94773151951107981</v>
      </c>
      <c r="AT195">
        <v>32.003999999999998</v>
      </c>
      <c r="AU195" s="14">
        <v>0.94510232407051942</v>
      </c>
      <c r="AV195">
        <v>26</v>
      </c>
      <c r="AX195">
        <v>193</v>
      </c>
      <c r="AY195">
        <v>117.56116400000001</v>
      </c>
      <c r="AZ195" s="14">
        <v>0.95096836717880862</v>
      </c>
      <c r="BA195">
        <v>32.591999999999999</v>
      </c>
      <c r="BB195" s="14">
        <v>0.94953968068989625</v>
      </c>
      <c r="BC195">
        <v>26</v>
      </c>
    </row>
    <row r="196" spans="15:55" x14ac:dyDescent="0.35">
      <c r="O196">
        <v>194</v>
      </c>
      <c r="P196">
        <v>117.431849</v>
      </c>
      <c r="Q196" s="14">
        <v>0.95722192600860301</v>
      </c>
      <c r="R196">
        <v>32.481999999999999</v>
      </c>
      <c r="S196" s="14">
        <v>0.95721105675723472</v>
      </c>
      <c r="T196">
        <v>26</v>
      </c>
      <c r="V196">
        <v>194</v>
      </c>
      <c r="W196">
        <v>117.589901</v>
      </c>
      <c r="X196" s="14">
        <v>0.9593588677366085</v>
      </c>
      <c r="Y196">
        <v>32.478000000000002</v>
      </c>
      <c r="Z196" s="14">
        <v>0.95867524647263713</v>
      </c>
      <c r="AA196">
        <v>26</v>
      </c>
      <c r="AC196">
        <v>194</v>
      </c>
      <c r="AD196">
        <v>116.84550900000001</v>
      </c>
      <c r="AE196" s="14">
        <v>0.96235525128604971</v>
      </c>
      <c r="AF196">
        <v>32.270000000000003</v>
      </c>
      <c r="AG196" s="14">
        <v>0.96061679516565945</v>
      </c>
      <c r="AH196">
        <v>26</v>
      </c>
      <c r="AJ196">
        <v>194</v>
      </c>
      <c r="AK196">
        <v>116.63261300000001</v>
      </c>
      <c r="AL196" s="14">
        <v>0.94768879133619788</v>
      </c>
      <c r="AM196">
        <v>32.287999999999997</v>
      </c>
      <c r="AN196" s="14">
        <v>0.94448019657169591</v>
      </c>
      <c r="AO196">
        <v>26</v>
      </c>
      <c r="AQ196">
        <v>194</v>
      </c>
      <c r="AR196">
        <v>115.432985</v>
      </c>
      <c r="AS196" s="14">
        <v>0.94741610532571796</v>
      </c>
      <c r="AT196">
        <v>31.992999999999999</v>
      </c>
      <c r="AU196" s="14">
        <v>0.94477748575141007</v>
      </c>
      <c r="AV196">
        <v>26</v>
      </c>
      <c r="AX196">
        <v>194</v>
      </c>
      <c r="AY196">
        <v>117.546548</v>
      </c>
      <c r="AZ196" s="14">
        <v>0.95085013635170745</v>
      </c>
      <c r="BA196">
        <v>32.588999999999999</v>
      </c>
      <c r="BB196" s="14">
        <v>0.94945227828924372</v>
      </c>
      <c r="BC196">
        <v>26</v>
      </c>
    </row>
    <row r="197" spans="15:55" x14ac:dyDescent="0.35">
      <c r="O197">
        <v>195</v>
      </c>
      <c r="P197">
        <v>117.439359</v>
      </c>
      <c r="Q197" s="14">
        <v>0.95728314225211397</v>
      </c>
      <c r="R197">
        <v>32.481999999999999</v>
      </c>
      <c r="S197" s="14">
        <v>0.95721105675723472</v>
      </c>
      <c r="T197">
        <v>26</v>
      </c>
      <c r="V197">
        <v>195</v>
      </c>
      <c r="W197">
        <v>117.57651199999999</v>
      </c>
      <c r="X197" s="14">
        <v>0.95924963339104907</v>
      </c>
      <c r="Y197">
        <v>32.472999999999999</v>
      </c>
      <c r="Z197" s="14">
        <v>0.95852765806718221</v>
      </c>
      <c r="AA197">
        <v>26</v>
      </c>
      <c r="AC197">
        <v>195</v>
      </c>
      <c r="AD197">
        <v>116.84201</v>
      </c>
      <c r="AE197" s="14">
        <v>0.96232643305372678</v>
      </c>
      <c r="AF197">
        <v>32.267000000000003</v>
      </c>
      <c r="AG197" s="14">
        <v>0.96052749084630729</v>
      </c>
      <c r="AH197">
        <v>26</v>
      </c>
      <c r="AJ197">
        <v>195</v>
      </c>
      <c r="AK197">
        <v>116.59389</v>
      </c>
      <c r="AL197" s="14">
        <v>0.94737415075563469</v>
      </c>
      <c r="AM197">
        <v>32.279000000000003</v>
      </c>
      <c r="AN197" s="14">
        <v>0.94421693090738912</v>
      </c>
      <c r="AO197">
        <v>26</v>
      </c>
      <c r="AQ197">
        <v>195</v>
      </c>
      <c r="AR197">
        <v>115.46021500000001</v>
      </c>
      <c r="AS197" s="14">
        <v>0.94763959552263199</v>
      </c>
      <c r="AT197">
        <v>31.992999999999999</v>
      </c>
      <c r="AU197" s="14">
        <v>0.94477748575141007</v>
      </c>
      <c r="AV197">
        <v>26</v>
      </c>
      <c r="AX197">
        <v>195</v>
      </c>
      <c r="AY197">
        <v>117.500007</v>
      </c>
      <c r="AZ197" s="14">
        <v>0.95047365982433263</v>
      </c>
      <c r="BA197">
        <v>32.575000000000003</v>
      </c>
      <c r="BB197" s="14">
        <v>0.94904440041953164</v>
      </c>
      <c r="BC197">
        <v>26</v>
      </c>
    </row>
    <row r="198" spans="15:55" x14ac:dyDescent="0.35">
      <c r="O198">
        <v>196</v>
      </c>
      <c r="P198">
        <v>117.414434</v>
      </c>
      <c r="Q198" s="14">
        <v>0.95707997116429633</v>
      </c>
      <c r="R198">
        <v>32.473999999999997</v>
      </c>
      <c r="S198" s="14">
        <v>0.95697530500383099</v>
      </c>
      <c r="T198">
        <v>26</v>
      </c>
      <c r="V198">
        <v>196</v>
      </c>
      <c r="W198">
        <v>117.523704</v>
      </c>
      <c r="X198" s="14">
        <v>0.95881879857737373</v>
      </c>
      <c r="Y198">
        <v>32.459000000000003</v>
      </c>
      <c r="Z198" s="14">
        <v>0.95811441053190871</v>
      </c>
      <c r="AA198">
        <v>26</v>
      </c>
      <c r="AC198">
        <v>196</v>
      </c>
      <c r="AD198">
        <v>116.80543900000001</v>
      </c>
      <c r="AE198" s="14">
        <v>0.96202522940288915</v>
      </c>
      <c r="AF198">
        <v>32.256999999999998</v>
      </c>
      <c r="AG198" s="14">
        <v>0.96022980978179961</v>
      </c>
      <c r="AH198">
        <v>26</v>
      </c>
      <c r="AJ198">
        <v>196</v>
      </c>
      <c r="AK198">
        <v>116.58989</v>
      </c>
      <c r="AL198" s="14">
        <v>0.94734164908163598</v>
      </c>
      <c r="AM198">
        <v>32.274999999999999</v>
      </c>
      <c r="AN198" s="14">
        <v>0.94409992394547471</v>
      </c>
      <c r="AO198">
        <v>26</v>
      </c>
      <c r="AQ198">
        <v>196</v>
      </c>
      <c r="AR198">
        <v>115.426087</v>
      </c>
      <c r="AS198" s="14">
        <v>0.94735948999783282</v>
      </c>
      <c r="AT198">
        <v>31.986999999999998</v>
      </c>
      <c r="AU198" s="14">
        <v>0.94460030121371408</v>
      </c>
      <c r="AV198">
        <v>26</v>
      </c>
      <c r="AX198">
        <v>196</v>
      </c>
      <c r="AY198">
        <v>117.43380500000001</v>
      </c>
      <c r="AZ198" s="14">
        <v>0.9499381427734469</v>
      </c>
      <c r="BA198">
        <v>32.558</v>
      </c>
      <c r="BB198" s="14">
        <v>0.94854912014916681</v>
      </c>
      <c r="BC198">
        <v>26</v>
      </c>
    </row>
    <row r="199" spans="15:55" x14ac:dyDescent="0.35">
      <c r="O199">
        <v>197</v>
      </c>
      <c r="P199">
        <v>117.357333</v>
      </c>
      <c r="Q199" s="14">
        <v>0.95661452393117807</v>
      </c>
      <c r="R199">
        <v>32.46</v>
      </c>
      <c r="S199" s="14">
        <v>0.95656273943537462</v>
      </c>
      <c r="T199">
        <v>26</v>
      </c>
      <c r="V199">
        <v>197</v>
      </c>
      <c r="W199">
        <v>117.485157</v>
      </c>
      <c r="X199" s="14">
        <v>0.95850431233357092</v>
      </c>
      <c r="Y199">
        <v>32.451000000000001</v>
      </c>
      <c r="Z199" s="14">
        <v>0.95787826908318086</v>
      </c>
      <c r="AA199">
        <v>26</v>
      </c>
      <c r="AC199">
        <v>197</v>
      </c>
      <c r="AD199">
        <v>116.748632</v>
      </c>
      <c r="AE199" s="14">
        <v>0.96155735934756847</v>
      </c>
      <c r="AF199">
        <v>32.241999999999997</v>
      </c>
      <c r="AG199" s="14">
        <v>0.95978328818503833</v>
      </c>
      <c r="AH199">
        <v>26</v>
      </c>
      <c r="AJ199">
        <v>197</v>
      </c>
      <c r="AK199">
        <v>116.58356000000001</v>
      </c>
      <c r="AL199" s="14">
        <v>0.94729021518253309</v>
      </c>
      <c r="AM199">
        <v>32.271999999999998</v>
      </c>
      <c r="AN199" s="14">
        <v>0.94401216872403904</v>
      </c>
      <c r="AO199">
        <v>26</v>
      </c>
      <c r="AQ199">
        <v>197</v>
      </c>
      <c r="AR199">
        <v>115.407533</v>
      </c>
      <c r="AS199" s="14">
        <v>0.94720720806197012</v>
      </c>
      <c r="AT199">
        <v>31.981000000000002</v>
      </c>
      <c r="AU199" s="14">
        <v>0.94442311667601808</v>
      </c>
      <c r="AV199">
        <v>26</v>
      </c>
      <c r="AX199">
        <v>197</v>
      </c>
      <c r="AY199">
        <v>117.461394</v>
      </c>
      <c r="AZ199" s="14">
        <v>0.95016131397547832</v>
      </c>
      <c r="BA199">
        <v>32.564</v>
      </c>
      <c r="BB199" s="14">
        <v>0.94872392495047198</v>
      </c>
      <c r="BC199">
        <v>26</v>
      </c>
    </row>
    <row r="200" spans="15:55" x14ac:dyDescent="0.35">
      <c r="O200">
        <v>198</v>
      </c>
      <c r="P200">
        <v>117.31227699999999</v>
      </c>
      <c r="Q200" s="14">
        <v>0.95624725907530195</v>
      </c>
      <c r="R200">
        <v>32.448</v>
      </c>
      <c r="S200" s="14">
        <v>0.95620911180526913</v>
      </c>
      <c r="T200">
        <v>26</v>
      </c>
      <c r="V200">
        <v>198</v>
      </c>
      <c r="W200">
        <v>117.52368300000001</v>
      </c>
      <c r="X200" s="14">
        <v>0.95881862724857736</v>
      </c>
      <c r="Y200">
        <v>32.457000000000001</v>
      </c>
      <c r="Z200" s="14">
        <v>0.95805537516972672</v>
      </c>
      <c r="AA200">
        <v>26</v>
      </c>
      <c r="AC200">
        <v>198</v>
      </c>
      <c r="AD200">
        <v>116.77332699999999</v>
      </c>
      <c r="AE200" s="14">
        <v>0.96176075067286537</v>
      </c>
      <c r="AF200">
        <v>32.249000000000002</v>
      </c>
      <c r="AG200" s="14">
        <v>0.95999166493019372</v>
      </c>
      <c r="AH200">
        <v>26</v>
      </c>
      <c r="AJ200">
        <v>198</v>
      </c>
      <c r="AK200">
        <v>116.561584</v>
      </c>
      <c r="AL200" s="14">
        <v>0.94711165098558403</v>
      </c>
      <c r="AM200">
        <v>32.264000000000003</v>
      </c>
      <c r="AN200" s="14">
        <v>0.94377815480021066</v>
      </c>
      <c r="AO200">
        <v>26</v>
      </c>
      <c r="AQ200">
        <v>198</v>
      </c>
      <c r="AR200">
        <v>115.349531</v>
      </c>
      <c r="AS200" s="14">
        <v>0.94673115670679553</v>
      </c>
      <c r="AT200">
        <v>31.963999999999999</v>
      </c>
      <c r="AU200" s="14">
        <v>0.94392109381921263</v>
      </c>
      <c r="AV200">
        <v>26</v>
      </c>
      <c r="AX200">
        <v>198</v>
      </c>
      <c r="AY200">
        <v>117.478151</v>
      </c>
      <c r="AZ200" s="14">
        <v>0.95029686364500021</v>
      </c>
      <c r="BA200">
        <v>32.567</v>
      </c>
      <c r="BB200" s="14">
        <v>0.94881132735112461</v>
      </c>
      <c r="BC200">
        <v>26</v>
      </c>
    </row>
    <row r="201" spans="15:55" x14ac:dyDescent="0.35">
      <c r="O201">
        <v>199</v>
      </c>
      <c r="P201">
        <v>117.38317600000001</v>
      </c>
      <c r="Q201" s="14">
        <v>0.95682517791001342</v>
      </c>
      <c r="R201">
        <v>32.463999999999999</v>
      </c>
      <c r="S201" s="14">
        <v>0.95668061531207638</v>
      </c>
      <c r="T201">
        <v>26</v>
      </c>
      <c r="V201">
        <v>199</v>
      </c>
      <c r="W201">
        <v>117.53270999999999</v>
      </c>
      <c r="X201" s="14">
        <v>0.95889227415554301</v>
      </c>
      <c r="Y201">
        <v>32.457999999999998</v>
      </c>
      <c r="Z201" s="14">
        <v>0.95808489285081755</v>
      </c>
      <c r="AA201">
        <v>26</v>
      </c>
      <c r="AC201">
        <v>199</v>
      </c>
      <c r="AD201">
        <v>116.797693</v>
      </c>
      <c r="AE201" s="14">
        <v>0.96196143231012743</v>
      </c>
      <c r="AF201">
        <v>32.250999999999998</v>
      </c>
      <c r="AG201" s="14">
        <v>0.96005120114309517</v>
      </c>
      <c r="AH201">
        <v>26</v>
      </c>
      <c r="AJ201">
        <v>199</v>
      </c>
      <c r="AK201">
        <v>116.49368200000001</v>
      </c>
      <c r="AL201" s="14">
        <v>0.94655991881861878</v>
      </c>
      <c r="AM201">
        <v>32.247999999999998</v>
      </c>
      <c r="AN201" s="14">
        <v>0.94331012695255356</v>
      </c>
      <c r="AO201">
        <v>26</v>
      </c>
      <c r="AQ201">
        <v>199</v>
      </c>
      <c r="AR201">
        <v>115.265236</v>
      </c>
      <c r="AS201" s="14">
        <v>0.94603930558124039</v>
      </c>
      <c r="AT201">
        <v>31.946000000000002</v>
      </c>
      <c r="AU201" s="14">
        <v>0.94338954020612475</v>
      </c>
      <c r="AV201">
        <v>26</v>
      </c>
      <c r="AX201">
        <v>199</v>
      </c>
      <c r="AY201">
        <v>117.46353000000001</v>
      </c>
      <c r="AZ201" s="14">
        <v>0.95017859237221403</v>
      </c>
      <c r="BA201">
        <v>32.561999999999998</v>
      </c>
      <c r="BB201" s="14">
        <v>0.94866565668337022</v>
      </c>
      <c r="BC201">
        <v>26</v>
      </c>
    </row>
    <row r="202" spans="15:55" x14ac:dyDescent="0.35">
      <c r="O202">
        <v>200</v>
      </c>
      <c r="P202">
        <v>117.439505</v>
      </c>
      <c r="Q202" s="14">
        <v>0.95728433234153509</v>
      </c>
      <c r="R202">
        <v>32.475999999999999</v>
      </c>
      <c r="S202" s="14">
        <v>0.95703424294218198</v>
      </c>
      <c r="T202">
        <v>26</v>
      </c>
      <c r="V202">
        <v>200</v>
      </c>
      <c r="W202">
        <v>117.513307</v>
      </c>
      <c r="X202" s="14">
        <v>0.95873397450606301</v>
      </c>
      <c r="Y202">
        <v>32.451999999999998</v>
      </c>
      <c r="Z202" s="14">
        <v>0.9579077867642718</v>
      </c>
      <c r="AA202">
        <v>26</v>
      </c>
      <c r="AC202">
        <v>200</v>
      </c>
      <c r="AD202">
        <v>116.78748299999999</v>
      </c>
      <c r="AE202" s="14">
        <v>0.96187734138357217</v>
      </c>
      <c r="AF202">
        <v>32.249000000000002</v>
      </c>
      <c r="AG202" s="14">
        <v>0.95999166493019372</v>
      </c>
      <c r="AH202">
        <v>26</v>
      </c>
      <c r="AJ202">
        <v>200</v>
      </c>
      <c r="AK202">
        <v>116.42779299999999</v>
      </c>
      <c r="AL202" s="14">
        <v>0.94602454311909334</v>
      </c>
      <c r="AM202">
        <v>32.231000000000002</v>
      </c>
      <c r="AN202" s="14">
        <v>0.94281284736441828</v>
      </c>
      <c r="AO202">
        <v>26</v>
      </c>
      <c r="AQ202">
        <v>200</v>
      </c>
      <c r="AR202">
        <v>115.29321899999999</v>
      </c>
      <c r="AS202" s="14">
        <v>0.94626897602487769</v>
      </c>
      <c r="AT202">
        <v>31.952000000000002</v>
      </c>
      <c r="AU202" s="14">
        <v>0.94356672474382075</v>
      </c>
      <c r="AV202">
        <v>26</v>
      </c>
      <c r="AX202">
        <v>200</v>
      </c>
      <c r="AY202">
        <v>117.40622399999999</v>
      </c>
      <c r="AZ202" s="14">
        <v>0.94971503628451182</v>
      </c>
      <c r="BA202">
        <v>32.546999999999997</v>
      </c>
      <c r="BB202" s="14">
        <v>0.94822864468010715</v>
      </c>
      <c r="BC202">
        <v>26</v>
      </c>
    </row>
    <row r="203" spans="15:55" x14ac:dyDescent="0.35">
      <c r="O203">
        <v>201</v>
      </c>
      <c r="P203">
        <v>117.453683</v>
      </c>
      <c r="Q203" s="14">
        <v>0.95739990143614206</v>
      </c>
      <c r="R203">
        <v>32.475999999999999</v>
      </c>
      <c r="S203" s="14">
        <v>0.95703424294218198</v>
      </c>
      <c r="T203">
        <v>26</v>
      </c>
      <c r="V203">
        <v>201</v>
      </c>
      <c r="W203">
        <v>117.452653</v>
      </c>
      <c r="X203" s="14">
        <v>0.95823912799059818</v>
      </c>
      <c r="Y203">
        <v>32.436</v>
      </c>
      <c r="Z203" s="14">
        <v>0.9574355038668162</v>
      </c>
      <c r="AA203">
        <v>26</v>
      </c>
      <c r="AC203">
        <v>201</v>
      </c>
      <c r="AD203">
        <v>116.74560700000001</v>
      </c>
      <c r="AE203" s="14">
        <v>0.96153244504268798</v>
      </c>
      <c r="AF203">
        <v>32.235999999999997</v>
      </c>
      <c r="AG203" s="14">
        <v>0.95960467954633388</v>
      </c>
      <c r="AH203">
        <v>26</v>
      </c>
      <c r="AJ203">
        <v>201</v>
      </c>
      <c r="AK203">
        <v>116.46423799999999</v>
      </c>
      <c r="AL203" s="14">
        <v>0.94632067399631414</v>
      </c>
      <c r="AM203">
        <v>32.238</v>
      </c>
      <c r="AN203" s="14">
        <v>0.94301760954776803</v>
      </c>
      <c r="AO203">
        <v>26</v>
      </c>
      <c r="AQ203">
        <v>201</v>
      </c>
      <c r="AR203">
        <v>115.31528299999999</v>
      </c>
      <c r="AS203" s="14">
        <v>0.94645006628212003</v>
      </c>
      <c r="AT203">
        <v>31.954999999999998</v>
      </c>
      <c r="AU203" s="14">
        <v>0.94365531701266869</v>
      </c>
      <c r="AV203">
        <v>26</v>
      </c>
      <c r="AX203">
        <v>201</v>
      </c>
      <c r="AY203">
        <v>117.352926</v>
      </c>
      <c r="AZ203" s="14">
        <v>0.94928390145810015</v>
      </c>
      <c r="BA203">
        <v>32.533000000000001</v>
      </c>
      <c r="BB203" s="14">
        <v>0.94782076681039518</v>
      </c>
      <c r="BC203">
        <v>26</v>
      </c>
    </row>
    <row r="204" spans="15:55" x14ac:dyDescent="0.35">
      <c r="O204">
        <v>202</v>
      </c>
      <c r="P204">
        <v>117.415325</v>
      </c>
      <c r="Q204" s="14">
        <v>0.95708723397028417</v>
      </c>
      <c r="R204">
        <v>32.466000000000001</v>
      </c>
      <c r="S204" s="14">
        <v>0.95673955325042737</v>
      </c>
      <c r="T204">
        <v>26</v>
      </c>
      <c r="V204">
        <v>202</v>
      </c>
      <c r="W204">
        <v>117.408918</v>
      </c>
      <c r="X204" s="14">
        <v>0.95788231537553825</v>
      </c>
      <c r="Y204">
        <v>32.426000000000002</v>
      </c>
      <c r="Z204" s="14">
        <v>0.95714032705590657</v>
      </c>
      <c r="AA204">
        <v>26</v>
      </c>
      <c r="AC204">
        <v>202</v>
      </c>
      <c r="AD204">
        <v>116.686154</v>
      </c>
      <c r="AE204" s="14">
        <v>0.96104278217721395</v>
      </c>
      <c r="AF204">
        <v>32.222000000000001</v>
      </c>
      <c r="AG204" s="14">
        <v>0.95918792605602354</v>
      </c>
      <c r="AH204">
        <v>26</v>
      </c>
      <c r="AJ204">
        <v>202</v>
      </c>
      <c r="AK204">
        <v>116.495115</v>
      </c>
      <c r="AL204" s="14">
        <v>0.94657156254332886</v>
      </c>
      <c r="AM204">
        <v>32.241999999999997</v>
      </c>
      <c r="AN204" s="14">
        <v>0.94313461650968222</v>
      </c>
      <c r="AO204">
        <v>26</v>
      </c>
      <c r="AQ204">
        <v>202</v>
      </c>
      <c r="AR204">
        <v>115.290835</v>
      </c>
      <c r="AS204" s="14">
        <v>0.9462494093473367</v>
      </c>
      <c r="AT204">
        <v>31.946000000000002</v>
      </c>
      <c r="AU204" s="14">
        <v>0.94338954020612475</v>
      </c>
      <c r="AV204">
        <v>26</v>
      </c>
      <c r="AX204">
        <v>202</v>
      </c>
      <c r="AY204">
        <v>117.387835</v>
      </c>
      <c r="AZ204" s="14">
        <v>0.94956628514332664</v>
      </c>
      <c r="BA204">
        <v>32.540999999999997</v>
      </c>
      <c r="BB204" s="14">
        <v>0.94805383987880198</v>
      </c>
      <c r="BC204">
        <v>26</v>
      </c>
    </row>
    <row r="205" spans="15:55" x14ac:dyDescent="0.35">
      <c r="O205">
        <v>203</v>
      </c>
      <c r="P205">
        <v>117.38186399999999</v>
      </c>
      <c r="Q205" s="14">
        <v>0.95681448340781805</v>
      </c>
      <c r="R205">
        <v>32.457000000000001</v>
      </c>
      <c r="S205" s="14">
        <v>0.9564743325278483</v>
      </c>
      <c r="T205">
        <v>26</v>
      </c>
      <c r="V205">
        <v>203</v>
      </c>
      <c r="W205">
        <v>117.480463</v>
      </c>
      <c r="X205" s="14">
        <v>0.95846601626828931</v>
      </c>
      <c r="Y205">
        <v>32.44</v>
      </c>
      <c r="Z205" s="14">
        <v>0.95755357459118007</v>
      </c>
      <c r="AA205">
        <v>26</v>
      </c>
      <c r="AC205">
        <v>203</v>
      </c>
      <c r="AD205">
        <v>116.698185</v>
      </c>
      <c r="AE205" s="14">
        <v>0.96114187110350047</v>
      </c>
      <c r="AF205">
        <v>32.223999999999997</v>
      </c>
      <c r="AG205" s="14">
        <v>0.95924746226892488</v>
      </c>
      <c r="AH205">
        <v>26</v>
      </c>
      <c r="AJ205">
        <v>203</v>
      </c>
      <c r="AK205">
        <v>116.47456</v>
      </c>
      <c r="AL205" s="14">
        <v>0.94640454456606793</v>
      </c>
      <c r="AM205">
        <v>32.234999999999999</v>
      </c>
      <c r="AN205" s="14">
        <v>0.94292985432633236</v>
      </c>
      <c r="AO205">
        <v>26</v>
      </c>
      <c r="AQ205">
        <v>203</v>
      </c>
      <c r="AR205">
        <v>115.23669</v>
      </c>
      <c r="AS205" s="14">
        <v>0.94580501431568376</v>
      </c>
      <c r="AT205">
        <v>31.933</v>
      </c>
      <c r="AU205" s="14">
        <v>0.94300564037445</v>
      </c>
      <c r="AV205">
        <v>26</v>
      </c>
      <c r="AX205">
        <v>203</v>
      </c>
      <c r="AY205">
        <v>117.44867600000001</v>
      </c>
      <c r="AZ205" s="14">
        <v>0.95005843633049536</v>
      </c>
      <c r="BA205">
        <v>32.552</v>
      </c>
      <c r="BB205" s="14">
        <v>0.94837431534786165</v>
      </c>
      <c r="BC205">
        <v>26</v>
      </c>
    </row>
    <row r="206" spans="15:55" x14ac:dyDescent="0.35">
      <c r="O206">
        <v>204</v>
      </c>
      <c r="P206">
        <v>117.340377</v>
      </c>
      <c r="Q206" s="14">
        <v>0.95647631053238025</v>
      </c>
      <c r="R206">
        <v>32.445999999999998</v>
      </c>
      <c r="S206" s="14">
        <v>0.95615017386691814</v>
      </c>
      <c r="T206">
        <v>26</v>
      </c>
      <c r="V206">
        <v>204</v>
      </c>
      <c r="W206">
        <v>117.535225</v>
      </c>
      <c r="X206" s="14">
        <v>0.95891279281855613</v>
      </c>
      <c r="Y206">
        <v>32.451000000000001</v>
      </c>
      <c r="Z206" s="14">
        <v>0.95787826908318086</v>
      </c>
      <c r="AA206">
        <v>26</v>
      </c>
      <c r="AC206">
        <v>204</v>
      </c>
      <c r="AD206">
        <v>116.779797</v>
      </c>
      <c r="AE206" s="14">
        <v>0.96181403845884117</v>
      </c>
      <c r="AF206">
        <v>32.24</v>
      </c>
      <c r="AG206" s="14">
        <v>0.959723751972137</v>
      </c>
      <c r="AH206">
        <v>26</v>
      </c>
      <c r="AJ206">
        <v>204</v>
      </c>
      <c r="AK206">
        <v>116.41937</v>
      </c>
      <c r="AL206" s="14">
        <v>0.9459561027190706</v>
      </c>
      <c r="AM206">
        <v>32.220999999999997</v>
      </c>
      <c r="AN206" s="14">
        <v>0.94252032995963253</v>
      </c>
      <c r="AO206">
        <v>26</v>
      </c>
      <c r="AQ206">
        <v>204</v>
      </c>
      <c r="AR206">
        <v>115.179947</v>
      </c>
      <c r="AS206" s="14">
        <v>0.94533929620171053</v>
      </c>
      <c r="AT206">
        <v>31.919</v>
      </c>
      <c r="AU206" s="14">
        <v>0.94259220978649261</v>
      </c>
      <c r="AV206">
        <v>26</v>
      </c>
      <c r="AX206">
        <v>204</v>
      </c>
      <c r="AY206">
        <v>117.479781</v>
      </c>
      <c r="AZ206" s="14">
        <v>0.95031004893838944</v>
      </c>
      <c r="BA206">
        <v>32.555999999999997</v>
      </c>
      <c r="BB206" s="14">
        <v>0.94849085188206506</v>
      </c>
      <c r="BC206">
        <v>26</v>
      </c>
    </row>
    <row r="207" spans="15:55" x14ac:dyDescent="0.35">
      <c r="O207">
        <v>205</v>
      </c>
      <c r="P207">
        <v>117.321181</v>
      </c>
      <c r="Q207" s="14">
        <v>0.95631983822739541</v>
      </c>
      <c r="R207">
        <v>32.44</v>
      </c>
      <c r="S207" s="14">
        <v>0.9559733600518654</v>
      </c>
      <c r="T207">
        <v>26</v>
      </c>
      <c r="V207">
        <v>205</v>
      </c>
      <c r="W207">
        <v>117.55727400000001</v>
      </c>
      <c r="X207" s="14">
        <v>0.95909267989639901</v>
      </c>
      <c r="Y207">
        <v>32.454000000000001</v>
      </c>
      <c r="Z207" s="14">
        <v>0.95796682212645379</v>
      </c>
      <c r="AA207">
        <v>26</v>
      </c>
      <c r="AC207">
        <v>205</v>
      </c>
      <c r="AD207">
        <v>116.818021</v>
      </c>
      <c r="AE207" s="14">
        <v>0.96212885643892421</v>
      </c>
      <c r="AF207">
        <v>32.246000000000002</v>
      </c>
      <c r="AG207" s="14">
        <v>0.95990236061084155</v>
      </c>
      <c r="AH207">
        <v>26</v>
      </c>
      <c r="AJ207">
        <v>205</v>
      </c>
      <c r="AK207">
        <v>116.358845</v>
      </c>
      <c r="AL207" s="14">
        <v>0.94546431176437751</v>
      </c>
      <c r="AM207">
        <v>32.206000000000003</v>
      </c>
      <c r="AN207" s="14">
        <v>0.94208155385245429</v>
      </c>
      <c r="AO207">
        <v>26</v>
      </c>
      <c r="AQ207">
        <v>205</v>
      </c>
      <c r="AR207">
        <v>115.209577</v>
      </c>
      <c r="AS207" s="14">
        <v>0.94558248439614911</v>
      </c>
      <c r="AT207">
        <v>31.925000000000001</v>
      </c>
      <c r="AU207" s="14">
        <v>0.94276939432418871</v>
      </c>
      <c r="AV207">
        <v>26</v>
      </c>
      <c r="AX207">
        <v>205</v>
      </c>
      <c r="AY207">
        <v>117.450909</v>
      </c>
      <c r="AZ207" s="14">
        <v>0.95007649937352467</v>
      </c>
      <c r="BA207">
        <v>32.548000000000002</v>
      </c>
      <c r="BB207" s="14">
        <v>0.94825777881365814</v>
      </c>
      <c r="BC207">
        <v>26</v>
      </c>
    </row>
    <row r="208" spans="15:55" x14ac:dyDescent="0.35">
      <c r="O208">
        <v>206</v>
      </c>
      <c r="P208">
        <v>117.28670099999999</v>
      </c>
      <c r="Q208" s="14">
        <v>0.95603878149287369</v>
      </c>
      <c r="R208">
        <v>32.429000000000002</v>
      </c>
      <c r="S208" s="14">
        <v>0.95564920139093545</v>
      </c>
      <c r="T208">
        <v>26</v>
      </c>
      <c r="V208">
        <v>206</v>
      </c>
      <c r="W208">
        <v>117.519462</v>
      </c>
      <c r="X208" s="14">
        <v>0.95878419016047467</v>
      </c>
      <c r="Y208">
        <v>32.444000000000003</v>
      </c>
      <c r="Z208" s="14">
        <v>0.95767164531554405</v>
      </c>
      <c r="AA208">
        <v>26</v>
      </c>
      <c r="AC208">
        <v>206</v>
      </c>
      <c r="AD208">
        <v>116.80184800000001</v>
      </c>
      <c r="AE208" s="14">
        <v>0.9619956534462526</v>
      </c>
      <c r="AF208">
        <v>32.24</v>
      </c>
      <c r="AG208" s="14">
        <v>0.959723751972137</v>
      </c>
      <c r="AH208">
        <v>26</v>
      </c>
      <c r="AJ208">
        <v>206</v>
      </c>
      <c r="AK208">
        <v>116.40091</v>
      </c>
      <c r="AL208" s="14">
        <v>0.94580610749356642</v>
      </c>
      <c r="AM208">
        <v>32.215000000000003</v>
      </c>
      <c r="AN208" s="14">
        <v>0.9423448195167613</v>
      </c>
      <c r="AO208">
        <v>26</v>
      </c>
      <c r="AQ208">
        <v>206</v>
      </c>
      <c r="AR208">
        <v>115.25330599999999</v>
      </c>
      <c r="AS208" s="14">
        <v>0.94594139011854539</v>
      </c>
      <c r="AT208">
        <v>31.931999999999999</v>
      </c>
      <c r="AU208" s="14">
        <v>0.94297610961816725</v>
      </c>
      <c r="AV208">
        <v>26</v>
      </c>
      <c r="AX208">
        <v>206</v>
      </c>
      <c r="AY208">
        <v>117.404062</v>
      </c>
      <c r="AZ208" s="14">
        <v>0.94969754757021296</v>
      </c>
      <c r="BA208">
        <v>32.536000000000001</v>
      </c>
      <c r="BB208" s="14">
        <v>0.9479081692110477</v>
      </c>
      <c r="BC208">
        <v>26</v>
      </c>
    </row>
    <row r="209" spans="15:55" x14ac:dyDescent="0.35">
      <c r="O209">
        <v>207</v>
      </c>
      <c r="P209">
        <v>117.210815</v>
      </c>
      <c r="Q209" s="14">
        <v>0.95542021213800399</v>
      </c>
      <c r="R209">
        <v>32.411000000000001</v>
      </c>
      <c r="S209" s="14">
        <v>0.95511875994577722</v>
      </c>
      <c r="T209">
        <v>26</v>
      </c>
      <c r="V209">
        <v>207</v>
      </c>
      <c r="W209">
        <v>117.488629</v>
      </c>
      <c r="X209" s="14">
        <v>0.95853263869459737</v>
      </c>
      <c r="Y209">
        <v>32.435000000000002</v>
      </c>
      <c r="Z209" s="14">
        <v>0.95740598618572537</v>
      </c>
      <c r="AA209">
        <v>26</v>
      </c>
      <c r="AC209">
        <v>207</v>
      </c>
      <c r="AD209">
        <v>116.76528399999999</v>
      </c>
      <c r="AE209" s="14">
        <v>0.96169450744835172</v>
      </c>
      <c r="AF209">
        <v>32.231000000000002</v>
      </c>
      <c r="AG209" s="14">
        <v>0.95945583901408027</v>
      </c>
      <c r="AH209">
        <v>26</v>
      </c>
      <c r="AJ209">
        <v>207</v>
      </c>
      <c r="AK209">
        <v>116.454593</v>
      </c>
      <c r="AL209" s="14">
        <v>0.94624230433488477</v>
      </c>
      <c r="AM209">
        <v>32.222999999999999</v>
      </c>
      <c r="AN209" s="14">
        <v>0.94257883344058968</v>
      </c>
      <c r="AO209">
        <v>26</v>
      </c>
      <c r="AQ209">
        <v>207</v>
      </c>
      <c r="AR209">
        <v>115.267188</v>
      </c>
      <c r="AS209" s="14">
        <v>0.94605532661922709</v>
      </c>
      <c r="AT209">
        <v>31.931999999999999</v>
      </c>
      <c r="AU209" s="14">
        <v>0.94297610961816725</v>
      </c>
      <c r="AV209">
        <v>26</v>
      </c>
      <c r="AX209">
        <v>207</v>
      </c>
      <c r="AY209">
        <v>117.377038</v>
      </c>
      <c r="AZ209" s="14">
        <v>0.94947894673061395</v>
      </c>
      <c r="BA209">
        <v>32.527000000000001</v>
      </c>
      <c r="BB209" s="14">
        <v>0.9476459620090899</v>
      </c>
      <c r="BC209">
        <v>26</v>
      </c>
    </row>
    <row r="210" spans="15:55" x14ac:dyDescent="0.35">
      <c r="O210">
        <v>208</v>
      </c>
      <c r="P210">
        <v>117.155762</v>
      </c>
      <c r="Q210" s="14">
        <v>0.95497145876197098</v>
      </c>
      <c r="R210">
        <v>32.396999999999998</v>
      </c>
      <c r="S210" s="14">
        <v>0.95470619437732074</v>
      </c>
      <c r="T210">
        <v>26</v>
      </c>
      <c r="V210">
        <v>208</v>
      </c>
      <c r="W210">
        <v>117.450585</v>
      </c>
      <c r="X210" s="14">
        <v>0.95822225618339707</v>
      </c>
      <c r="Y210">
        <v>32.426000000000002</v>
      </c>
      <c r="Z210" s="14">
        <v>0.95714032705590657</v>
      </c>
      <c r="AA210">
        <v>26</v>
      </c>
      <c r="AC210">
        <v>208</v>
      </c>
      <c r="AD210">
        <v>116.74307</v>
      </c>
      <c r="AE210" s="14">
        <v>0.96151154997112376</v>
      </c>
      <c r="AF210">
        <v>32.223999999999997</v>
      </c>
      <c r="AG210" s="14">
        <v>0.95924746226892488</v>
      </c>
      <c r="AH210">
        <v>26</v>
      </c>
      <c r="AJ210">
        <v>208</v>
      </c>
      <c r="AK210">
        <v>116.466258</v>
      </c>
      <c r="AL210" s="14">
        <v>0.94633708734168354</v>
      </c>
      <c r="AM210">
        <v>32.222999999999999</v>
      </c>
      <c r="AN210" s="14">
        <v>0.94257883344058968</v>
      </c>
      <c r="AO210">
        <v>26</v>
      </c>
      <c r="AQ210">
        <v>208</v>
      </c>
      <c r="AR210">
        <v>115.228054</v>
      </c>
      <c r="AS210" s="14">
        <v>0.9457341343545913</v>
      </c>
      <c r="AT210">
        <v>31.922000000000001</v>
      </c>
      <c r="AU210" s="14">
        <v>0.94268080205534066</v>
      </c>
      <c r="AV210">
        <v>26</v>
      </c>
      <c r="AX210">
        <v>208</v>
      </c>
      <c r="AY210">
        <v>117.342294</v>
      </c>
      <c r="AZ210" s="14">
        <v>0.94919789775300034</v>
      </c>
      <c r="BA210">
        <v>32.520000000000003</v>
      </c>
      <c r="BB210" s="14">
        <v>0.94744202307423386</v>
      </c>
      <c r="BC210">
        <v>26</v>
      </c>
    </row>
    <row r="211" spans="15:55" x14ac:dyDescent="0.35">
      <c r="O211">
        <v>209</v>
      </c>
      <c r="P211">
        <v>117.246318</v>
      </c>
      <c r="Q211" s="14">
        <v>0.95570960764977098</v>
      </c>
      <c r="R211">
        <v>32.433</v>
      </c>
      <c r="S211" s="14">
        <v>0.95576707726763721</v>
      </c>
      <c r="T211">
        <v>26</v>
      </c>
      <c r="V211">
        <v>209</v>
      </c>
      <c r="W211">
        <v>117.42962300000001</v>
      </c>
      <c r="X211" s="14">
        <v>0.95805123741040321</v>
      </c>
      <c r="Y211">
        <v>32.418999999999997</v>
      </c>
      <c r="Z211" s="14">
        <v>0.95693370328826954</v>
      </c>
      <c r="AA211">
        <v>26</v>
      </c>
      <c r="AC211">
        <v>209</v>
      </c>
      <c r="AD211">
        <v>116.69435300000001</v>
      </c>
      <c r="AE211" s="14">
        <v>0.96111031023860738</v>
      </c>
      <c r="AF211">
        <v>32.213000000000001</v>
      </c>
      <c r="AG211" s="14">
        <v>0.95892001309796682</v>
      </c>
      <c r="AH211">
        <v>26</v>
      </c>
      <c r="AJ211">
        <v>209</v>
      </c>
      <c r="AK211">
        <v>116.42725299999999</v>
      </c>
      <c r="AL211" s="14">
        <v>0.94602015539310347</v>
      </c>
      <c r="AM211">
        <v>32.212000000000003</v>
      </c>
      <c r="AN211" s="14">
        <v>0.94225706429532563</v>
      </c>
      <c r="AO211">
        <v>26</v>
      </c>
      <c r="AQ211">
        <v>209</v>
      </c>
      <c r="AR211">
        <v>115.18422200000001</v>
      </c>
      <c r="AS211" s="14">
        <v>0.94537438325980128</v>
      </c>
      <c r="AT211">
        <v>31.91</v>
      </c>
      <c r="AU211" s="14">
        <v>0.94232643297994867</v>
      </c>
      <c r="AV211">
        <v>26</v>
      </c>
      <c r="AX211">
        <v>209</v>
      </c>
      <c r="AY211">
        <v>117.311723</v>
      </c>
      <c r="AZ211" s="14">
        <v>0.94895060474429027</v>
      </c>
      <c r="BA211">
        <v>32.51</v>
      </c>
      <c r="BB211" s="14">
        <v>0.94715068173872508</v>
      </c>
      <c r="BC211">
        <v>26</v>
      </c>
    </row>
    <row r="212" spans="15:55" x14ac:dyDescent="0.35">
      <c r="O212">
        <v>210</v>
      </c>
      <c r="P212">
        <v>117.050263</v>
      </c>
      <c r="Q212" s="14">
        <v>0.95411150503704945</v>
      </c>
      <c r="R212">
        <v>32.384</v>
      </c>
      <c r="S212" s="14">
        <v>0.95432309777803981</v>
      </c>
      <c r="T212">
        <v>26</v>
      </c>
      <c r="V212">
        <v>210</v>
      </c>
      <c r="W212">
        <v>117.404658</v>
      </c>
      <c r="X212" s="14">
        <v>0.95784756010538485</v>
      </c>
      <c r="Y212">
        <v>32.411999999999999</v>
      </c>
      <c r="Z212" s="14">
        <v>0.95672707952063285</v>
      </c>
      <c r="AA212">
        <v>26</v>
      </c>
      <c r="AC212">
        <v>210</v>
      </c>
      <c r="AD212">
        <v>116.670635</v>
      </c>
      <c r="AE212" s="14">
        <v>0.9609149656160767</v>
      </c>
      <c r="AF212">
        <v>32.206000000000003</v>
      </c>
      <c r="AG212" s="14">
        <v>0.95871163635281154</v>
      </c>
      <c r="AH212">
        <v>26</v>
      </c>
      <c r="AJ212">
        <v>210</v>
      </c>
      <c r="AK212">
        <v>116.383993</v>
      </c>
      <c r="AL212" s="14">
        <v>0.94566864978880738</v>
      </c>
      <c r="AM212">
        <v>32.201000000000001</v>
      </c>
      <c r="AN212" s="14">
        <v>0.94193529515006147</v>
      </c>
      <c r="AO212">
        <v>26</v>
      </c>
      <c r="AQ212">
        <v>210</v>
      </c>
      <c r="AR212">
        <v>115.15800400000001</v>
      </c>
      <c r="AS212" s="14">
        <v>0.94515919905184342</v>
      </c>
      <c r="AT212">
        <v>31.901</v>
      </c>
      <c r="AU212" s="14">
        <v>0.94206065617340462</v>
      </c>
      <c r="AV212">
        <v>26</v>
      </c>
      <c r="AX212">
        <v>210</v>
      </c>
      <c r="AY212">
        <v>117.24897799999999</v>
      </c>
      <c r="AZ212" s="14">
        <v>0.94844305184018118</v>
      </c>
      <c r="BA212">
        <v>32.494</v>
      </c>
      <c r="BB212" s="14">
        <v>0.94668453560191124</v>
      </c>
      <c r="BC212">
        <v>26</v>
      </c>
    </row>
    <row r="213" spans="15:55" x14ac:dyDescent="0.35">
      <c r="O213">
        <v>211</v>
      </c>
      <c r="P213">
        <v>116.89489399999999</v>
      </c>
      <c r="Q213" s="14">
        <v>0.95284504611054444</v>
      </c>
      <c r="R213">
        <v>32.344000000000001</v>
      </c>
      <c r="S213" s="14">
        <v>0.95314433901102147</v>
      </c>
      <c r="T213">
        <v>26</v>
      </c>
      <c r="V213">
        <v>211</v>
      </c>
      <c r="W213">
        <v>117.333628</v>
      </c>
      <c r="X213" s="14">
        <v>0.9572680608474059</v>
      </c>
      <c r="Y213">
        <v>32.395000000000003</v>
      </c>
      <c r="Z213" s="14">
        <v>0.95622527894208642</v>
      </c>
      <c r="AA213">
        <v>26</v>
      </c>
      <c r="AC213">
        <v>211</v>
      </c>
      <c r="AD213">
        <v>116.62687</v>
      </c>
      <c r="AE213" s="14">
        <v>0.96055451121835966</v>
      </c>
      <c r="AF213">
        <v>32.194000000000003</v>
      </c>
      <c r="AG213" s="14">
        <v>0.95835441907540264</v>
      </c>
      <c r="AH213">
        <v>26</v>
      </c>
      <c r="AJ213">
        <v>211</v>
      </c>
      <c r="AK213">
        <v>116.35750400000001</v>
      </c>
      <c r="AL213" s="14">
        <v>0.94545341557816942</v>
      </c>
      <c r="AM213">
        <v>32.191000000000003</v>
      </c>
      <c r="AN213" s="14">
        <v>0.94164277774527594</v>
      </c>
      <c r="AO213">
        <v>26</v>
      </c>
      <c r="AQ213">
        <v>211</v>
      </c>
      <c r="AR213">
        <v>115.11914400000001</v>
      </c>
      <c r="AS213" s="14">
        <v>0.94484025564192509</v>
      </c>
      <c r="AT213">
        <v>31.890999999999998</v>
      </c>
      <c r="AU213" s="14">
        <v>0.94176534861057792</v>
      </c>
      <c r="AV213">
        <v>26</v>
      </c>
      <c r="AX213">
        <v>211</v>
      </c>
      <c r="AY213">
        <v>117.180903</v>
      </c>
      <c r="AZ213" s="14">
        <v>0.9478923838356037</v>
      </c>
      <c r="BA213">
        <v>32.476999999999997</v>
      </c>
      <c r="BB213" s="14">
        <v>0.94618925533154641</v>
      </c>
      <c r="BC213">
        <v>26</v>
      </c>
    </row>
    <row r="214" spans="15:55" x14ac:dyDescent="0.35">
      <c r="O214">
        <v>212</v>
      </c>
      <c r="P214">
        <v>116.953411</v>
      </c>
      <c r="Q214" s="14">
        <v>0.95332203558078821</v>
      </c>
      <c r="R214">
        <v>32.363</v>
      </c>
      <c r="S214" s="14">
        <v>0.95370424942535514</v>
      </c>
      <c r="T214">
        <v>26</v>
      </c>
      <c r="V214">
        <v>212</v>
      </c>
      <c r="W214">
        <v>117.27227999999999</v>
      </c>
      <c r="X214" s="14">
        <v>0.95676755232314137</v>
      </c>
      <c r="Y214">
        <v>32.378999999999998</v>
      </c>
      <c r="Z214" s="14">
        <v>0.95575299604463071</v>
      </c>
      <c r="AA214">
        <v>26</v>
      </c>
      <c r="AC214">
        <v>212</v>
      </c>
      <c r="AD214">
        <v>116.54799199999999</v>
      </c>
      <c r="AE214" s="14">
        <v>0.95990486145295062</v>
      </c>
      <c r="AF214">
        <v>32.174999999999997</v>
      </c>
      <c r="AG214" s="14">
        <v>0.95778882505283824</v>
      </c>
      <c r="AH214">
        <v>26</v>
      </c>
      <c r="AJ214">
        <v>212</v>
      </c>
      <c r="AK214">
        <v>116.31092599999999</v>
      </c>
      <c r="AL214" s="14">
        <v>0.94507494983529128</v>
      </c>
      <c r="AM214">
        <v>32.18</v>
      </c>
      <c r="AN214" s="14">
        <v>0.94132100860001167</v>
      </c>
      <c r="AO214">
        <v>26</v>
      </c>
      <c r="AQ214">
        <v>212</v>
      </c>
      <c r="AR214">
        <v>115.088179</v>
      </c>
      <c r="AS214" s="14">
        <v>0.94458611043636342</v>
      </c>
      <c r="AT214">
        <v>31.882000000000001</v>
      </c>
      <c r="AU214" s="14">
        <v>0.94149957180403399</v>
      </c>
      <c r="AV214">
        <v>26</v>
      </c>
      <c r="AX214">
        <v>212</v>
      </c>
      <c r="AY214">
        <v>117.152024</v>
      </c>
      <c r="AZ214" s="14">
        <v>0.94765877764677964</v>
      </c>
      <c r="BA214">
        <v>32.469000000000001</v>
      </c>
      <c r="BB214" s="14">
        <v>0.9459561822631396</v>
      </c>
      <c r="BC214">
        <v>26</v>
      </c>
    </row>
    <row r="215" spans="15:55" x14ac:dyDescent="0.35">
      <c r="O215">
        <v>213</v>
      </c>
      <c r="P215">
        <v>117.256299</v>
      </c>
      <c r="Q215" s="14">
        <v>0.95579096574916944</v>
      </c>
      <c r="R215">
        <v>32.424999999999997</v>
      </c>
      <c r="S215" s="14">
        <v>0.95553132551423348</v>
      </c>
      <c r="T215">
        <v>26</v>
      </c>
      <c r="V215">
        <v>213</v>
      </c>
      <c r="W215">
        <v>117.248116</v>
      </c>
      <c r="X215" s="14">
        <v>0.95657040998793363</v>
      </c>
      <c r="Y215">
        <v>32.372</v>
      </c>
      <c r="Z215" s="14">
        <v>0.95554637227699391</v>
      </c>
      <c r="AA215">
        <v>26</v>
      </c>
      <c r="AC215">
        <v>213</v>
      </c>
      <c r="AD215">
        <v>116.51380399999999</v>
      </c>
      <c r="AE215" s="14">
        <v>0.9596232845090652</v>
      </c>
      <c r="AF215">
        <v>32.167000000000002</v>
      </c>
      <c r="AG215" s="14">
        <v>0.95755068020123235</v>
      </c>
      <c r="AH215">
        <v>26</v>
      </c>
      <c r="AJ215">
        <v>213</v>
      </c>
      <c r="AK215">
        <v>116.282608</v>
      </c>
      <c r="AL215" s="14">
        <v>0.94484485423421738</v>
      </c>
      <c r="AM215">
        <v>32.171999999999997</v>
      </c>
      <c r="AN215" s="14">
        <v>0.94108699467618318</v>
      </c>
      <c r="AO215">
        <v>26</v>
      </c>
      <c r="AQ215">
        <v>213</v>
      </c>
      <c r="AR215">
        <v>115.02931100000001</v>
      </c>
      <c r="AS215" s="14">
        <v>0.94410295138708211</v>
      </c>
      <c r="AT215">
        <v>31.867000000000001</v>
      </c>
      <c r="AU215" s="14">
        <v>0.94105661045979394</v>
      </c>
      <c r="AV215">
        <v>26</v>
      </c>
      <c r="AX215">
        <v>213</v>
      </c>
      <c r="AY215">
        <v>117.293263</v>
      </c>
      <c r="AZ215" s="14">
        <v>0.94880127927437463</v>
      </c>
      <c r="BA215">
        <v>32.514000000000003</v>
      </c>
      <c r="BB215" s="14">
        <v>0.9472672182729287</v>
      </c>
      <c r="BC215">
        <v>26</v>
      </c>
    </row>
    <row r="216" spans="15:55" x14ac:dyDescent="0.35">
      <c r="O216">
        <v>214</v>
      </c>
      <c r="P216">
        <v>117.237865</v>
      </c>
      <c r="Q216" s="14">
        <v>0.95564070473280716</v>
      </c>
      <c r="R216">
        <v>32.414999999999999</v>
      </c>
      <c r="S216" s="14">
        <v>0.95523663582247897</v>
      </c>
      <c r="T216">
        <v>26</v>
      </c>
      <c r="V216">
        <v>214</v>
      </c>
      <c r="W216">
        <v>117.34887500000001</v>
      </c>
      <c r="X216" s="14">
        <v>0.95739245371220116</v>
      </c>
      <c r="Y216">
        <v>32.415999999999997</v>
      </c>
      <c r="Z216" s="14">
        <v>0.95684515024499661</v>
      </c>
      <c r="AA216">
        <v>26</v>
      </c>
      <c r="AC216">
        <v>214</v>
      </c>
      <c r="AD216">
        <v>116.59170899999999</v>
      </c>
      <c r="AE216" s="14">
        <v>0.96026492051624313</v>
      </c>
      <c r="AF216">
        <v>32.210999999999999</v>
      </c>
      <c r="AG216" s="14">
        <v>0.95886047688506515</v>
      </c>
      <c r="AH216">
        <v>26</v>
      </c>
      <c r="AJ216">
        <v>214</v>
      </c>
      <c r="AK216">
        <v>116.221878</v>
      </c>
      <c r="AL216" s="14">
        <v>0.94435139756873188</v>
      </c>
      <c r="AM216">
        <v>32.155999999999999</v>
      </c>
      <c r="AN216" s="14">
        <v>0.9406189668285263</v>
      </c>
      <c r="AO216">
        <v>26</v>
      </c>
      <c r="AQ216">
        <v>214</v>
      </c>
      <c r="AR216">
        <v>114.96091300000001</v>
      </c>
      <c r="AS216" s="14">
        <v>0.94354157487263024</v>
      </c>
      <c r="AT216">
        <v>31.849</v>
      </c>
      <c r="AU216" s="14">
        <v>0.94052505684670584</v>
      </c>
      <c r="AV216">
        <v>26</v>
      </c>
      <c r="AX216">
        <v>214</v>
      </c>
      <c r="AY216">
        <v>117.116135</v>
      </c>
      <c r="AZ216" s="14">
        <v>0.9473684666072455</v>
      </c>
      <c r="BA216">
        <v>32.469000000000001</v>
      </c>
      <c r="BB216" s="14">
        <v>0.9459561822631396</v>
      </c>
      <c r="BC216">
        <v>26</v>
      </c>
    </row>
    <row r="217" spans="15:55" x14ac:dyDescent="0.35">
      <c r="O217">
        <v>215</v>
      </c>
      <c r="P217">
        <v>117.130145</v>
      </c>
      <c r="Q217" s="14">
        <v>0.95476264697634916</v>
      </c>
      <c r="R217">
        <v>32.387999999999998</v>
      </c>
      <c r="S217" s="14">
        <v>0.95444097365474156</v>
      </c>
      <c r="T217">
        <v>26</v>
      </c>
      <c r="V217">
        <v>215</v>
      </c>
      <c r="W217">
        <v>117.163916</v>
      </c>
      <c r="X217" s="14">
        <v>0.95588346309898764</v>
      </c>
      <c r="Y217">
        <v>32.366999999999997</v>
      </c>
      <c r="Z217" s="14">
        <v>0.95539878387153898</v>
      </c>
      <c r="AA217">
        <v>26</v>
      </c>
      <c r="AC217">
        <v>215</v>
      </c>
      <c r="AD217">
        <v>116.43118800000001</v>
      </c>
      <c r="AE217" s="14">
        <v>0.95894284807534447</v>
      </c>
      <c r="AF217">
        <v>32.167999999999999</v>
      </c>
      <c r="AG217" s="14">
        <v>0.95758044830768307</v>
      </c>
      <c r="AH217">
        <v>26</v>
      </c>
      <c r="AJ217">
        <v>215</v>
      </c>
      <c r="AK217">
        <v>116.13679399999999</v>
      </c>
      <c r="AL217" s="14">
        <v>0.94366005446110501</v>
      </c>
      <c r="AM217">
        <v>32.136000000000003</v>
      </c>
      <c r="AN217" s="14">
        <v>0.94003393201895524</v>
      </c>
      <c r="AO217">
        <v>26</v>
      </c>
      <c r="AQ217">
        <v>215</v>
      </c>
      <c r="AR217">
        <v>114.933273</v>
      </c>
      <c r="AS217" s="14">
        <v>0.94331471960113911</v>
      </c>
      <c r="AT217">
        <v>31.841999999999999</v>
      </c>
      <c r="AU217" s="14">
        <v>0.94031834155272709</v>
      </c>
      <c r="AV217">
        <v>26</v>
      </c>
      <c r="AX217">
        <v>215</v>
      </c>
      <c r="AY217">
        <v>116.95774900000001</v>
      </c>
      <c r="AZ217" s="14">
        <v>0.94608726054667969</v>
      </c>
      <c r="BA217">
        <v>32.427999999999997</v>
      </c>
      <c r="BB217" s="14">
        <v>0.9447616827875539</v>
      </c>
      <c r="BC217">
        <v>26</v>
      </c>
    </row>
    <row r="218" spans="15:55" x14ac:dyDescent="0.35">
      <c r="O218">
        <v>216</v>
      </c>
      <c r="P218">
        <v>117.063237</v>
      </c>
      <c r="Q218" s="14">
        <v>0.95421725996958084</v>
      </c>
      <c r="R218">
        <v>32.369999999999997</v>
      </c>
      <c r="S218" s="14">
        <v>0.95391053220958333</v>
      </c>
      <c r="T218">
        <v>26</v>
      </c>
      <c r="V218">
        <v>216</v>
      </c>
      <c r="W218">
        <v>117.014736</v>
      </c>
      <c r="X218" s="14">
        <v>0.9546663759624916</v>
      </c>
      <c r="Y218">
        <v>32.33</v>
      </c>
      <c r="Z218" s="14">
        <v>0.95430662967117297</v>
      </c>
      <c r="AA218">
        <v>26</v>
      </c>
      <c r="AC218">
        <v>216</v>
      </c>
      <c r="AD218">
        <v>116.289152</v>
      </c>
      <c r="AE218" s="14">
        <v>0.9577730205685665</v>
      </c>
      <c r="AF218">
        <v>32.131</v>
      </c>
      <c r="AG218" s="14">
        <v>0.95647902836900534</v>
      </c>
      <c r="AH218">
        <v>26</v>
      </c>
      <c r="AJ218">
        <v>216</v>
      </c>
      <c r="AK218">
        <v>116.108634</v>
      </c>
      <c r="AL218" s="14">
        <v>0.94343124267615397</v>
      </c>
      <c r="AM218">
        <v>32.127000000000002</v>
      </c>
      <c r="AN218" s="14">
        <v>0.93977066635464812</v>
      </c>
      <c r="AO218">
        <v>26</v>
      </c>
      <c r="AQ218">
        <v>216</v>
      </c>
      <c r="AR218">
        <v>115.12084900000001</v>
      </c>
      <c r="AS218" s="14">
        <v>0.94485424942766649</v>
      </c>
      <c r="AT218">
        <v>31.901</v>
      </c>
      <c r="AU218" s="14">
        <v>0.94206065617340462</v>
      </c>
      <c r="AV218">
        <v>26</v>
      </c>
      <c r="AX218">
        <v>216</v>
      </c>
      <c r="AY218">
        <v>116.964327</v>
      </c>
      <c r="AZ218" s="14">
        <v>0.94614047089018471</v>
      </c>
      <c r="BA218">
        <v>32.433999999999997</v>
      </c>
      <c r="BB218" s="14">
        <v>0.94493648758885906</v>
      </c>
      <c r="BC218">
        <v>26</v>
      </c>
    </row>
    <row r="219" spans="15:55" x14ac:dyDescent="0.35">
      <c r="O219">
        <v>217</v>
      </c>
      <c r="P219">
        <v>117.021618</v>
      </c>
      <c r="Q219" s="14">
        <v>0.95387801112288551</v>
      </c>
      <c r="R219">
        <v>32.36</v>
      </c>
      <c r="S219" s="14">
        <v>0.95361584251782883</v>
      </c>
      <c r="T219">
        <v>26</v>
      </c>
      <c r="V219">
        <v>217</v>
      </c>
      <c r="W219">
        <v>117.033462</v>
      </c>
      <c r="X219" s="14">
        <v>0.95481915229791203</v>
      </c>
      <c r="Y219">
        <v>32.338999999999999</v>
      </c>
      <c r="Z219" s="14">
        <v>0.95457228880099176</v>
      </c>
      <c r="AA219">
        <v>26</v>
      </c>
      <c r="AC219">
        <v>217</v>
      </c>
      <c r="AD219">
        <v>116.35889899999999</v>
      </c>
      <c r="AE219" s="14">
        <v>0.95834746619583866</v>
      </c>
      <c r="AF219">
        <v>32.154000000000003</v>
      </c>
      <c r="AG219" s="14">
        <v>0.95716369481737262</v>
      </c>
      <c r="AH219">
        <v>26</v>
      </c>
      <c r="AJ219">
        <v>217</v>
      </c>
      <c r="AK219">
        <v>116.295866</v>
      </c>
      <c r="AL219" s="14">
        <v>0.94495258103268609</v>
      </c>
      <c r="AM219">
        <v>32.189</v>
      </c>
      <c r="AN219" s="14">
        <v>0.94158427426431868</v>
      </c>
      <c r="AO219">
        <v>26</v>
      </c>
      <c r="AQ219">
        <v>217</v>
      </c>
      <c r="AR219">
        <v>114.933284</v>
      </c>
      <c r="AS219" s="14">
        <v>0.94331480988362781</v>
      </c>
      <c r="AT219">
        <v>31.853000000000002</v>
      </c>
      <c r="AU219" s="14">
        <v>0.94064317987183654</v>
      </c>
      <c r="AV219">
        <v>26</v>
      </c>
      <c r="AX219">
        <v>217</v>
      </c>
      <c r="AY219">
        <v>117.291411</v>
      </c>
      <c r="AZ219" s="14">
        <v>0.94878629819256077</v>
      </c>
      <c r="BA219">
        <v>32.499000000000002</v>
      </c>
      <c r="BB219" s="14">
        <v>0.94683020626966563</v>
      </c>
      <c r="BC219">
        <v>26</v>
      </c>
    </row>
    <row r="220" spans="15:55" x14ac:dyDescent="0.35">
      <c r="O220">
        <v>218</v>
      </c>
      <c r="P220">
        <v>116.99403100000001</v>
      </c>
      <c r="Q220" s="14">
        <v>0.95365314128137602</v>
      </c>
      <c r="R220">
        <v>32.35</v>
      </c>
      <c r="S220" s="14">
        <v>0.95332115282607421</v>
      </c>
      <c r="T220">
        <v>26</v>
      </c>
      <c r="V220">
        <v>218</v>
      </c>
      <c r="W220">
        <v>117.36653699999999</v>
      </c>
      <c r="X220" s="14">
        <v>0.95753654938859722</v>
      </c>
      <c r="Y220">
        <v>32.406999999999996</v>
      </c>
      <c r="Z220" s="14">
        <v>0.95657949111517793</v>
      </c>
      <c r="AA220">
        <v>26</v>
      </c>
      <c r="AC220">
        <v>218</v>
      </c>
      <c r="AD220">
        <v>116.73342599999999</v>
      </c>
      <c r="AE220" s="14">
        <v>0.96143212069632455</v>
      </c>
      <c r="AF220">
        <v>32.228000000000002</v>
      </c>
      <c r="AG220" s="14">
        <v>0.95936653469472799</v>
      </c>
      <c r="AH220">
        <v>26</v>
      </c>
      <c r="AJ220">
        <v>218</v>
      </c>
      <c r="AK220">
        <v>116.107952</v>
      </c>
      <c r="AL220" s="14">
        <v>0.94342570114073721</v>
      </c>
      <c r="AM220">
        <v>32.139000000000003</v>
      </c>
      <c r="AN220" s="14">
        <v>0.94012168724039091</v>
      </c>
      <c r="AO220">
        <v>26</v>
      </c>
      <c r="AQ220">
        <v>218</v>
      </c>
      <c r="AR220">
        <v>114.78997099999999</v>
      </c>
      <c r="AS220" s="14">
        <v>0.94213856858394596</v>
      </c>
      <c r="AT220">
        <v>31.814</v>
      </c>
      <c r="AU220" s="14">
        <v>0.93949148037681252</v>
      </c>
      <c r="AV220">
        <v>26</v>
      </c>
      <c r="AX220">
        <v>218</v>
      </c>
      <c r="AY220">
        <v>117.310823</v>
      </c>
      <c r="AZ220" s="14">
        <v>0.94894332452094654</v>
      </c>
      <c r="BA220">
        <v>32.497</v>
      </c>
      <c r="BB220" s="14">
        <v>0.94677193800256387</v>
      </c>
      <c r="BC220">
        <v>26</v>
      </c>
    </row>
    <row r="221" spans="15:55" x14ac:dyDescent="0.35">
      <c r="O221">
        <v>219</v>
      </c>
      <c r="P221">
        <v>116.97861</v>
      </c>
      <c r="Q221" s="14">
        <v>0.95352744012409474</v>
      </c>
      <c r="R221">
        <v>32.344999999999999</v>
      </c>
      <c r="S221" s="14">
        <v>0.95317380798019691</v>
      </c>
      <c r="T221">
        <v>26</v>
      </c>
      <c r="V221">
        <v>219</v>
      </c>
      <c r="W221">
        <v>117.37368600000001</v>
      </c>
      <c r="X221" s="14">
        <v>0.95759487460604487</v>
      </c>
      <c r="Y221">
        <v>32.402999999999999</v>
      </c>
      <c r="Z221" s="14">
        <v>0.95646142039081405</v>
      </c>
      <c r="AA221">
        <v>26</v>
      </c>
      <c r="AC221">
        <v>219</v>
      </c>
      <c r="AD221">
        <v>116.716093</v>
      </c>
      <c r="AE221" s="14">
        <v>0.96128936378839291</v>
      </c>
      <c r="AF221">
        <v>32.216000000000001</v>
      </c>
      <c r="AG221" s="14">
        <v>0.95900931741731898</v>
      </c>
      <c r="AH221">
        <v>26</v>
      </c>
      <c r="AJ221">
        <v>219</v>
      </c>
      <c r="AK221">
        <v>115.969562</v>
      </c>
      <c r="AL221" s="14">
        <v>0.94230122447456655</v>
      </c>
      <c r="AM221">
        <v>32.106000000000002</v>
      </c>
      <c r="AN221" s="14">
        <v>0.93915637980459843</v>
      </c>
      <c r="AO221">
        <v>26</v>
      </c>
      <c r="AQ221">
        <v>219</v>
      </c>
      <c r="AR221">
        <v>114.776194</v>
      </c>
      <c r="AS221" s="14">
        <v>0.94202549387065615</v>
      </c>
      <c r="AT221">
        <v>31.812000000000001</v>
      </c>
      <c r="AU221" s="14">
        <v>0.93943241886424711</v>
      </c>
      <c r="AV221">
        <v>26</v>
      </c>
      <c r="AX221">
        <v>219</v>
      </c>
      <c r="AY221">
        <v>117.18426599999999</v>
      </c>
      <c r="AZ221" s="14">
        <v>0.9479195876034977</v>
      </c>
      <c r="BA221">
        <v>32.47</v>
      </c>
      <c r="BB221" s="14">
        <v>0.94598531639669037</v>
      </c>
      <c r="BC221">
        <v>26</v>
      </c>
    </row>
    <row r="222" spans="15:55" x14ac:dyDescent="0.35">
      <c r="O222">
        <v>220</v>
      </c>
      <c r="P222">
        <v>116.93561</v>
      </c>
      <c r="Q222" s="14">
        <v>0.95317693433568318</v>
      </c>
      <c r="R222">
        <v>32.332999999999998</v>
      </c>
      <c r="S222" s="14">
        <v>0.95282018035009142</v>
      </c>
      <c r="T222">
        <v>26</v>
      </c>
      <c r="V222">
        <v>220</v>
      </c>
      <c r="W222">
        <v>117.258816</v>
      </c>
      <c r="X222" s="14">
        <v>0.95665770608902301</v>
      </c>
      <c r="Y222">
        <v>32.375</v>
      </c>
      <c r="Z222" s="14">
        <v>0.95563492532026684</v>
      </c>
      <c r="AA222">
        <v>26</v>
      </c>
      <c r="AC222">
        <v>220</v>
      </c>
      <c r="AD222">
        <v>116.586063</v>
      </c>
      <c r="AE222" s="14">
        <v>0.96021841930455554</v>
      </c>
      <c r="AF222">
        <v>32.186</v>
      </c>
      <c r="AG222" s="14">
        <v>0.95811627422379653</v>
      </c>
      <c r="AH222">
        <v>26</v>
      </c>
      <c r="AJ222">
        <v>220</v>
      </c>
      <c r="AK222">
        <v>115.934408</v>
      </c>
      <c r="AL222" s="14">
        <v>0.94201558351262893</v>
      </c>
      <c r="AM222">
        <v>32.1</v>
      </c>
      <c r="AN222" s="14">
        <v>0.93898086936172709</v>
      </c>
      <c r="AO222">
        <v>26</v>
      </c>
      <c r="AQ222">
        <v>220</v>
      </c>
      <c r="AR222">
        <v>115.08891199999999</v>
      </c>
      <c r="AS222" s="14">
        <v>0.94459212653310731</v>
      </c>
      <c r="AT222">
        <v>31.878</v>
      </c>
      <c r="AU222" s="14">
        <v>0.94138144877890328</v>
      </c>
      <c r="AV222">
        <v>26</v>
      </c>
      <c r="AX222">
        <v>220</v>
      </c>
      <c r="AY222">
        <v>117.12133300000001</v>
      </c>
      <c r="AZ222" s="14">
        <v>0.94741051394162379</v>
      </c>
      <c r="BA222">
        <v>32.454999999999998</v>
      </c>
      <c r="BB222" s="14">
        <v>0.9455483043934273</v>
      </c>
      <c r="BC222">
        <v>26</v>
      </c>
    </row>
    <row r="223" spans="15:55" x14ac:dyDescent="0.35">
      <c r="O223">
        <v>221</v>
      </c>
      <c r="P223">
        <v>116.890156</v>
      </c>
      <c r="Q223" s="14">
        <v>0.95280642526343995</v>
      </c>
      <c r="R223">
        <v>32.32</v>
      </c>
      <c r="S223" s="14">
        <v>0.95243708375081049</v>
      </c>
      <c r="T223">
        <v>26</v>
      </c>
      <c r="V223">
        <v>221</v>
      </c>
      <c r="W223">
        <v>117.20195699999999</v>
      </c>
      <c r="X223" s="14">
        <v>0.95619382113464546</v>
      </c>
      <c r="Y223">
        <v>32.36</v>
      </c>
      <c r="Z223" s="14">
        <v>0.95519216010390218</v>
      </c>
      <c r="AA223">
        <v>26</v>
      </c>
      <c r="AC223">
        <v>221</v>
      </c>
      <c r="AD223">
        <v>116.52321499999999</v>
      </c>
      <c r="AE223" s="14">
        <v>0.9597007947646784</v>
      </c>
      <c r="AF223">
        <v>32.17</v>
      </c>
      <c r="AG223" s="14">
        <v>0.95763998452058463</v>
      </c>
      <c r="AH223">
        <v>26</v>
      </c>
      <c r="AJ223">
        <v>221</v>
      </c>
      <c r="AK223">
        <v>116.309669</v>
      </c>
      <c r="AL223" s="14">
        <v>0.94506473618423714</v>
      </c>
      <c r="AM223">
        <v>32.176000000000002</v>
      </c>
      <c r="AN223" s="14">
        <v>0.94120400163809748</v>
      </c>
      <c r="AO223">
        <v>26</v>
      </c>
      <c r="AQ223">
        <v>221</v>
      </c>
      <c r="AR223">
        <v>115.089648</v>
      </c>
      <c r="AS223" s="14">
        <v>0.94459816725234824</v>
      </c>
      <c r="AT223">
        <v>31.870999999999999</v>
      </c>
      <c r="AU223" s="14">
        <v>0.94117473348492453</v>
      </c>
      <c r="AV223">
        <v>26</v>
      </c>
      <c r="AX223">
        <v>221</v>
      </c>
      <c r="AY223">
        <v>117.06955499999999</v>
      </c>
      <c r="AZ223" s="14">
        <v>0.94699167460352573</v>
      </c>
      <c r="BA223">
        <v>32.441000000000003</v>
      </c>
      <c r="BB223" s="14">
        <v>0.94514042652371533</v>
      </c>
      <c r="BC223">
        <v>26</v>
      </c>
    </row>
    <row r="224" spans="15:55" x14ac:dyDescent="0.35">
      <c r="O224">
        <v>222</v>
      </c>
      <c r="P224">
        <v>116.857496</v>
      </c>
      <c r="Q224" s="14">
        <v>0.95254020389019523</v>
      </c>
      <c r="R224">
        <v>32.311</v>
      </c>
      <c r="S224" s="14">
        <v>0.95217186302823131</v>
      </c>
      <c r="T224">
        <v>26</v>
      </c>
      <c r="V224">
        <v>222</v>
      </c>
      <c r="W224">
        <v>117.153425</v>
      </c>
      <c r="X224" s="14">
        <v>0.95579787212734946</v>
      </c>
      <c r="Y224">
        <v>32.347000000000001</v>
      </c>
      <c r="Z224" s="14">
        <v>0.95480843024971962</v>
      </c>
      <c r="AA224">
        <v>26</v>
      </c>
      <c r="AC224">
        <v>222</v>
      </c>
      <c r="AD224">
        <v>116.48508200000001</v>
      </c>
      <c r="AE224" s="14">
        <v>0.95938672627277533</v>
      </c>
      <c r="AF224">
        <v>32.158999999999999</v>
      </c>
      <c r="AG224" s="14">
        <v>0.95731253534962624</v>
      </c>
      <c r="AH224">
        <v>26</v>
      </c>
      <c r="AJ224">
        <v>222</v>
      </c>
      <c r="AK224">
        <v>116.318088</v>
      </c>
      <c r="AL224" s="14">
        <v>0.94513314408258597</v>
      </c>
      <c r="AM224">
        <v>32.17</v>
      </c>
      <c r="AN224" s="14">
        <v>0.94102849119522614</v>
      </c>
      <c r="AO224">
        <v>26</v>
      </c>
      <c r="AQ224">
        <v>222</v>
      </c>
      <c r="AR224">
        <v>114.960695</v>
      </c>
      <c r="AS224" s="14">
        <v>0.94353978563785512</v>
      </c>
      <c r="AT224">
        <v>31.841000000000001</v>
      </c>
      <c r="AU224" s="14">
        <v>0.94028881079644455</v>
      </c>
      <c r="AV224">
        <v>26</v>
      </c>
      <c r="AX224">
        <v>222</v>
      </c>
      <c r="AY224">
        <v>117.04832399999999</v>
      </c>
      <c r="AZ224" s="14">
        <v>0.94681993413484866</v>
      </c>
      <c r="BA224">
        <v>32.433999999999997</v>
      </c>
      <c r="BB224" s="14">
        <v>0.94493648758885906</v>
      </c>
      <c r="BC224">
        <v>26</v>
      </c>
    </row>
    <row r="225" spans="15:55" x14ac:dyDescent="0.35">
      <c r="O225">
        <v>223</v>
      </c>
      <c r="P225">
        <v>116.848781</v>
      </c>
      <c r="Q225" s="14">
        <v>0.95246916533331138</v>
      </c>
      <c r="R225">
        <v>32.308999999999997</v>
      </c>
      <c r="S225" s="14">
        <v>0.95211292508988032</v>
      </c>
      <c r="T225">
        <v>26</v>
      </c>
      <c r="V225">
        <v>223</v>
      </c>
      <c r="W225">
        <v>117.12833000000001</v>
      </c>
      <c r="X225" s="14">
        <v>0.95559313421549563</v>
      </c>
      <c r="Y225">
        <v>32.338000000000001</v>
      </c>
      <c r="Z225" s="14">
        <v>0.95454277111990082</v>
      </c>
      <c r="AA225">
        <v>26</v>
      </c>
      <c r="AC225">
        <v>223</v>
      </c>
      <c r="AD225">
        <v>116.45454100000001</v>
      </c>
      <c r="AE225" s="14">
        <v>0.95913518650902174</v>
      </c>
      <c r="AF225">
        <v>32.15</v>
      </c>
      <c r="AG225" s="14">
        <v>0.95704462239156951</v>
      </c>
      <c r="AH225">
        <v>26</v>
      </c>
      <c r="AJ225">
        <v>223</v>
      </c>
      <c r="AK225">
        <v>116.173025</v>
      </c>
      <c r="AL225" s="14">
        <v>0.94395444649876692</v>
      </c>
      <c r="AM225">
        <v>32.136000000000003</v>
      </c>
      <c r="AN225" s="14">
        <v>0.94003393201895524</v>
      </c>
      <c r="AO225">
        <v>26</v>
      </c>
      <c r="AQ225">
        <v>223</v>
      </c>
      <c r="AR225">
        <v>114.89142</v>
      </c>
      <c r="AS225" s="14">
        <v>0.94297121114680782</v>
      </c>
      <c r="AT225">
        <v>31.824000000000002</v>
      </c>
      <c r="AU225" s="14">
        <v>0.93978678793963921</v>
      </c>
      <c r="AV225">
        <v>26</v>
      </c>
      <c r="AX225">
        <v>223</v>
      </c>
      <c r="AY225">
        <v>117.017088</v>
      </c>
      <c r="AZ225" s="14">
        <v>0.9465672618500014</v>
      </c>
      <c r="BA225">
        <v>32.424999999999997</v>
      </c>
      <c r="BB225" s="14">
        <v>0.94467428038690127</v>
      </c>
      <c r="BC225">
        <v>26</v>
      </c>
    </row>
    <row r="226" spans="15:55" x14ac:dyDescent="0.35">
      <c r="O226">
        <v>224</v>
      </c>
      <c r="P226">
        <v>116.83582199999999</v>
      </c>
      <c r="Q226" s="14">
        <v>0.95236353267024099</v>
      </c>
      <c r="R226">
        <v>32.302999999999997</v>
      </c>
      <c r="S226" s="14">
        <v>0.95193611127482758</v>
      </c>
      <c r="T226">
        <v>26</v>
      </c>
      <c r="V226">
        <v>224</v>
      </c>
      <c r="W226">
        <v>117.110685</v>
      </c>
      <c r="X226" s="14">
        <v>0.95544917723383938</v>
      </c>
      <c r="Y226">
        <v>32.332999999999998</v>
      </c>
      <c r="Z226" s="14">
        <v>0.9543951827144459</v>
      </c>
      <c r="AA226">
        <v>26</v>
      </c>
      <c r="AC226">
        <v>224</v>
      </c>
      <c r="AD226">
        <v>116.42985899999999</v>
      </c>
      <c r="AE226" s="14">
        <v>0.9589319022534647</v>
      </c>
      <c r="AF226">
        <v>32.142000000000003</v>
      </c>
      <c r="AG226" s="14">
        <v>0.95680647753996362</v>
      </c>
      <c r="AH226">
        <v>26</v>
      </c>
      <c r="AJ226">
        <v>224</v>
      </c>
      <c r="AK226">
        <v>116.105782</v>
      </c>
      <c r="AL226" s="14">
        <v>0.943408068982593</v>
      </c>
      <c r="AM226">
        <v>32.119999999999997</v>
      </c>
      <c r="AN226" s="14">
        <v>0.93956590417129815</v>
      </c>
      <c r="AO226">
        <v>26</v>
      </c>
      <c r="AQ226">
        <v>224</v>
      </c>
      <c r="AR226">
        <v>114.85297199999999</v>
      </c>
      <c r="AS226" s="14">
        <v>0.9426556492264645</v>
      </c>
      <c r="AT226">
        <v>31.812999999999999</v>
      </c>
      <c r="AU226" s="14">
        <v>0.93946194962052976</v>
      </c>
      <c r="AV226">
        <v>26</v>
      </c>
      <c r="AX226">
        <v>224</v>
      </c>
      <c r="AY226">
        <v>116.97921100000001</v>
      </c>
      <c r="AZ226" s="14">
        <v>0.94626086960601485</v>
      </c>
      <c r="BA226">
        <v>32.414000000000001</v>
      </c>
      <c r="BB226" s="14">
        <v>0.94435380491784182</v>
      </c>
      <c r="BC226">
        <v>26</v>
      </c>
    </row>
    <row r="227" spans="15:55" x14ac:dyDescent="0.35">
      <c r="O227">
        <v>225</v>
      </c>
      <c r="P227">
        <v>116.79679400000001</v>
      </c>
      <c r="Q227" s="14">
        <v>0.95204540383512193</v>
      </c>
      <c r="R227">
        <v>32.292000000000002</v>
      </c>
      <c r="S227" s="14">
        <v>0.95161195261389764</v>
      </c>
      <c r="T227">
        <v>26</v>
      </c>
      <c r="V227">
        <v>225</v>
      </c>
      <c r="W227">
        <v>117.07588200000001</v>
      </c>
      <c r="X227" s="14">
        <v>0.95516523646690366</v>
      </c>
      <c r="Y227">
        <v>32.323</v>
      </c>
      <c r="Z227" s="14">
        <v>0.95410000590353627</v>
      </c>
      <c r="AA227">
        <v>26</v>
      </c>
      <c r="AC227">
        <v>225</v>
      </c>
      <c r="AD227">
        <v>116.38891599999999</v>
      </c>
      <c r="AE227" s="14">
        <v>0.95859469022545762</v>
      </c>
      <c r="AF227">
        <v>32.130000000000003</v>
      </c>
      <c r="AG227" s="14">
        <v>0.95644926026255472</v>
      </c>
      <c r="AH227">
        <v>26</v>
      </c>
      <c r="AJ227">
        <v>225</v>
      </c>
      <c r="AK227">
        <v>116.06648</v>
      </c>
      <c r="AL227" s="14">
        <v>0.94308872378471853</v>
      </c>
      <c r="AM227">
        <v>32.106999999999999</v>
      </c>
      <c r="AN227" s="14">
        <v>0.93918563154507695</v>
      </c>
      <c r="AO227">
        <v>26</v>
      </c>
      <c r="AQ227">
        <v>225</v>
      </c>
      <c r="AR227">
        <v>114.821917</v>
      </c>
      <c r="AS227" s="14">
        <v>0.94240076534599571</v>
      </c>
      <c r="AT227">
        <v>31.803999999999998</v>
      </c>
      <c r="AU227" s="14">
        <v>0.93919617281398571</v>
      </c>
      <c r="AV227">
        <v>26</v>
      </c>
      <c r="AX227">
        <v>225</v>
      </c>
      <c r="AY227">
        <v>116.9247</v>
      </c>
      <c r="AZ227" s="14">
        <v>0.94581992265636328</v>
      </c>
      <c r="BA227">
        <v>32.4</v>
      </c>
      <c r="BB227" s="14">
        <v>0.94394592704812963</v>
      </c>
      <c r="BC227">
        <v>26</v>
      </c>
    </row>
    <row r="228" spans="15:55" x14ac:dyDescent="0.35">
      <c r="O228">
        <v>226</v>
      </c>
      <c r="P228">
        <v>116.684511</v>
      </c>
      <c r="Q228" s="14">
        <v>0.95113015170860526</v>
      </c>
      <c r="R228">
        <v>32.259</v>
      </c>
      <c r="S228" s="14">
        <v>0.95063947663110748</v>
      </c>
      <c r="T228">
        <v>54</v>
      </c>
      <c r="V228">
        <v>226</v>
      </c>
      <c r="W228">
        <v>116.931096</v>
      </c>
      <c r="X228" s="14">
        <v>0.95398399784145294</v>
      </c>
      <c r="Y228">
        <v>32.281999999999996</v>
      </c>
      <c r="Z228" s="14">
        <v>0.95288978097880617</v>
      </c>
      <c r="AA228">
        <v>54</v>
      </c>
      <c r="AC228">
        <v>226</v>
      </c>
      <c r="AD228">
        <v>116.24341699999999</v>
      </c>
      <c r="AE228" s="14">
        <v>0.95739634098717519</v>
      </c>
      <c r="AF228">
        <v>32.088999999999999</v>
      </c>
      <c r="AG228" s="14">
        <v>0.95522876789807387</v>
      </c>
      <c r="AH228">
        <v>54</v>
      </c>
      <c r="AJ228">
        <v>226</v>
      </c>
      <c r="AK228">
        <v>115.946258</v>
      </c>
      <c r="AL228" s="14">
        <v>0.94211186972185001</v>
      </c>
      <c r="AM228">
        <v>32.067999999999998</v>
      </c>
      <c r="AN228" s="14">
        <v>0.93804481366641312</v>
      </c>
      <c r="AO228">
        <v>54</v>
      </c>
      <c r="AQ228">
        <v>226</v>
      </c>
      <c r="AR228">
        <v>114.690724</v>
      </c>
      <c r="AS228" s="14">
        <v>0.94132399893381302</v>
      </c>
      <c r="AT228">
        <v>31.763000000000002</v>
      </c>
      <c r="AU228" s="14">
        <v>0.93798541180639639</v>
      </c>
      <c r="AV228">
        <v>54</v>
      </c>
      <c r="AX228">
        <v>226</v>
      </c>
      <c r="AY228">
        <v>116.83979100000001</v>
      </c>
      <c r="AZ228" s="14">
        <v>0.94513308211871105</v>
      </c>
      <c r="BA228">
        <v>32.372999999999998</v>
      </c>
      <c r="BB228" s="14">
        <v>0.94315930544225612</v>
      </c>
      <c r="BC228">
        <v>54</v>
      </c>
    </row>
    <row r="229" spans="15:55" x14ac:dyDescent="0.35">
      <c r="O229">
        <v>227</v>
      </c>
      <c r="P229">
        <v>116.685958</v>
      </c>
      <c r="Q229" s="14">
        <v>0.9511419466359502</v>
      </c>
      <c r="R229">
        <v>32.256999999999998</v>
      </c>
      <c r="S229" s="14">
        <v>0.95058053869275649</v>
      </c>
      <c r="T229">
        <v>54</v>
      </c>
      <c r="V229">
        <v>227</v>
      </c>
      <c r="W229">
        <v>116.927887</v>
      </c>
      <c r="X229" s="14">
        <v>0.95395781716964034</v>
      </c>
      <c r="Y229">
        <v>32.279000000000003</v>
      </c>
      <c r="Z229" s="14">
        <v>0.95280122793553346</v>
      </c>
      <c r="AA229">
        <v>54</v>
      </c>
      <c r="AC229">
        <v>227</v>
      </c>
      <c r="AD229">
        <v>116.233507</v>
      </c>
      <c r="AE229" s="14">
        <v>0.95731472090077352</v>
      </c>
      <c r="AF229">
        <v>32.085000000000001</v>
      </c>
      <c r="AG229" s="14">
        <v>0.95510969547227098</v>
      </c>
      <c r="AH229">
        <v>54</v>
      </c>
      <c r="AJ229">
        <v>227</v>
      </c>
      <c r="AK229">
        <v>115.911477</v>
      </c>
      <c r="AL229" s="14">
        <v>0.94182925954101271</v>
      </c>
      <c r="AM229">
        <v>32.058</v>
      </c>
      <c r="AN229" s="14">
        <v>0.93775229626162759</v>
      </c>
      <c r="AO229">
        <v>54</v>
      </c>
      <c r="AQ229">
        <v>227</v>
      </c>
      <c r="AR229">
        <v>114.631607</v>
      </c>
      <c r="AS229" s="14">
        <v>0.9408387962172885</v>
      </c>
      <c r="AT229">
        <v>31.748000000000001</v>
      </c>
      <c r="AU229" s="14">
        <v>0.93754245046215634</v>
      </c>
      <c r="AV229">
        <v>54</v>
      </c>
      <c r="AX229">
        <v>227</v>
      </c>
      <c r="AY229">
        <v>116.83554700000001</v>
      </c>
      <c r="AZ229" s="14">
        <v>0.94509875182107717</v>
      </c>
      <c r="BA229">
        <v>32.369</v>
      </c>
      <c r="BB229" s="14">
        <v>0.94304276890805272</v>
      </c>
      <c r="BC229">
        <v>54</v>
      </c>
    </row>
    <row r="230" spans="15:55" x14ac:dyDescent="0.35">
      <c r="O230">
        <v>228</v>
      </c>
      <c r="P230">
        <v>116.647571</v>
      </c>
      <c r="Q230" s="14">
        <v>0.95082904278246749</v>
      </c>
      <c r="R230">
        <v>32.247</v>
      </c>
      <c r="S230" s="14">
        <v>0.95028584900100199</v>
      </c>
      <c r="T230">
        <v>54</v>
      </c>
      <c r="V230">
        <v>228</v>
      </c>
      <c r="W230">
        <v>116.91892</v>
      </c>
      <c r="X230" s="14">
        <v>0.95388465977352177</v>
      </c>
      <c r="Y230">
        <v>32.274999999999999</v>
      </c>
      <c r="Z230" s="14">
        <v>0.95268315721116947</v>
      </c>
      <c r="AA230">
        <v>54</v>
      </c>
      <c r="AC230">
        <v>228</v>
      </c>
      <c r="AD230">
        <v>116.22422</v>
      </c>
      <c r="AE230" s="14">
        <v>0.95723823192575697</v>
      </c>
      <c r="AF230">
        <v>32.08</v>
      </c>
      <c r="AG230" s="14">
        <v>0.95496085494001715</v>
      </c>
      <c r="AH230">
        <v>54</v>
      </c>
      <c r="AJ230">
        <v>228</v>
      </c>
      <c r="AK230">
        <v>115.842788</v>
      </c>
      <c r="AL230" s="14">
        <v>0.9412711326696882</v>
      </c>
      <c r="AM230">
        <v>32.040999999999997</v>
      </c>
      <c r="AN230" s="14">
        <v>0.93725501667349198</v>
      </c>
      <c r="AO230">
        <v>54</v>
      </c>
      <c r="AQ230">
        <v>228</v>
      </c>
      <c r="AR230">
        <v>114.577611</v>
      </c>
      <c r="AS230" s="14">
        <v>0.94039562410298194</v>
      </c>
      <c r="AT230">
        <v>31.734000000000002</v>
      </c>
      <c r="AU230" s="14">
        <v>0.93712901987419905</v>
      </c>
      <c r="AV230">
        <v>54</v>
      </c>
      <c r="AX230">
        <v>228</v>
      </c>
      <c r="AY230">
        <v>116.794899</v>
      </c>
      <c r="AZ230" s="14">
        <v>0.94476994457832908</v>
      </c>
      <c r="BA230">
        <v>32.356999999999999</v>
      </c>
      <c r="BB230" s="14">
        <v>0.94269315930544229</v>
      </c>
      <c r="BC230">
        <v>54</v>
      </c>
    </row>
    <row r="231" spans="15:55" x14ac:dyDescent="0.35">
      <c r="O231">
        <v>229</v>
      </c>
      <c r="P231">
        <v>116.59748500000001</v>
      </c>
      <c r="Q231" s="14">
        <v>0.95042077690064475</v>
      </c>
      <c r="R231">
        <v>32.234000000000002</v>
      </c>
      <c r="S231" s="14">
        <v>0.94990275240172106</v>
      </c>
      <c r="T231">
        <v>54</v>
      </c>
      <c r="V231">
        <v>229</v>
      </c>
      <c r="W231">
        <v>116.874657</v>
      </c>
      <c r="X231" s="14">
        <v>0.95352353946300616</v>
      </c>
      <c r="Y231">
        <v>32.262999999999998</v>
      </c>
      <c r="Z231" s="14">
        <v>0.95232894503807775</v>
      </c>
      <c r="AA231">
        <v>54</v>
      </c>
      <c r="AC231">
        <v>229</v>
      </c>
      <c r="AD231">
        <v>116.178817</v>
      </c>
      <c r="AE231" s="14">
        <v>0.95686428674080215</v>
      </c>
      <c r="AF231">
        <v>32.067999999999998</v>
      </c>
      <c r="AG231" s="14">
        <v>0.95460363766260814</v>
      </c>
      <c r="AH231">
        <v>54</v>
      </c>
      <c r="AJ231">
        <v>229</v>
      </c>
      <c r="AK231">
        <v>115.796724</v>
      </c>
      <c r="AL231" s="14">
        <v>0.94089684339191892</v>
      </c>
      <c r="AM231">
        <v>32.03</v>
      </c>
      <c r="AN231" s="14">
        <v>0.93693324752822793</v>
      </c>
      <c r="AO231">
        <v>54</v>
      </c>
      <c r="AQ231">
        <v>229</v>
      </c>
      <c r="AR231">
        <v>114.564319</v>
      </c>
      <c r="AS231" s="14">
        <v>0.94028653002669171</v>
      </c>
      <c r="AT231">
        <v>31.728000000000002</v>
      </c>
      <c r="AU231" s="14">
        <v>0.93695183533650306</v>
      </c>
      <c r="AV231">
        <v>54</v>
      </c>
      <c r="AX231">
        <v>229</v>
      </c>
      <c r="AY231">
        <v>116.74129499999999</v>
      </c>
      <c r="AZ231" s="14">
        <v>0.94433633447598053</v>
      </c>
      <c r="BA231">
        <v>32.344000000000001</v>
      </c>
      <c r="BB231" s="14">
        <v>0.94231441556928108</v>
      </c>
      <c r="BC231">
        <v>54</v>
      </c>
    </row>
    <row r="232" spans="15:55" x14ac:dyDescent="0.35">
      <c r="O232">
        <v>230</v>
      </c>
      <c r="P232">
        <v>116.562155</v>
      </c>
      <c r="Q232" s="14">
        <v>0.95013279156332897</v>
      </c>
      <c r="R232">
        <v>32.222999999999999</v>
      </c>
      <c r="S232" s="14">
        <v>0.94957859374079101</v>
      </c>
      <c r="T232">
        <v>54</v>
      </c>
      <c r="V232">
        <v>230</v>
      </c>
      <c r="W232">
        <v>116.83372</v>
      </c>
      <c r="X232" s="14">
        <v>0.95318955437045527</v>
      </c>
      <c r="Y232">
        <v>32.252000000000002</v>
      </c>
      <c r="Z232" s="14">
        <v>0.95200425054607718</v>
      </c>
      <c r="AA232">
        <v>54</v>
      </c>
      <c r="AC232">
        <v>230</v>
      </c>
      <c r="AD232">
        <v>116.13907</v>
      </c>
      <c r="AE232" s="14">
        <v>0.95653692512887356</v>
      </c>
      <c r="AF232">
        <v>32.057000000000002</v>
      </c>
      <c r="AG232" s="14">
        <v>0.95427618849164997</v>
      </c>
      <c r="AH232">
        <v>54</v>
      </c>
      <c r="AJ232">
        <v>230</v>
      </c>
      <c r="AK232">
        <v>115.775429</v>
      </c>
      <c r="AL232" s="14">
        <v>0.94072381260496829</v>
      </c>
      <c r="AM232">
        <v>32.021000000000001</v>
      </c>
      <c r="AN232" s="14">
        <v>0.93666998186392092</v>
      </c>
      <c r="AO232">
        <v>54</v>
      </c>
      <c r="AQ232">
        <v>230</v>
      </c>
      <c r="AR232">
        <v>114.55000699999999</v>
      </c>
      <c r="AS232" s="14">
        <v>0.94016906430145364</v>
      </c>
      <c r="AT232">
        <v>31.722999999999999</v>
      </c>
      <c r="AU232" s="14">
        <v>0.9368041815550896</v>
      </c>
      <c r="AV232">
        <v>54</v>
      </c>
      <c r="AX232">
        <v>230</v>
      </c>
      <c r="AY232">
        <v>116.698813</v>
      </c>
      <c r="AZ232" s="14">
        <v>0.94399269175588563</v>
      </c>
      <c r="BA232">
        <v>32.334000000000003</v>
      </c>
      <c r="BB232" s="14">
        <v>0.94202307423377241</v>
      </c>
      <c r="BC232">
        <v>54</v>
      </c>
    </row>
    <row r="233" spans="15:55" x14ac:dyDescent="0.35">
      <c r="O233">
        <v>231</v>
      </c>
      <c r="P233">
        <v>116.556003</v>
      </c>
      <c r="Q233" s="14">
        <v>0.95008264478169391</v>
      </c>
      <c r="R233">
        <v>32.220999999999997</v>
      </c>
      <c r="S233" s="14">
        <v>0.94951965580244002</v>
      </c>
      <c r="T233">
        <v>54</v>
      </c>
      <c r="V233">
        <v>231</v>
      </c>
      <c r="W233">
        <v>116.796347</v>
      </c>
      <c r="X233" s="14">
        <v>0.95288464622222979</v>
      </c>
      <c r="Y233">
        <v>32.241999999999997</v>
      </c>
      <c r="Z233" s="14">
        <v>0.95170907373516733</v>
      </c>
      <c r="AA233">
        <v>54</v>
      </c>
      <c r="AC233">
        <v>231</v>
      </c>
      <c r="AD233">
        <v>116.100039</v>
      </c>
      <c r="AE233" s="14">
        <v>0.9562154605887776</v>
      </c>
      <c r="AF233">
        <v>32.046999999999997</v>
      </c>
      <c r="AG233" s="14">
        <v>0.95397850742714241</v>
      </c>
      <c r="AH233">
        <v>54</v>
      </c>
      <c r="AJ233">
        <v>231</v>
      </c>
      <c r="AK233">
        <v>115.772311</v>
      </c>
      <c r="AL233" s="14">
        <v>0.94069847755008629</v>
      </c>
      <c r="AM233">
        <v>32.018000000000001</v>
      </c>
      <c r="AN233" s="14">
        <v>0.93658222664248525</v>
      </c>
      <c r="AO233">
        <v>54</v>
      </c>
      <c r="AQ233">
        <v>231</v>
      </c>
      <c r="AR233">
        <v>114.507138</v>
      </c>
      <c r="AS233" s="14">
        <v>0.93981721702817023</v>
      </c>
      <c r="AT233">
        <v>31.710999999999999</v>
      </c>
      <c r="AU233" s="14">
        <v>0.93644981247969761</v>
      </c>
      <c r="AV233">
        <v>54</v>
      </c>
      <c r="AX233">
        <v>231</v>
      </c>
      <c r="AY233">
        <v>116.68550999999999</v>
      </c>
      <c r="AZ233" s="14">
        <v>0.94388508196572918</v>
      </c>
      <c r="BA233">
        <v>32.328000000000003</v>
      </c>
      <c r="BB233" s="14">
        <v>0.94184826943246724</v>
      </c>
      <c r="BC233">
        <v>54</v>
      </c>
    </row>
    <row r="234" spans="15:55" x14ac:dyDescent="0.35">
      <c r="O234">
        <v>232</v>
      </c>
      <c r="P234">
        <v>116.55077900000001</v>
      </c>
      <c r="Q234" s="14">
        <v>0.95004006240405059</v>
      </c>
      <c r="R234">
        <v>32.218000000000004</v>
      </c>
      <c r="S234" s="14">
        <v>0.94943124889491382</v>
      </c>
      <c r="T234">
        <v>54</v>
      </c>
      <c r="V234">
        <v>232</v>
      </c>
      <c r="W234">
        <v>116.78894699999999</v>
      </c>
      <c r="X234" s="14">
        <v>0.9528242732177381</v>
      </c>
      <c r="Y234">
        <v>32.238999999999997</v>
      </c>
      <c r="Z234" s="14">
        <v>0.9516205206918944</v>
      </c>
      <c r="AA234">
        <v>54</v>
      </c>
      <c r="AC234">
        <v>232</v>
      </c>
      <c r="AD234">
        <v>116.084003</v>
      </c>
      <c r="AE234" s="14">
        <v>0.95608338594644271</v>
      </c>
      <c r="AF234">
        <v>32.042000000000002</v>
      </c>
      <c r="AG234" s="14">
        <v>0.95382966689488879</v>
      </c>
      <c r="AH234">
        <v>54</v>
      </c>
      <c r="AJ234">
        <v>232</v>
      </c>
      <c r="AK234">
        <v>115.7204</v>
      </c>
      <c r="AL234" s="14">
        <v>0.94027667895034939</v>
      </c>
      <c r="AM234">
        <v>32.003</v>
      </c>
      <c r="AN234" s="14">
        <v>0.9361434505353069</v>
      </c>
      <c r="AO234">
        <v>54</v>
      </c>
      <c r="AQ234">
        <v>232</v>
      </c>
      <c r="AR234">
        <v>114.453338</v>
      </c>
      <c r="AS234" s="14">
        <v>0.9393756535836616</v>
      </c>
      <c r="AT234">
        <v>31.696999999999999</v>
      </c>
      <c r="AU234" s="14">
        <v>0.93603638189174021</v>
      </c>
      <c r="AV234">
        <v>54</v>
      </c>
      <c r="AX234">
        <v>232</v>
      </c>
      <c r="AY234">
        <v>116.651619</v>
      </c>
      <c r="AZ234" s="14">
        <v>0.94361093302201804</v>
      </c>
      <c r="BA234">
        <v>32.32</v>
      </c>
      <c r="BB234" s="14">
        <v>0.94161519636406021</v>
      </c>
      <c r="BC234">
        <v>54</v>
      </c>
    </row>
    <row r="235" spans="15:55" x14ac:dyDescent="0.35">
      <c r="O235">
        <v>233</v>
      </c>
      <c r="P235">
        <v>116.523166</v>
      </c>
      <c r="Q235" s="14">
        <v>0.94981498062880854</v>
      </c>
      <c r="R235">
        <v>32.21</v>
      </c>
      <c r="S235" s="14">
        <v>0.94919549714151008</v>
      </c>
      <c r="T235">
        <v>54</v>
      </c>
      <c r="V235">
        <v>233</v>
      </c>
      <c r="W235">
        <v>116.77002299999999</v>
      </c>
      <c r="X235" s="14">
        <v>0.95266988149652176</v>
      </c>
      <c r="Y235">
        <v>32.232999999999997</v>
      </c>
      <c r="Z235" s="14">
        <v>0.95144341460534854</v>
      </c>
      <c r="AA235">
        <v>54</v>
      </c>
      <c r="AC235">
        <v>233</v>
      </c>
      <c r="AD235">
        <v>116.060669</v>
      </c>
      <c r="AE235" s="14">
        <v>0.95589120399930849</v>
      </c>
      <c r="AF235">
        <v>32.033999999999999</v>
      </c>
      <c r="AG235" s="14">
        <v>0.95359152204328268</v>
      </c>
      <c r="AH235">
        <v>54</v>
      </c>
      <c r="AJ235">
        <v>233</v>
      </c>
      <c r="AK235">
        <v>115.66322</v>
      </c>
      <c r="AL235" s="14">
        <v>0.93981206752053759</v>
      </c>
      <c r="AM235">
        <v>31.99</v>
      </c>
      <c r="AN235" s="14">
        <v>0.93576317790908559</v>
      </c>
      <c r="AO235">
        <v>54</v>
      </c>
      <c r="AQ235">
        <v>233</v>
      </c>
      <c r="AR235">
        <v>114.421525</v>
      </c>
      <c r="AS235" s="14">
        <v>0.93911454841897468</v>
      </c>
      <c r="AT235">
        <v>31.687999999999999</v>
      </c>
      <c r="AU235" s="14">
        <v>0.93577060508519616</v>
      </c>
      <c r="AV235">
        <v>54</v>
      </c>
      <c r="AX235">
        <v>233</v>
      </c>
      <c r="AY235">
        <v>116.612692</v>
      </c>
      <c r="AZ235" s="14">
        <v>0.94329604718413052</v>
      </c>
      <c r="BA235">
        <v>32.308</v>
      </c>
      <c r="BB235" s="14">
        <v>0.94126558676144978</v>
      </c>
      <c r="BC235">
        <v>54</v>
      </c>
    </row>
    <row r="236" spans="15:55" x14ac:dyDescent="0.35">
      <c r="O236">
        <v>234</v>
      </c>
      <c r="P236">
        <v>116.472792</v>
      </c>
      <c r="Q236" s="14">
        <v>0.9494043671733331</v>
      </c>
      <c r="R236">
        <v>32.197000000000003</v>
      </c>
      <c r="S236" s="14">
        <v>0.94881240054222915</v>
      </c>
      <c r="T236">
        <v>54</v>
      </c>
      <c r="V236">
        <v>234</v>
      </c>
      <c r="W236">
        <v>116.73155199999999</v>
      </c>
      <c r="X236" s="14">
        <v>0.95235601529979208</v>
      </c>
      <c r="Y236">
        <v>32.222000000000001</v>
      </c>
      <c r="Z236" s="14">
        <v>0.95111872011334797</v>
      </c>
      <c r="AA236">
        <v>54</v>
      </c>
      <c r="AC236">
        <v>234</v>
      </c>
      <c r="AD236">
        <v>116.024091</v>
      </c>
      <c r="AE236" s="14">
        <v>0.95558994269553388</v>
      </c>
      <c r="AF236">
        <v>32.024000000000001</v>
      </c>
      <c r="AG236" s="14">
        <v>0.95329384097877523</v>
      </c>
      <c r="AH236">
        <v>54</v>
      </c>
      <c r="AJ236">
        <v>234</v>
      </c>
      <c r="AK236">
        <v>115.629329</v>
      </c>
      <c r="AL236" s="14">
        <v>0.93953668896216502</v>
      </c>
      <c r="AM236">
        <v>31.98</v>
      </c>
      <c r="AN236" s="14">
        <v>0.93547066050430006</v>
      </c>
      <c r="AO236">
        <v>54</v>
      </c>
      <c r="AQ236">
        <v>234</v>
      </c>
      <c r="AR236">
        <v>114.40329</v>
      </c>
      <c r="AS236" s="14">
        <v>0.93896488467528283</v>
      </c>
      <c r="AT236">
        <v>31.681999999999999</v>
      </c>
      <c r="AU236" s="14">
        <v>0.93559342054750017</v>
      </c>
      <c r="AV236">
        <v>54</v>
      </c>
      <c r="AX236">
        <v>234</v>
      </c>
      <c r="AY236">
        <v>116.56151199999999</v>
      </c>
      <c r="AZ236" s="14">
        <v>0.94288204514998752</v>
      </c>
      <c r="BA236">
        <v>32.295000000000002</v>
      </c>
      <c r="BB236" s="14">
        <v>0.94088684302528858</v>
      </c>
      <c r="BC236">
        <v>54</v>
      </c>
    </row>
    <row r="237" spans="15:55" x14ac:dyDescent="0.35">
      <c r="O237">
        <v>235</v>
      </c>
      <c r="P237">
        <v>116.426863</v>
      </c>
      <c r="Q237" s="14">
        <v>0.9490299862348226</v>
      </c>
      <c r="R237">
        <v>32.185000000000002</v>
      </c>
      <c r="S237" s="14">
        <v>0.94845877291212366</v>
      </c>
      <c r="T237">
        <v>54</v>
      </c>
      <c r="V237">
        <v>235</v>
      </c>
      <c r="W237">
        <v>116.688096</v>
      </c>
      <c r="X237" s="14">
        <v>0.95200147891017173</v>
      </c>
      <c r="Y237">
        <v>32.212000000000003</v>
      </c>
      <c r="Z237" s="14">
        <v>0.95082354330243823</v>
      </c>
      <c r="AA237">
        <v>54</v>
      </c>
      <c r="AC237">
        <v>235</v>
      </c>
      <c r="AD237">
        <v>115.978433</v>
      </c>
      <c r="AE237" s="14">
        <v>0.95521389729644868</v>
      </c>
      <c r="AF237">
        <v>32.012</v>
      </c>
      <c r="AG237" s="14">
        <v>0.95293662370136623</v>
      </c>
      <c r="AH237">
        <v>54</v>
      </c>
      <c r="AJ237">
        <v>235</v>
      </c>
      <c r="AK237">
        <v>115.610043</v>
      </c>
      <c r="AL237" s="14">
        <v>0.93937998214098029</v>
      </c>
      <c r="AM237">
        <v>31.974</v>
      </c>
      <c r="AN237" s="14">
        <v>0.93529515006142872</v>
      </c>
      <c r="AO237">
        <v>54</v>
      </c>
      <c r="AQ237">
        <v>235</v>
      </c>
      <c r="AR237">
        <v>114.386633</v>
      </c>
      <c r="AS237" s="14">
        <v>0.93882817236496352</v>
      </c>
      <c r="AT237">
        <v>31.673999999999999</v>
      </c>
      <c r="AU237" s="14">
        <v>0.93535717449723887</v>
      </c>
      <c r="AV237">
        <v>54</v>
      </c>
      <c r="AX237">
        <v>235</v>
      </c>
      <c r="AY237">
        <v>116.530923</v>
      </c>
      <c r="AZ237" s="14">
        <v>0.94263460653681064</v>
      </c>
      <c r="BA237">
        <v>32.286999999999999</v>
      </c>
      <c r="BB237" s="14">
        <v>0.94065376995688155</v>
      </c>
      <c r="BC237">
        <v>54</v>
      </c>
    </row>
    <row r="238" spans="15:55" x14ac:dyDescent="0.35">
      <c r="O238">
        <v>236</v>
      </c>
      <c r="P238">
        <v>116.402207</v>
      </c>
      <c r="Q238" s="14">
        <v>0.94882900784600688</v>
      </c>
      <c r="R238">
        <v>32.177</v>
      </c>
      <c r="S238" s="14">
        <v>0.94822302115871993</v>
      </c>
      <c r="T238">
        <v>54</v>
      </c>
      <c r="V238">
        <v>236</v>
      </c>
      <c r="W238">
        <v>116.662537</v>
      </c>
      <c r="X238" s="14">
        <v>0.95179295544776588</v>
      </c>
      <c r="Y238">
        <v>32.204000000000001</v>
      </c>
      <c r="Z238" s="14">
        <v>0.95058740185371038</v>
      </c>
      <c r="AA238">
        <v>54</v>
      </c>
      <c r="AC238">
        <v>236</v>
      </c>
      <c r="AD238">
        <v>115.94841700000001</v>
      </c>
      <c r="AE238" s="14">
        <v>0.95496668150296371</v>
      </c>
      <c r="AF238">
        <v>32.005000000000003</v>
      </c>
      <c r="AG238" s="14">
        <v>0.95272824695621106</v>
      </c>
      <c r="AH238">
        <v>54</v>
      </c>
      <c r="AJ238">
        <v>236</v>
      </c>
      <c r="AK238">
        <v>115.60983899999999</v>
      </c>
      <c r="AL238" s="14">
        <v>0.93937832455560621</v>
      </c>
      <c r="AM238">
        <v>31.969000000000001</v>
      </c>
      <c r="AN238" s="14">
        <v>0.93514889135903589</v>
      </c>
      <c r="AO238">
        <v>54</v>
      </c>
      <c r="AQ238">
        <v>236</v>
      </c>
      <c r="AR238">
        <v>114.34720799999999</v>
      </c>
      <c r="AS238" s="14">
        <v>0.93850459171812783</v>
      </c>
      <c r="AT238">
        <v>31.666</v>
      </c>
      <c r="AU238" s="14">
        <v>0.93512092844697758</v>
      </c>
      <c r="AV238">
        <v>54</v>
      </c>
      <c r="AX238">
        <v>236</v>
      </c>
      <c r="AY238">
        <v>116.52241600000001</v>
      </c>
      <c r="AZ238" s="14">
        <v>0.94256579224793902</v>
      </c>
      <c r="BA238">
        <v>32.283000000000001</v>
      </c>
      <c r="BB238" s="14">
        <v>0.94053723342267814</v>
      </c>
      <c r="BC238">
        <v>54</v>
      </c>
    </row>
    <row r="239" spans="15:55" x14ac:dyDescent="0.35">
      <c r="O239">
        <v>237</v>
      </c>
      <c r="P239">
        <v>116.393202</v>
      </c>
      <c r="Q239" s="14">
        <v>0.94875560541287562</v>
      </c>
      <c r="R239">
        <v>32.173999999999999</v>
      </c>
      <c r="S239" s="14">
        <v>0.9481346142511935</v>
      </c>
      <c r="T239">
        <v>54</v>
      </c>
      <c r="V239">
        <v>237</v>
      </c>
      <c r="W239">
        <v>116.662302</v>
      </c>
      <c r="X239" s="14">
        <v>0.95179103819694755</v>
      </c>
      <c r="Y239">
        <v>32.201999999999998</v>
      </c>
      <c r="Z239" s="14">
        <v>0.95052836649152839</v>
      </c>
      <c r="AA239">
        <v>54</v>
      </c>
      <c r="AC239">
        <v>237</v>
      </c>
      <c r="AD239">
        <v>115.95265999999999</v>
      </c>
      <c r="AE239" s="14">
        <v>0.95500162741886707</v>
      </c>
      <c r="AF239">
        <v>32.002000000000002</v>
      </c>
      <c r="AG239" s="14">
        <v>0.95263894263685889</v>
      </c>
      <c r="AH239">
        <v>54</v>
      </c>
      <c r="AJ239">
        <v>237</v>
      </c>
      <c r="AK239">
        <v>115.55997600000001</v>
      </c>
      <c r="AL239" s="14">
        <v>0.93897316681295673</v>
      </c>
      <c r="AM239">
        <v>31.957000000000001</v>
      </c>
      <c r="AN239" s="14">
        <v>0.93479787047329321</v>
      </c>
      <c r="AO239">
        <v>54</v>
      </c>
      <c r="AQ239">
        <v>237</v>
      </c>
      <c r="AR239">
        <v>114.299876</v>
      </c>
      <c r="AS239" s="14">
        <v>0.93811611437694786</v>
      </c>
      <c r="AT239">
        <v>31.651</v>
      </c>
      <c r="AU239" s="14">
        <v>0.93467796710273754</v>
      </c>
      <c r="AV239">
        <v>54</v>
      </c>
      <c r="AX239">
        <v>237</v>
      </c>
      <c r="AY239">
        <v>116.512805</v>
      </c>
      <c r="AZ239" s="14">
        <v>0.94248804755176563</v>
      </c>
      <c r="BA239">
        <v>32.279000000000003</v>
      </c>
      <c r="BB239" s="14">
        <v>0.94042069688847474</v>
      </c>
      <c r="BC239">
        <v>54</v>
      </c>
    </row>
    <row r="240" spans="15:55" x14ac:dyDescent="0.35">
      <c r="O240">
        <v>238</v>
      </c>
      <c r="P240">
        <v>116.364346</v>
      </c>
      <c r="Q240" s="14">
        <v>0.94852039157495915</v>
      </c>
      <c r="R240">
        <v>32.164999999999999</v>
      </c>
      <c r="S240" s="14">
        <v>0.94786939352861443</v>
      </c>
      <c r="T240">
        <v>54</v>
      </c>
      <c r="V240">
        <v>238</v>
      </c>
      <c r="W240">
        <v>116.657111</v>
      </c>
      <c r="X240" s="14">
        <v>0.95174868735014806</v>
      </c>
      <c r="Y240">
        <v>32.198999999999998</v>
      </c>
      <c r="Z240" s="14">
        <v>0.95043981344825545</v>
      </c>
      <c r="AA240">
        <v>54</v>
      </c>
      <c r="AC240">
        <v>238</v>
      </c>
      <c r="AD240">
        <v>115.94758299999999</v>
      </c>
      <c r="AE240" s="14">
        <v>0.95495981256733709</v>
      </c>
      <c r="AF240">
        <v>32</v>
      </c>
      <c r="AG240" s="14">
        <v>0.95257940642395722</v>
      </c>
      <c r="AH240">
        <v>54</v>
      </c>
      <c r="AJ240">
        <v>238</v>
      </c>
      <c r="AK240">
        <v>115.51123</v>
      </c>
      <c r="AL240" s="14">
        <v>0.93857708516277127</v>
      </c>
      <c r="AM240">
        <v>31.943000000000001</v>
      </c>
      <c r="AN240" s="14">
        <v>0.93438834610659338</v>
      </c>
      <c r="AO240">
        <v>54</v>
      </c>
      <c r="AQ240">
        <v>238</v>
      </c>
      <c r="AR240">
        <v>114.261951</v>
      </c>
      <c r="AS240" s="14">
        <v>0.93780484497856509</v>
      </c>
      <c r="AT240">
        <v>31.641999999999999</v>
      </c>
      <c r="AU240" s="14">
        <v>0.93441219029619349</v>
      </c>
      <c r="AV240">
        <v>54</v>
      </c>
      <c r="AX240">
        <v>238</v>
      </c>
      <c r="AY240">
        <v>116.470051</v>
      </c>
      <c r="AZ240" s="14">
        <v>0.94214220458639353</v>
      </c>
      <c r="BA240">
        <v>32.268000000000001</v>
      </c>
      <c r="BB240" s="14">
        <v>0.94010022141941507</v>
      </c>
      <c r="BC240">
        <v>54</v>
      </c>
    </row>
    <row r="241" spans="15:55" x14ac:dyDescent="0.35">
      <c r="O241">
        <v>239</v>
      </c>
      <c r="P241">
        <v>116.33005799999999</v>
      </c>
      <c r="Q241" s="14">
        <v>0.9482408998895393</v>
      </c>
      <c r="R241">
        <v>32.155999999999999</v>
      </c>
      <c r="S241" s="14">
        <v>0.94760417280603526</v>
      </c>
      <c r="T241">
        <v>54</v>
      </c>
      <c r="V241">
        <v>239</v>
      </c>
      <c r="W241">
        <v>116.612188</v>
      </c>
      <c r="X241" s="14">
        <v>0.95138218242031292</v>
      </c>
      <c r="Y241">
        <v>32.186999999999998</v>
      </c>
      <c r="Z241" s="14">
        <v>0.95008560127516373</v>
      </c>
      <c r="AA241">
        <v>54</v>
      </c>
      <c r="AC241">
        <v>239</v>
      </c>
      <c r="AD241">
        <v>115.90591000000001</v>
      </c>
      <c r="AE241" s="14">
        <v>0.95461658816162343</v>
      </c>
      <c r="AF241">
        <v>31.989000000000001</v>
      </c>
      <c r="AG241" s="14">
        <v>0.95225195725299905</v>
      </c>
      <c r="AH241">
        <v>54</v>
      </c>
      <c r="AJ241">
        <v>239</v>
      </c>
      <c r="AK241">
        <v>115.467624</v>
      </c>
      <c r="AL241" s="14">
        <v>0.93822276816367434</v>
      </c>
      <c r="AM241">
        <v>31.934000000000001</v>
      </c>
      <c r="AN241" s="14">
        <v>0.93412508044228637</v>
      </c>
      <c r="AO241">
        <v>54</v>
      </c>
      <c r="AQ241">
        <v>239</v>
      </c>
      <c r="AR241">
        <v>114.233943</v>
      </c>
      <c r="AS241" s="14">
        <v>0.93757496934745355</v>
      </c>
      <c r="AT241">
        <v>31.632999999999999</v>
      </c>
      <c r="AU241" s="14">
        <v>0.93414641348964944</v>
      </c>
      <c r="AV241">
        <v>54</v>
      </c>
      <c r="AX241">
        <v>239</v>
      </c>
      <c r="AY241">
        <v>116.431026</v>
      </c>
      <c r="AZ241" s="14">
        <v>0.94182652601307526</v>
      </c>
      <c r="BA241">
        <v>32.256999999999998</v>
      </c>
      <c r="BB241" s="14">
        <v>0.93977974595035541</v>
      </c>
      <c r="BC241">
        <v>54</v>
      </c>
    </row>
    <row r="242" spans="15:55" x14ac:dyDescent="0.35">
      <c r="O242">
        <v>240</v>
      </c>
      <c r="P242">
        <v>116.297265</v>
      </c>
      <c r="Q242" s="14">
        <v>0.94797359439373974</v>
      </c>
      <c r="R242">
        <v>32.146000000000001</v>
      </c>
      <c r="S242" s="14">
        <v>0.94730948311428076</v>
      </c>
      <c r="T242">
        <v>54</v>
      </c>
      <c r="V242">
        <v>240</v>
      </c>
      <c r="W242">
        <v>116.573083</v>
      </c>
      <c r="X242" s="14">
        <v>0.95106314372563072</v>
      </c>
      <c r="Y242">
        <v>32.177</v>
      </c>
      <c r="Z242" s="14">
        <v>0.9497904244642541</v>
      </c>
      <c r="AA242">
        <v>54</v>
      </c>
      <c r="AC242">
        <v>240</v>
      </c>
      <c r="AD242">
        <v>115.862202</v>
      </c>
      <c r="AE242" s="14">
        <v>0.95425660322353545</v>
      </c>
      <c r="AF242">
        <v>31.978000000000002</v>
      </c>
      <c r="AG242" s="14">
        <v>0.95192450808204088</v>
      </c>
      <c r="AH242">
        <v>54</v>
      </c>
      <c r="AJ242">
        <v>240</v>
      </c>
      <c r="AK242">
        <v>115.43920900000001</v>
      </c>
      <c r="AL242" s="14">
        <v>0.93799188439700598</v>
      </c>
      <c r="AM242">
        <v>31.925000000000001</v>
      </c>
      <c r="AN242" s="14">
        <v>0.93386181477797936</v>
      </c>
      <c r="AO242">
        <v>54</v>
      </c>
      <c r="AQ242">
        <v>240</v>
      </c>
      <c r="AR242">
        <v>114.22545599999999</v>
      </c>
      <c r="AS242" s="14">
        <v>0.93750531230370726</v>
      </c>
      <c r="AT242">
        <v>31.63</v>
      </c>
      <c r="AU242" s="14">
        <v>0.9340578212208015</v>
      </c>
      <c r="AV242">
        <v>54</v>
      </c>
      <c r="AX242">
        <v>240</v>
      </c>
      <c r="AY242">
        <v>116.402163</v>
      </c>
      <c r="AZ242" s="14">
        <v>0.94159304925044407</v>
      </c>
      <c r="BA242">
        <v>32.249000000000002</v>
      </c>
      <c r="BB242" s="14">
        <v>0.9395466728819486</v>
      </c>
      <c r="BC242">
        <v>54</v>
      </c>
    </row>
    <row r="243" spans="15:55" x14ac:dyDescent="0.35">
      <c r="O243">
        <v>241</v>
      </c>
      <c r="P243">
        <v>116.270914</v>
      </c>
      <c r="Q243" s="14">
        <v>0.94775879955582276</v>
      </c>
      <c r="R243">
        <v>32.139000000000003</v>
      </c>
      <c r="S243" s="14">
        <v>0.94710320033005257</v>
      </c>
      <c r="T243">
        <v>54</v>
      </c>
      <c r="V243">
        <v>241</v>
      </c>
      <c r="W243">
        <v>116.545688</v>
      </c>
      <c r="X243" s="14">
        <v>0.9508396412312996</v>
      </c>
      <c r="Y243">
        <v>32.168999999999997</v>
      </c>
      <c r="Z243" s="14">
        <v>0.94955428301552625</v>
      </c>
      <c r="AA243">
        <v>54</v>
      </c>
      <c r="AC243">
        <v>241</v>
      </c>
      <c r="AD243">
        <v>115.829623</v>
      </c>
      <c r="AE243" s="14">
        <v>0.95398827821900622</v>
      </c>
      <c r="AF243">
        <v>31.969000000000001</v>
      </c>
      <c r="AG243" s="14">
        <v>0.95165659512398415</v>
      </c>
      <c r="AH243">
        <v>54</v>
      </c>
      <c r="AJ243">
        <v>241</v>
      </c>
      <c r="AK243">
        <v>115.425724</v>
      </c>
      <c r="AL243" s="14">
        <v>0.93788231312853776</v>
      </c>
      <c r="AM243">
        <v>31.92</v>
      </c>
      <c r="AN243" s="14">
        <v>0.93371555607558654</v>
      </c>
      <c r="AO243">
        <v>54</v>
      </c>
      <c r="AQ243">
        <v>241</v>
      </c>
      <c r="AR243">
        <v>114.193245</v>
      </c>
      <c r="AS243" s="14">
        <v>0.93724094055443097</v>
      </c>
      <c r="AT243">
        <v>31.619</v>
      </c>
      <c r="AU243" s="14">
        <v>0.93373298290169215</v>
      </c>
      <c r="AV243">
        <v>54</v>
      </c>
      <c r="AX243">
        <v>241</v>
      </c>
      <c r="AY243">
        <v>116.383551</v>
      </c>
      <c r="AZ243" s="14">
        <v>0.94144249423169701</v>
      </c>
      <c r="BA243">
        <v>32.243000000000002</v>
      </c>
      <c r="BB243" s="14">
        <v>0.93937186808064344</v>
      </c>
      <c r="BC243">
        <v>54</v>
      </c>
    </row>
    <row r="244" spans="15:55" x14ac:dyDescent="0.35">
      <c r="O244">
        <v>242</v>
      </c>
      <c r="P244">
        <v>116.25884600000001</v>
      </c>
      <c r="Q244" s="14">
        <v>0.9476604296987402</v>
      </c>
      <c r="R244">
        <v>32.134999999999998</v>
      </c>
      <c r="S244" s="14">
        <v>0.9469853244533506</v>
      </c>
      <c r="T244">
        <v>54</v>
      </c>
      <c r="V244">
        <v>242</v>
      </c>
      <c r="W244">
        <v>116.524078</v>
      </c>
      <c r="X244" s="14">
        <v>0.95066333574115569</v>
      </c>
      <c r="Y244">
        <v>32.162999999999997</v>
      </c>
      <c r="Z244" s="14">
        <v>0.94937717692898038</v>
      </c>
      <c r="AA244">
        <v>54</v>
      </c>
      <c r="AC244">
        <v>242</v>
      </c>
      <c r="AD244">
        <v>115.817438</v>
      </c>
      <c r="AE244" s="14">
        <v>0.95388792092810748</v>
      </c>
      <c r="AF244">
        <v>31.965</v>
      </c>
      <c r="AG244" s="14">
        <v>0.95153752269818104</v>
      </c>
      <c r="AH244">
        <v>54</v>
      </c>
      <c r="AJ244">
        <v>242</v>
      </c>
      <c r="AK244">
        <v>115.398445</v>
      </c>
      <c r="AL244" s="14">
        <v>0.93766065983728486</v>
      </c>
      <c r="AM244">
        <v>31.911999999999999</v>
      </c>
      <c r="AN244" s="14">
        <v>0.93348154215175805</v>
      </c>
      <c r="AO244">
        <v>54</v>
      </c>
      <c r="AQ244">
        <v>242</v>
      </c>
      <c r="AR244">
        <v>114.155754</v>
      </c>
      <c r="AS244" s="14">
        <v>0.93693323321060051</v>
      </c>
      <c r="AT244">
        <v>31.609000000000002</v>
      </c>
      <c r="AU244" s="14">
        <v>0.93343767533886546</v>
      </c>
      <c r="AV244">
        <v>54</v>
      </c>
      <c r="AX244">
        <v>242</v>
      </c>
      <c r="AY244">
        <v>116.36232</v>
      </c>
      <c r="AZ244" s="14">
        <v>0.94127075376302005</v>
      </c>
      <c r="BA244">
        <v>32.235999999999997</v>
      </c>
      <c r="BB244" s="14">
        <v>0.93916792914578717</v>
      </c>
      <c r="BC244">
        <v>54</v>
      </c>
    </row>
    <row r="245" spans="15:55" x14ac:dyDescent="0.35">
      <c r="O245">
        <v>243</v>
      </c>
      <c r="P245">
        <v>116.217028</v>
      </c>
      <c r="Q245" s="14">
        <v>0.94731955874386131</v>
      </c>
      <c r="R245">
        <v>32.124000000000002</v>
      </c>
      <c r="S245" s="14">
        <v>0.94666116579242077</v>
      </c>
      <c r="T245">
        <v>54</v>
      </c>
      <c r="V245">
        <v>243</v>
      </c>
      <c r="W245">
        <v>116.509288</v>
      </c>
      <c r="X245" s="14">
        <v>0.9505426713173134</v>
      </c>
      <c r="Y245">
        <v>32.158000000000001</v>
      </c>
      <c r="Z245" s="14">
        <v>0.94922958852352568</v>
      </c>
      <c r="AA245">
        <v>54</v>
      </c>
      <c r="AC245">
        <v>243</v>
      </c>
      <c r="AD245">
        <v>115.800822</v>
      </c>
      <c r="AE245" s="14">
        <v>0.95375106932814258</v>
      </c>
      <c r="AF245">
        <v>31.96</v>
      </c>
      <c r="AG245" s="14">
        <v>0.95138868216592731</v>
      </c>
      <c r="AH245">
        <v>54</v>
      </c>
      <c r="AJ245">
        <v>243</v>
      </c>
      <c r="AK245">
        <v>115.358305</v>
      </c>
      <c r="AL245" s="14">
        <v>0.93733450553870779</v>
      </c>
      <c r="AM245">
        <v>31.9</v>
      </c>
      <c r="AN245" s="14">
        <v>0.93313052126601526</v>
      </c>
      <c r="AO245">
        <v>54</v>
      </c>
      <c r="AQ245">
        <v>243</v>
      </c>
      <c r="AR245">
        <v>114.11768600000001</v>
      </c>
      <c r="AS245" s="14">
        <v>0.93662079013986532</v>
      </c>
      <c r="AT245">
        <v>31.599</v>
      </c>
      <c r="AU245" s="14">
        <v>0.93314236777603876</v>
      </c>
      <c r="AV245">
        <v>54</v>
      </c>
      <c r="AX245">
        <v>243</v>
      </c>
      <c r="AY245">
        <v>116.330659</v>
      </c>
      <c r="AZ245" s="14">
        <v>0.94101464359492704</v>
      </c>
      <c r="BA245">
        <v>32.226999999999997</v>
      </c>
      <c r="BB245" s="14">
        <v>0.93890572194382937</v>
      </c>
      <c r="BC245">
        <v>54</v>
      </c>
    </row>
    <row r="246" spans="15:55" x14ac:dyDescent="0.35">
      <c r="O246">
        <v>244</v>
      </c>
      <c r="P246">
        <v>116.152569</v>
      </c>
      <c r="Q246" s="14">
        <v>0.94679413426443759</v>
      </c>
      <c r="R246">
        <v>32.106999999999999</v>
      </c>
      <c r="S246" s="14">
        <v>0.94616019331643786</v>
      </c>
      <c r="T246">
        <v>54</v>
      </c>
      <c r="V246">
        <v>244</v>
      </c>
      <c r="W246">
        <v>116.479816</v>
      </c>
      <c r="X246" s="14">
        <v>0.95030222358915406</v>
      </c>
      <c r="Y246">
        <v>32.149000000000001</v>
      </c>
      <c r="Z246" s="14">
        <v>0.94896392939370688</v>
      </c>
      <c r="AA246">
        <v>54</v>
      </c>
      <c r="AC246">
        <v>244</v>
      </c>
      <c r="AD246">
        <v>115.771108</v>
      </c>
      <c r="AE246" s="14">
        <v>0.95350634084707864</v>
      </c>
      <c r="AF246">
        <v>31.951000000000001</v>
      </c>
      <c r="AG246" s="14">
        <v>0.95112076920787059</v>
      </c>
      <c r="AH246">
        <v>54</v>
      </c>
      <c r="AJ246">
        <v>244</v>
      </c>
      <c r="AK246">
        <v>115.324612</v>
      </c>
      <c r="AL246" s="14">
        <v>0.93706073581319815</v>
      </c>
      <c r="AM246">
        <v>31.891999999999999</v>
      </c>
      <c r="AN246" s="14">
        <v>0.93289650734218688</v>
      </c>
      <c r="AO246">
        <v>54</v>
      </c>
      <c r="AQ246">
        <v>244</v>
      </c>
      <c r="AR246">
        <v>114.095552</v>
      </c>
      <c r="AS246" s="14">
        <v>0.93643912535769502</v>
      </c>
      <c r="AT246">
        <v>31.591999999999999</v>
      </c>
      <c r="AU246" s="14">
        <v>0.93293565248206001</v>
      </c>
      <c r="AV246">
        <v>54</v>
      </c>
      <c r="AX246">
        <v>244</v>
      </c>
      <c r="AY246">
        <v>116.287105</v>
      </c>
      <c r="AZ246" s="14">
        <v>0.94066232931991611</v>
      </c>
      <c r="BA246">
        <v>32.216000000000001</v>
      </c>
      <c r="BB246" s="14">
        <v>0.93858524647476993</v>
      </c>
      <c r="BC246">
        <v>54</v>
      </c>
    </row>
    <row r="247" spans="15:55" x14ac:dyDescent="0.35">
      <c r="O247">
        <v>245</v>
      </c>
      <c r="P247">
        <v>116.096475</v>
      </c>
      <c r="Q247" s="14">
        <v>0.94633689538780597</v>
      </c>
      <c r="R247">
        <v>32.094000000000001</v>
      </c>
      <c r="S247" s="14">
        <v>0.94577709671715693</v>
      </c>
      <c r="T247">
        <v>54</v>
      </c>
      <c r="V247">
        <v>245</v>
      </c>
      <c r="W247">
        <v>116.43795299999999</v>
      </c>
      <c r="X247" s="14">
        <v>0.94996068371252762</v>
      </c>
      <c r="Y247">
        <v>32.139000000000003</v>
      </c>
      <c r="Z247" s="14">
        <v>0.94866875258279715</v>
      </c>
      <c r="AA247">
        <v>54</v>
      </c>
      <c r="AC247">
        <v>245</v>
      </c>
      <c r="AD247">
        <v>115.73759</v>
      </c>
      <c r="AE247" s="14">
        <v>0.95323028211286909</v>
      </c>
      <c r="AF247">
        <v>31.942</v>
      </c>
      <c r="AG247" s="14">
        <v>0.95085285624981386</v>
      </c>
      <c r="AH247">
        <v>54</v>
      </c>
      <c r="AJ247">
        <v>245</v>
      </c>
      <c r="AK247">
        <v>115.29242499999999</v>
      </c>
      <c r="AL247" s="14">
        <v>0.93679920296794883</v>
      </c>
      <c r="AM247">
        <v>31.882000000000001</v>
      </c>
      <c r="AN247" s="14">
        <v>0.93260398993740135</v>
      </c>
      <c r="AO247">
        <v>54</v>
      </c>
      <c r="AQ247">
        <v>245</v>
      </c>
      <c r="AR247">
        <v>114.079043</v>
      </c>
      <c r="AS247" s="14">
        <v>0.93630362775722309</v>
      </c>
      <c r="AT247">
        <v>31.585000000000001</v>
      </c>
      <c r="AU247" s="14">
        <v>0.93272893718808148</v>
      </c>
      <c r="AV247">
        <v>54</v>
      </c>
      <c r="AX247">
        <v>245</v>
      </c>
      <c r="AY247">
        <v>116.24448700000001</v>
      </c>
      <c r="AZ247" s="14">
        <v>0.94031758647718255</v>
      </c>
      <c r="BA247">
        <v>32.204000000000001</v>
      </c>
      <c r="BB247" s="14">
        <v>0.9382356368721595</v>
      </c>
      <c r="BC247">
        <v>54</v>
      </c>
    </row>
    <row r="248" spans="15:55" x14ac:dyDescent="0.35">
      <c r="O248">
        <v>246</v>
      </c>
      <c r="P248">
        <v>116.061933</v>
      </c>
      <c r="Q248" s="14">
        <v>0.9460553332728453</v>
      </c>
      <c r="R248">
        <v>32.084000000000003</v>
      </c>
      <c r="S248" s="14">
        <v>0.94548240702540243</v>
      </c>
      <c r="T248">
        <v>54</v>
      </c>
      <c r="V248">
        <v>246</v>
      </c>
      <c r="W248">
        <v>116.40748600000001</v>
      </c>
      <c r="X248" s="14">
        <v>0.94971211826281843</v>
      </c>
      <c r="Y248">
        <v>32.130000000000003</v>
      </c>
      <c r="Z248" s="14">
        <v>0.94840309345297835</v>
      </c>
      <c r="AA248">
        <v>54</v>
      </c>
      <c r="AC248">
        <v>246</v>
      </c>
      <c r="AD248">
        <v>115.69802799999999</v>
      </c>
      <c r="AE248" s="14">
        <v>0.95290444418570164</v>
      </c>
      <c r="AF248">
        <v>31.931000000000001</v>
      </c>
      <c r="AG248" s="14">
        <v>0.95052540707885569</v>
      </c>
      <c r="AH248">
        <v>54</v>
      </c>
      <c r="AJ248">
        <v>246</v>
      </c>
      <c r="AK248">
        <v>115.281892</v>
      </c>
      <c r="AL248" s="14">
        <v>0.93671361793489172</v>
      </c>
      <c r="AM248">
        <v>31.878</v>
      </c>
      <c r="AN248" s="14">
        <v>0.93248698297548704</v>
      </c>
      <c r="AO248">
        <v>54</v>
      </c>
      <c r="AQ248">
        <v>246</v>
      </c>
      <c r="AR248">
        <v>114.048134</v>
      </c>
      <c r="AS248" s="14">
        <v>0.93604994217160375</v>
      </c>
      <c r="AT248">
        <v>31.577000000000002</v>
      </c>
      <c r="AU248" s="14">
        <v>0.93249269113782007</v>
      </c>
      <c r="AV248">
        <v>54</v>
      </c>
      <c r="AX248">
        <v>246</v>
      </c>
      <c r="AY248">
        <v>116.223296</v>
      </c>
      <c r="AZ248" s="14">
        <v>0.94014616957398756</v>
      </c>
      <c r="BA248">
        <v>32.198999999999998</v>
      </c>
      <c r="BB248" s="14">
        <v>0.9380899662044051</v>
      </c>
      <c r="BC248">
        <v>54</v>
      </c>
    </row>
    <row r="249" spans="15:55" x14ac:dyDescent="0.35">
      <c r="O249">
        <v>247</v>
      </c>
      <c r="P249">
        <v>116.072417</v>
      </c>
      <c r="Q249" s="14">
        <v>0.94614079147483843</v>
      </c>
      <c r="R249">
        <v>32.085999999999999</v>
      </c>
      <c r="S249" s="14">
        <v>0.94554134496375319</v>
      </c>
      <c r="T249">
        <v>54</v>
      </c>
      <c r="V249">
        <v>247</v>
      </c>
      <c r="W249">
        <v>116.392661</v>
      </c>
      <c r="X249" s="14">
        <v>0.949591168290982</v>
      </c>
      <c r="Y249">
        <v>32.125</v>
      </c>
      <c r="Z249" s="14">
        <v>0.94825550504752343</v>
      </c>
      <c r="AA249">
        <v>54</v>
      </c>
      <c r="AC249">
        <v>247</v>
      </c>
      <c r="AD249">
        <v>115.678822</v>
      </c>
      <c r="AE249" s="14">
        <v>0.95274626099907878</v>
      </c>
      <c r="AF249">
        <v>31.925999999999998</v>
      </c>
      <c r="AG249" s="14">
        <v>0.95037656654660185</v>
      </c>
      <c r="AH249">
        <v>54</v>
      </c>
      <c r="AJ249">
        <v>247</v>
      </c>
      <c r="AK249">
        <v>115.24848900000001</v>
      </c>
      <c r="AL249" s="14">
        <v>0.93644220458074701</v>
      </c>
      <c r="AM249">
        <v>31.867999999999999</v>
      </c>
      <c r="AN249" s="14">
        <v>0.9321944655707014</v>
      </c>
      <c r="AO249">
        <v>54</v>
      </c>
      <c r="AQ249">
        <v>247</v>
      </c>
      <c r="AR249">
        <v>114.00596</v>
      </c>
      <c r="AS249" s="14">
        <v>0.93570379911010348</v>
      </c>
      <c r="AT249">
        <v>31.565000000000001</v>
      </c>
      <c r="AU249" s="14">
        <v>0.93213832206242808</v>
      </c>
      <c r="AV249">
        <v>54</v>
      </c>
      <c r="AX249">
        <v>247</v>
      </c>
      <c r="AY249">
        <v>116.196433</v>
      </c>
      <c r="AZ249" s="14">
        <v>0.9399288710854532</v>
      </c>
      <c r="BA249">
        <v>32.19</v>
      </c>
      <c r="BB249" s="14">
        <v>0.9378277590024473</v>
      </c>
      <c r="BC249">
        <v>54</v>
      </c>
    </row>
    <row r="250" spans="15:55" x14ac:dyDescent="0.35">
      <c r="O250">
        <v>248</v>
      </c>
      <c r="P250">
        <v>116.064575</v>
      </c>
      <c r="Q250" s="14">
        <v>0.94607686900058907</v>
      </c>
      <c r="R250">
        <v>32.081000000000003</v>
      </c>
      <c r="S250" s="14">
        <v>0.945394000117876</v>
      </c>
      <c r="T250">
        <v>54</v>
      </c>
      <c r="V250">
        <v>248</v>
      </c>
      <c r="W250">
        <v>116.352577</v>
      </c>
      <c r="X250" s="14">
        <v>0.9492641424109759</v>
      </c>
      <c r="Y250">
        <v>32.113</v>
      </c>
      <c r="Z250" s="14">
        <v>0.94790129287443181</v>
      </c>
      <c r="AA250">
        <v>54</v>
      </c>
      <c r="AC250">
        <v>248</v>
      </c>
      <c r="AD250">
        <v>115.66603499999999</v>
      </c>
      <c r="AE250" s="14">
        <v>0.95264094555560552</v>
      </c>
      <c r="AF250">
        <v>31.92</v>
      </c>
      <c r="AG250" s="14">
        <v>0.95019795790789741</v>
      </c>
      <c r="AH250">
        <v>54</v>
      </c>
      <c r="AJ250">
        <v>248</v>
      </c>
      <c r="AK250">
        <v>115.207307</v>
      </c>
      <c r="AL250" s="14">
        <v>0.93610758359609314</v>
      </c>
      <c r="AM250">
        <v>31.858000000000001</v>
      </c>
      <c r="AN250" s="14">
        <v>0.93190194816591587</v>
      </c>
      <c r="AO250">
        <v>54</v>
      </c>
      <c r="AQ250">
        <v>248</v>
      </c>
      <c r="AR250">
        <v>113.96175599999999</v>
      </c>
      <c r="AS250" s="14">
        <v>0.9353409948256971</v>
      </c>
      <c r="AT250">
        <v>31.553000000000001</v>
      </c>
      <c r="AU250" s="14">
        <v>0.93178395298703598</v>
      </c>
      <c r="AV250">
        <v>54</v>
      </c>
      <c r="AX250">
        <v>248</v>
      </c>
      <c r="AY250">
        <v>116.146343</v>
      </c>
      <c r="AZ250" s="14">
        <v>0.93952368621069327</v>
      </c>
      <c r="BA250">
        <v>32.177999999999997</v>
      </c>
      <c r="BB250" s="14">
        <v>0.93747814939983687</v>
      </c>
      <c r="BC250">
        <v>54</v>
      </c>
    </row>
    <row r="251" spans="15:55" x14ac:dyDescent="0.35">
      <c r="O251">
        <v>249</v>
      </c>
      <c r="P251">
        <v>116.02404300000001</v>
      </c>
      <c r="Q251" s="14">
        <v>0.94574648061417288</v>
      </c>
      <c r="R251">
        <v>32.070999999999998</v>
      </c>
      <c r="S251" s="14">
        <v>0.94509931042612128</v>
      </c>
      <c r="T251">
        <v>54</v>
      </c>
      <c r="V251">
        <v>249</v>
      </c>
      <c r="W251">
        <v>116.30277599999999</v>
      </c>
      <c r="X251" s="14">
        <v>0.9488578402492609</v>
      </c>
      <c r="Y251">
        <v>32.100999999999999</v>
      </c>
      <c r="Z251" s="14">
        <v>0.94754708070134008</v>
      </c>
      <c r="AA251">
        <v>54</v>
      </c>
      <c r="AC251">
        <v>249</v>
      </c>
      <c r="AD251">
        <v>115.623242</v>
      </c>
      <c r="AE251" s="14">
        <v>0.95228849667998572</v>
      </c>
      <c r="AF251">
        <v>31.91</v>
      </c>
      <c r="AG251" s="14">
        <v>0.94990027684338985</v>
      </c>
      <c r="AH251">
        <v>54</v>
      </c>
      <c r="AJ251">
        <v>249</v>
      </c>
      <c r="AK251">
        <v>115.149607</v>
      </c>
      <c r="AL251" s="14">
        <v>0.93563874694866167</v>
      </c>
      <c r="AM251">
        <v>31.843</v>
      </c>
      <c r="AN251" s="14">
        <v>0.93146317205873752</v>
      </c>
      <c r="AO251">
        <v>54</v>
      </c>
      <c r="AQ251">
        <v>249</v>
      </c>
      <c r="AR251">
        <v>113.925562</v>
      </c>
      <c r="AS251" s="14">
        <v>0.93504393260802898</v>
      </c>
      <c r="AT251">
        <v>31.544</v>
      </c>
      <c r="AU251" s="14">
        <v>0.93151817618049204</v>
      </c>
      <c r="AV251">
        <v>54</v>
      </c>
      <c r="AX251">
        <v>249</v>
      </c>
      <c r="AY251">
        <v>116.081481</v>
      </c>
      <c r="AZ251" s="14">
        <v>0.93899900860345242</v>
      </c>
      <c r="BA251">
        <v>32.161999999999999</v>
      </c>
      <c r="BB251" s="14">
        <v>0.93701200326302303</v>
      </c>
      <c r="BC251">
        <v>54</v>
      </c>
    </row>
    <row r="252" spans="15:55" x14ac:dyDescent="0.35">
      <c r="O252">
        <v>250</v>
      </c>
      <c r="P252">
        <v>116.01387</v>
      </c>
      <c r="Q252" s="14">
        <v>0.94566355746567266</v>
      </c>
      <c r="R252">
        <v>32.067</v>
      </c>
      <c r="S252" s="14">
        <v>0.94498143454941952</v>
      </c>
      <c r="T252">
        <v>54</v>
      </c>
      <c r="V252">
        <v>250</v>
      </c>
      <c r="W252">
        <v>116.24425100000001</v>
      </c>
      <c r="X252" s="14">
        <v>0.94838036321035879</v>
      </c>
      <c r="Y252">
        <v>32.085999999999999</v>
      </c>
      <c r="Z252" s="14">
        <v>0.94710431548497542</v>
      </c>
      <c r="AA252">
        <v>54</v>
      </c>
      <c r="AC252">
        <v>250</v>
      </c>
      <c r="AD252">
        <v>115.554205</v>
      </c>
      <c r="AE252" s="14">
        <v>0.95171989870774321</v>
      </c>
      <c r="AF252">
        <v>31.893999999999998</v>
      </c>
      <c r="AG252" s="14">
        <v>0.94942398714017784</v>
      </c>
      <c r="AH252">
        <v>54</v>
      </c>
      <c r="AJ252">
        <v>250</v>
      </c>
      <c r="AK252">
        <v>115.101698</v>
      </c>
      <c r="AL252" s="14">
        <v>0.93524946627376049</v>
      </c>
      <c r="AM252">
        <v>31.831</v>
      </c>
      <c r="AN252" s="14">
        <v>0.93111215117299473</v>
      </c>
      <c r="AO252">
        <v>54</v>
      </c>
      <c r="AQ252">
        <v>250</v>
      </c>
      <c r="AR252">
        <v>113.907597</v>
      </c>
      <c r="AS252" s="14">
        <v>0.93489648488905863</v>
      </c>
      <c r="AT252">
        <v>31.539000000000001</v>
      </c>
      <c r="AU252" s="14">
        <v>0.93137052239907869</v>
      </c>
      <c r="AV252">
        <v>54</v>
      </c>
      <c r="AX252">
        <v>250</v>
      </c>
      <c r="AY252">
        <v>116.02331700000001</v>
      </c>
      <c r="AZ252" s="14">
        <v>0.93852851203616283</v>
      </c>
      <c r="BA252">
        <v>32.146999999999998</v>
      </c>
      <c r="BB252" s="14">
        <v>0.93657499125975996</v>
      </c>
      <c r="BC252">
        <v>54</v>
      </c>
    </row>
    <row r="253" spans="15:55" x14ac:dyDescent="0.35">
      <c r="O253">
        <v>251</v>
      </c>
      <c r="P253">
        <v>115.983542</v>
      </c>
      <c r="Q253" s="14">
        <v>0.94541634491797621</v>
      </c>
      <c r="R253">
        <v>32.058999999999997</v>
      </c>
      <c r="S253" s="14">
        <v>0.94474568279601578</v>
      </c>
      <c r="T253">
        <v>54</v>
      </c>
      <c r="V253">
        <v>251</v>
      </c>
      <c r="W253">
        <v>116.19461200000001</v>
      </c>
      <c r="X253" s="14">
        <v>0.94797538272793125</v>
      </c>
      <c r="Y253">
        <v>32.073999999999998</v>
      </c>
      <c r="Z253" s="14">
        <v>0.94675010331188381</v>
      </c>
      <c r="AA253">
        <v>54</v>
      </c>
      <c r="AC253">
        <v>251</v>
      </c>
      <c r="AD253">
        <v>115.50077</v>
      </c>
      <c r="AE253" s="14">
        <v>0.95127980089574715</v>
      </c>
      <c r="AF253">
        <v>31.88</v>
      </c>
      <c r="AG253" s="14">
        <v>0.94900723364986739</v>
      </c>
      <c r="AH253">
        <v>54</v>
      </c>
      <c r="AJ253">
        <v>251</v>
      </c>
      <c r="AK253">
        <v>115.08002999999999</v>
      </c>
      <c r="AL253" s="14">
        <v>0.93507340470570932</v>
      </c>
      <c r="AM253">
        <v>31.823</v>
      </c>
      <c r="AN253" s="14">
        <v>0.93087813724916635</v>
      </c>
      <c r="AO253">
        <v>54</v>
      </c>
      <c r="AQ253">
        <v>251</v>
      </c>
      <c r="AR253">
        <v>113.868697</v>
      </c>
      <c r="AS253" s="14">
        <v>0.93457721317918152</v>
      </c>
      <c r="AT253">
        <v>31.527000000000001</v>
      </c>
      <c r="AU253" s="14">
        <v>0.9310161533236867</v>
      </c>
      <c r="AV253">
        <v>54</v>
      </c>
      <c r="AX253">
        <v>251</v>
      </c>
      <c r="AY253">
        <v>116.020489</v>
      </c>
      <c r="AZ253" s="14">
        <v>0.93850563595658953</v>
      </c>
      <c r="BA253">
        <v>32.145000000000003</v>
      </c>
      <c r="BB253" s="14">
        <v>0.93651672299265831</v>
      </c>
      <c r="BC253">
        <v>54</v>
      </c>
    </row>
    <row r="254" spans="15:55" x14ac:dyDescent="0.35">
      <c r="O254">
        <v>252</v>
      </c>
      <c r="P254">
        <v>115.983711</v>
      </c>
      <c r="Q254" s="14">
        <v>0.94541772248723766</v>
      </c>
      <c r="R254">
        <v>32.055999999999997</v>
      </c>
      <c r="S254" s="14">
        <v>0.94465727588848947</v>
      </c>
      <c r="T254">
        <v>54</v>
      </c>
      <c r="V254">
        <v>252</v>
      </c>
      <c r="W254">
        <v>116.18613000000001</v>
      </c>
      <c r="X254" s="14">
        <v>0.94790618221116119</v>
      </c>
      <c r="Y254">
        <v>32.070999999999998</v>
      </c>
      <c r="Z254" s="14">
        <v>0.94666155026861087</v>
      </c>
      <c r="AA254">
        <v>54</v>
      </c>
      <c r="AC254">
        <v>252</v>
      </c>
      <c r="AD254">
        <v>115.487797</v>
      </c>
      <c r="AE254" s="14">
        <v>0.95117295353137876</v>
      </c>
      <c r="AF254">
        <v>31.876000000000001</v>
      </c>
      <c r="AG254" s="14">
        <v>0.9488881612240645</v>
      </c>
      <c r="AH254">
        <v>54</v>
      </c>
      <c r="AJ254">
        <v>252</v>
      </c>
      <c r="AK254">
        <v>115.04907300000001</v>
      </c>
      <c r="AL254" s="14">
        <v>0.9348218661252149</v>
      </c>
      <c r="AM254">
        <v>31.815000000000001</v>
      </c>
      <c r="AN254" s="14">
        <v>0.93064412332533786</v>
      </c>
      <c r="AO254">
        <v>54</v>
      </c>
      <c r="AQ254">
        <v>252</v>
      </c>
      <c r="AR254">
        <v>113.81165300000001</v>
      </c>
      <c r="AS254" s="14">
        <v>0.93410902460801892</v>
      </c>
      <c r="AT254">
        <v>31.512</v>
      </c>
      <c r="AU254" s="14">
        <v>0.93057319197944666</v>
      </c>
      <c r="AV254">
        <v>54</v>
      </c>
      <c r="AX254">
        <v>252</v>
      </c>
      <c r="AY254">
        <v>116.021507</v>
      </c>
      <c r="AZ254" s="14">
        <v>0.93851387069810488</v>
      </c>
      <c r="BA254">
        <v>32.143000000000001</v>
      </c>
      <c r="BB254" s="14">
        <v>0.93645845472555655</v>
      </c>
      <c r="BC254">
        <v>54</v>
      </c>
    </row>
    <row r="255" spans="15:55" x14ac:dyDescent="0.35">
      <c r="O255">
        <v>253</v>
      </c>
      <c r="P255">
        <v>115.97577699999999</v>
      </c>
      <c r="Q255" s="14">
        <v>0.94535305009362702</v>
      </c>
      <c r="R255">
        <v>32.052999999999997</v>
      </c>
      <c r="S255" s="14">
        <v>0.94456886898096304</v>
      </c>
      <c r="T255">
        <v>54</v>
      </c>
      <c r="V255">
        <v>253</v>
      </c>
      <c r="W255">
        <v>116.19239899999999</v>
      </c>
      <c r="X255" s="14">
        <v>0.94795732793618248</v>
      </c>
      <c r="Y255">
        <v>32.07</v>
      </c>
      <c r="Z255" s="14">
        <v>0.94663203258751993</v>
      </c>
      <c r="AA255">
        <v>54</v>
      </c>
      <c r="AC255">
        <v>253</v>
      </c>
      <c r="AD255">
        <v>115.496821</v>
      </c>
      <c r="AE255" s="14">
        <v>0.95124727640319406</v>
      </c>
      <c r="AF255">
        <v>31.876000000000001</v>
      </c>
      <c r="AG255" s="14">
        <v>0.9488881612240645</v>
      </c>
      <c r="AH255">
        <v>54</v>
      </c>
      <c r="AJ255">
        <v>253</v>
      </c>
      <c r="AK255">
        <v>114.993594</v>
      </c>
      <c r="AL255" s="14">
        <v>0.9343710760322711</v>
      </c>
      <c r="AM255">
        <v>31.8</v>
      </c>
      <c r="AN255" s="14">
        <v>0.93020534721815951</v>
      </c>
      <c r="AO255">
        <v>54</v>
      </c>
      <c r="AQ255">
        <v>253</v>
      </c>
      <c r="AR255">
        <v>113.754869</v>
      </c>
      <c r="AS255" s="14">
        <v>0.93364296998658791</v>
      </c>
      <c r="AT255">
        <v>31.498000000000001</v>
      </c>
      <c r="AU255" s="14">
        <v>0.93015976139148926</v>
      </c>
      <c r="AV255">
        <v>54</v>
      </c>
      <c r="AX255">
        <v>253</v>
      </c>
      <c r="AY255">
        <v>116.002488</v>
      </c>
      <c r="AZ255" s="14">
        <v>0.93836002340057922</v>
      </c>
      <c r="BA255">
        <v>32.136000000000003</v>
      </c>
      <c r="BB255" s="14">
        <v>0.93625451579070051</v>
      </c>
      <c r="BC255">
        <v>54</v>
      </c>
    </row>
    <row r="256" spans="15:55" x14ac:dyDescent="0.35">
      <c r="O256">
        <v>254</v>
      </c>
      <c r="P256">
        <v>115.914531</v>
      </c>
      <c r="Q256" s="14">
        <v>0.94485381573276528</v>
      </c>
      <c r="R256">
        <v>32.037999999999997</v>
      </c>
      <c r="S256" s="14">
        <v>0.94412683444333112</v>
      </c>
      <c r="T256">
        <v>54</v>
      </c>
      <c r="V256">
        <v>254</v>
      </c>
      <c r="W256">
        <v>116.173292</v>
      </c>
      <c r="X256" s="14">
        <v>0.9478014432068822</v>
      </c>
      <c r="Y256">
        <v>32.064</v>
      </c>
      <c r="Z256" s="14">
        <v>0.94645492650097407</v>
      </c>
      <c r="AA256">
        <v>54</v>
      </c>
      <c r="AC256">
        <v>254</v>
      </c>
      <c r="AD256">
        <v>115.48533</v>
      </c>
      <c r="AE256" s="14">
        <v>0.95115263498918368</v>
      </c>
      <c r="AF256">
        <v>31.87</v>
      </c>
      <c r="AG256" s="14">
        <v>0.94870955258535994</v>
      </c>
      <c r="AH256">
        <v>54</v>
      </c>
      <c r="AJ256">
        <v>254</v>
      </c>
      <c r="AK256">
        <v>114.929737</v>
      </c>
      <c r="AL256" s="14">
        <v>0.93385221118313699</v>
      </c>
      <c r="AM256">
        <v>31.783999999999999</v>
      </c>
      <c r="AN256" s="14">
        <v>0.92973731937050252</v>
      </c>
      <c r="AO256">
        <v>54</v>
      </c>
      <c r="AQ256">
        <v>254</v>
      </c>
      <c r="AR256">
        <v>113.705359</v>
      </c>
      <c r="AS256" s="14">
        <v>0.93323661671265434</v>
      </c>
      <c r="AT256">
        <v>31.486000000000001</v>
      </c>
      <c r="AU256" s="14">
        <v>0.92980539231609727</v>
      </c>
      <c r="AV256">
        <v>54</v>
      </c>
      <c r="AX256">
        <v>254</v>
      </c>
      <c r="AY256">
        <v>115.968143</v>
      </c>
      <c r="AZ256" s="14">
        <v>0.938082201988648</v>
      </c>
      <c r="BA256">
        <v>32.127000000000002</v>
      </c>
      <c r="BB256" s="14">
        <v>0.93599230858874272</v>
      </c>
      <c r="BC256">
        <v>54</v>
      </c>
    </row>
    <row r="257" spans="15:55" x14ac:dyDescent="0.35">
      <c r="O257">
        <v>255</v>
      </c>
      <c r="P257">
        <v>115.866788</v>
      </c>
      <c r="Q257" s="14">
        <v>0.94446464834076227</v>
      </c>
      <c r="R257">
        <v>32.024999999999999</v>
      </c>
      <c r="S257" s="14">
        <v>0.94374373784405019</v>
      </c>
      <c r="T257">
        <v>54</v>
      </c>
      <c r="V257">
        <v>255</v>
      </c>
      <c r="W257">
        <v>116.13817899999999</v>
      </c>
      <c r="X257" s="14">
        <v>0.94751497330056911</v>
      </c>
      <c r="Y257">
        <v>32.055</v>
      </c>
      <c r="Z257" s="14">
        <v>0.94618926737115527</v>
      </c>
      <c r="AA257">
        <v>54</v>
      </c>
      <c r="AC257">
        <v>255</v>
      </c>
      <c r="AD257">
        <v>115.44174599999999</v>
      </c>
      <c r="AE257" s="14">
        <v>0.95079367133169246</v>
      </c>
      <c r="AF257">
        <v>31.861000000000001</v>
      </c>
      <c r="AG257" s="14">
        <v>0.94844163962730321</v>
      </c>
      <c r="AH257">
        <v>54</v>
      </c>
      <c r="AJ257">
        <v>255</v>
      </c>
      <c r="AK257">
        <v>114.87502600000001</v>
      </c>
      <c r="AL257" s="14">
        <v>0.93340766141160103</v>
      </c>
      <c r="AM257">
        <v>31.771000000000001</v>
      </c>
      <c r="AN257" s="14">
        <v>0.92935704674428132</v>
      </c>
      <c r="AO257">
        <v>54</v>
      </c>
      <c r="AQ257">
        <v>255</v>
      </c>
      <c r="AR257">
        <v>113.718486</v>
      </c>
      <c r="AS257" s="14">
        <v>0.93334435655161463</v>
      </c>
      <c r="AT257">
        <v>31.486000000000001</v>
      </c>
      <c r="AU257" s="14">
        <v>0.92980539231609727</v>
      </c>
      <c r="AV257">
        <v>54</v>
      </c>
      <c r="AX257">
        <v>255</v>
      </c>
      <c r="AY257">
        <v>115.950433</v>
      </c>
      <c r="AZ257" s="14">
        <v>0.93793894337151884</v>
      </c>
      <c r="BA257">
        <v>32.121000000000002</v>
      </c>
      <c r="BB257" s="14">
        <v>0.93581750378743744</v>
      </c>
      <c r="BC257">
        <v>54</v>
      </c>
    </row>
    <row r="258" spans="15:55" x14ac:dyDescent="0.35">
      <c r="O258">
        <v>256</v>
      </c>
      <c r="P258">
        <v>115.856404</v>
      </c>
      <c r="Q258" s="14">
        <v>0.94438000526850951</v>
      </c>
      <c r="R258">
        <v>32.023000000000003</v>
      </c>
      <c r="S258" s="14">
        <v>0.94368479990569942</v>
      </c>
      <c r="T258">
        <v>54</v>
      </c>
      <c r="V258">
        <v>256</v>
      </c>
      <c r="W258">
        <v>116.126535</v>
      </c>
      <c r="X258" s="14">
        <v>0.94741997556215007</v>
      </c>
      <c r="Y258">
        <v>32.049999999999997</v>
      </c>
      <c r="Z258" s="14">
        <v>0.94604167896570035</v>
      </c>
      <c r="AA258">
        <v>54</v>
      </c>
      <c r="AC258">
        <v>256</v>
      </c>
      <c r="AD258">
        <v>115.430438</v>
      </c>
      <c r="AE258" s="14">
        <v>0.95070053713017566</v>
      </c>
      <c r="AF258">
        <v>31.856000000000002</v>
      </c>
      <c r="AG258" s="14">
        <v>0.94829279909504949</v>
      </c>
      <c r="AH258">
        <v>54</v>
      </c>
      <c r="AJ258">
        <v>256</v>
      </c>
      <c r="AK258">
        <v>114.863832</v>
      </c>
      <c r="AL258" s="14">
        <v>0.93331670547691559</v>
      </c>
      <c r="AM258">
        <v>31.768000000000001</v>
      </c>
      <c r="AN258" s="14">
        <v>0.92926929152284565</v>
      </c>
      <c r="AO258">
        <v>54</v>
      </c>
      <c r="AQ258">
        <v>256</v>
      </c>
      <c r="AR258">
        <v>113.72763</v>
      </c>
      <c r="AS258" s="14">
        <v>0.9334194059221832</v>
      </c>
      <c r="AT258">
        <v>31.484999999999999</v>
      </c>
      <c r="AU258" s="14">
        <v>0.92977586155981451</v>
      </c>
      <c r="AV258">
        <v>54</v>
      </c>
      <c r="AX258">
        <v>256</v>
      </c>
      <c r="AY258">
        <v>115.928636</v>
      </c>
      <c r="AZ258" s="14">
        <v>0.93776262445127234</v>
      </c>
      <c r="BA258">
        <v>32.115000000000002</v>
      </c>
      <c r="BB258" s="14">
        <v>0.93564269898613228</v>
      </c>
      <c r="BC258">
        <v>54</v>
      </c>
    </row>
    <row r="259" spans="15:55" x14ac:dyDescent="0.35">
      <c r="O259">
        <v>257</v>
      </c>
      <c r="P259">
        <v>115.859906</v>
      </c>
      <c r="Q259" s="14">
        <v>0.9444085511120216</v>
      </c>
      <c r="R259">
        <v>32.021000000000001</v>
      </c>
      <c r="S259" s="14">
        <v>0.94362586196734843</v>
      </c>
      <c r="T259">
        <v>54</v>
      </c>
      <c r="V259">
        <v>257</v>
      </c>
      <c r="W259">
        <v>116.097634</v>
      </c>
      <c r="X259" s="14">
        <v>0.94718418634555346</v>
      </c>
      <c r="Y259">
        <v>32.042999999999999</v>
      </c>
      <c r="Z259" s="14">
        <v>0.94583505519806366</v>
      </c>
      <c r="AA259">
        <v>54</v>
      </c>
      <c r="AC259">
        <v>257</v>
      </c>
      <c r="AD259">
        <v>115.39942499999999</v>
      </c>
      <c r="AE259" s="14">
        <v>0.95044510991124731</v>
      </c>
      <c r="AF259">
        <v>31.847000000000001</v>
      </c>
      <c r="AG259" s="14">
        <v>0.94802488613699276</v>
      </c>
      <c r="AH259">
        <v>54</v>
      </c>
      <c r="AJ259">
        <v>257</v>
      </c>
      <c r="AK259">
        <v>114.891113</v>
      </c>
      <c r="AL259" s="14">
        <v>0.93353837501900538</v>
      </c>
      <c r="AM259">
        <v>31.771000000000001</v>
      </c>
      <c r="AN259" s="14">
        <v>0.92935704674428132</v>
      </c>
      <c r="AO259">
        <v>54</v>
      </c>
      <c r="AQ259">
        <v>257</v>
      </c>
      <c r="AR259">
        <v>113.69785299999999</v>
      </c>
      <c r="AS259" s="14">
        <v>0.93317501122539626</v>
      </c>
      <c r="AT259">
        <v>31.477</v>
      </c>
      <c r="AU259" s="14">
        <v>0.92953961550955322</v>
      </c>
      <c r="AV259">
        <v>54</v>
      </c>
      <c r="AX259">
        <v>257</v>
      </c>
      <c r="AY259">
        <v>115.915734</v>
      </c>
      <c r="AZ259" s="14">
        <v>0.93765825840507244</v>
      </c>
      <c r="BA259">
        <v>32.11</v>
      </c>
      <c r="BB259" s="14">
        <v>0.93549702831837789</v>
      </c>
      <c r="BC259">
        <v>54</v>
      </c>
    </row>
    <row r="260" spans="15:55" x14ac:dyDescent="0.35">
      <c r="O260">
        <v>258</v>
      </c>
      <c r="P260">
        <v>115.864017</v>
      </c>
      <c r="Q260" s="14">
        <v>0.94444206109565332</v>
      </c>
      <c r="R260">
        <v>32.020000000000003</v>
      </c>
      <c r="S260" s="14">
        <v>0.94359639299817311</v>
      </c>
      <c r="T260">
        <v>54</v>
      </c>
      <c r="V260">
        <v>258</v>
      </c>
      <c r="W260">
        <v>116.094033</v>
      </c>
      <c r="X260" s="14">
        <v>0.94715480753620551</v>
      </c>
      <c r="Y260">
        <v>32.039000000000001</v>
      </c>
      <c r="Z260" s="14">
        <v>0.94571698447369978</v>
      </c>
      <c r="AA260">
        <v>54</v>
      </c>
      <c r="AC260">
        <v>258</v>
      </c>
      <c r="AD260">
        <v>115.399642</v>
      </c>
      <c r="AE260" s="14">
        <v>0.95044689715229169</v>
      </c>
      <c r="AF260">
        <v>31.844999999999999</v>
      </c>
      <c r="AG260" s="14">
        <v>0.94796534992409121</v>
      </c>
      <c r="AH260">
        <v>54</v>
      </c>
      <c r="AJ260">
        <v>258</v>
      </c>
      <c r="AK260">
        <v>114.86751099999999</v>
      </c>
      <c r="AL260" s="14">
        <v>0.9333465988915759</v>
      </c>
      <c r="AM260">
        <v>31.762</v>
      </c>
      <c r="AN260" s="14">
        <v>0.92909378107997431</v>
      </c>
      <c r="AO260">
        <v>54</v>
      </c>
      <c r="AQ260">
        <v>258</v>
      </c>
      <c r="AR260">
        <v>113.664839</v>
      </c>
      <c r="AS260" s="14">
        <v>0.93290404885444811</v>
      </c>
      <c r="AT260">
        <v>31.466999999999999</v>
      </c>
      <c r="AU260" s="14">
        <v>0.92924430794672652</v>
      </c>
      <c r="AV260">
        <v>54</v>
      </c>
      <c r="AX260">
        <v>258</v>
      </c>
      <c r="AY260">
        <v>115.890202</v>
      </c>
      <c r="AZ260" s="14">
        <v>0.93745172655794984</v>
      </c>
      <c r="BA260">
        <v>32.101999999999997</v>
      </c>
      <c r="BB260" s="14">
        <v>0.93526395524997086</v>
      </c>
      <c r="BC260">
        <v>54</v>
      </c>
    </row>
    <row r="261" spans="15:55" x14ac:dyDescent="0.35">
      <c r="O261">
        <v>259</v>
      </c>
      <c r="P261">
        <v>115.84166</v>
      </c>
      <c r="Q261" s="14">
        <v>0.94425982253957153</v>
      </c>
      <c r="R261">
        <v>32.012999999999998</v>
      </c>
      <c r="S261" s="14">
        <v>0.9433901102139447</v>
      </c>
      <c r="T261">
        <v>54</v>
      </c>
      <c r="V261">
        <v>259</v>
      </c>
      <c r="W261">
        <v>116.080151</v>
      </c>
      <c r="X261" s="14">
        <v>0.94704155104318477</v>
      </c>
      <c r="Y261">
        <v>32.033999999999999</v>
      </c>
      <c r="Z261" s="14">
        <v>0.94556939606824486</v>
      </c>
      <c r="AA261">
        <v>54</v>
      </c>
      <c r="AC261">
        <v>259</v>
      </c>
      <c r="AD261">
        <v>115.390523</v>
      </c>
      <c r="AE261" s="14">
        <v>0.9503717918477611</v>
      </c>
      <c r="AF261">
        <v>31.841000000000001</v>
      </c>
      <c r="AG261" s="14">
        <v>0.94784627749828831</v>
      </c>
      <c r="AH261">
        <v>54</v>
      </c>
      <c r="AJ261">
        <v>259</v>
      </c>
      <c r="AK261">
        <v>114.824952</v>
      </c>
      <c r="AL261" s="14">
        <v>0.933000789205648</v>
      </c>
      <c r="AM261">
        <v>31.751000000000001</v>
      </c>
      <c r="AN261" s="14">
        <v>0.92877201193471015</v>
      </c>
      <c r="AO261">
        <v>54</v>
      </c>
      <c r="AQ261">
        <v>259</v>
      </c>
      <c r="AR261">
        <v>113.638532</v>
      </c>
      <c r="AS261" s="14">
        <v>0.93268813417908214</v>
      </c>
      <c r="AT261">
        <v>31.459</v>
      </c>
      <c r="AU261" s="14">
        <v>0.92900806189646512</v>
      </c>
      <c r="AV261">
        <v>54</v>
      </c>
      <c r="AX261">
        <v>259</v>
      </c>
      <c r="AY261">
        <v>115.83044700000001</v>
      </c>
      <c r="AZ261" s="14">
        <v>0.93696836017361596</v>
      </c>
      <c r="BA261">
        <v>32.087000000000003</v>
      </c>
      <c r="BB261" s="14">
        <v>0.93482694324670801</v>
      </c>
      <c r="BC261">
        <v>54</v>
      </c>
    </row>
    <row r="262" spans="15:55" x14ac:dyDescent="0.35">
      <c r="O262">
        <v>260</v>
      </c>
      <c r="P262">
        <v>115.797933</v>
      </c>
      <c r="Q262" s="14">
        <v>0.94390339075794649</v>
      </c>
      <c r="R262">
        <v>32.000999999999998</v>
      </c>
      <c r="S262" s="14">
        <v>0.94303648258383921</v>
      </c>
      <c r="T262">
        <v>54</v>
      </c>
      <c r="V262">
        <v>260</v>
      </c>
      <c r="W262">
        <v>116.026619</v>
      </c>
      <c r="X262" s="14">
        <v>0.94660480946528613</v>
      </c>
      <c r="Y262">
        <v>32.021999999999998</v>
      </c>
      <c r="Z262" s="14">
        <v>0.94521518389515313</v>
      </c>
      <c r="AA262">
        <v>54</v>
      </c>
      <c r="AC262">
        <v>260</v>
      </c>
      <c r="AD262">
        <v>115.327324</v>
      </c>
      <c r="AE262" s="14">
        <v>0.94985127642490452</v>
      </c>
      <c r="AF262">
        <v>31.827000000000002</v>
      </c>
      <c r="AG262" s="14">
        <v>0.94742952400797775</v>
      </c>
      <c r="AH262">
        <v>54</v>
      </c>
      <c r="AJ262">
        <v>260</v>
      </c>
      <c r="AK262">
        <v>114.806423</v>
      </c>
      <c r="AL262" s="14">
        <v>0.93285023332626749</v>
      </c>
      <c r="AM262">
        <v>31.744</v>
      </c>
      <c r="AN262" s="14">
        <v>0.92856724975136018</v>
      </c>
      <c r="AO262">
        <v>54</v>
      </c>
      <c r="AQ262">
        <v>260</v>
      </c>
      <c r="AR262">
        <v>113.614594</v>
      </c>
      <c r="AS262" s="14">
        <v>0.93249166306877262</v>
      </c>
      <c r="AT262">
        <v>31.452000000000002</v>
      </c>
      <c r="AU262" s="14">
        <v>0.92880134660248659</v>
      </c>
      <c r="AV262">
        <v>54</v>
      </c>
      <c r="AX262">
        <v>260</v>
      </c>
      <c r="AY262">
        <v>115.791641</v>
      </c>
      <c r="AZ262" s="14">
        <v>0.93665445312131124</v>
      </c>
      <c r="BA262">
        <v>32.076000000000001</v>
      </c>
      <c r="BB262" s="14">
        <v>0.93450646777764834</v>
      </c>
      <c r="BC262">
        <v>54</v>
      </c>
    </row>
    <row r="263" spans="15:55" x14ac:dyDescent="0.35">
      <c r="O263">
        <v>261</v>
      </c>
      <c r="P263">
        <v>115.713689</v>
      </c>
      <c r="Q263" s="14">
        <v>0.94321669285936649</v>
      </c>
      <c r="R263">
        <v>31.981000000000002</v>
      </c>
      <c r="S263" s="14">
        <v>0.94244710320033021</v>
      </c>
      <c r="T263">
        <v>54</v>
      </c>
      <c r="V263">
        <v>261</v>
      </c>
      <c r="W263">
        <v>115.978166</v>
      </c>
      <c r="X263" s="14">
        <v>0.94620950498060563</v>
      </c>
      <c r="Y263">
        <v>32.009</v>
      </c>
      <c r="Z263" s="14">
        <v>0.94483145404097058</v>
      </c>
      <c r="AA263">
        <v>54</v>
      </c>
      <c r="AC263">
        <v>261</v>
      </c>
      <c r="AD263">
        <v>115.283198</v>
      </c>
      <c r="AE263" s="14">
        <v>0.94948784878286951</v>
      </c>
      <c r="AF263">
        <v>31.815000000000001</v>
      </c>
      <c r="AG263" s="14">
        <v>0.94707230673056886</v>
      </c>
      <c r="AH263">
        <v>54</v>
      </c>
      <c r="AJ263">
        <v>261</v>
      </c>
      <c r="AK263">
        <v>114.782116</v>
      </c>
      <c r="AL263" s="14">
        <v>0.93265272877879579</v>
      </c>
      <c r="AM263">
        <v>31.738</v>
      </c>
      <c r="AN263" s="14">
        <v>0.92839173930848884</v>
      </c>
      <c r="AO263">
        <v>54</v>
      </c>
      <c r="AQ263">
        <v>261</v>
      </c>
      <c r="AR263">
        <v>113.603813</v>
      </c>
      <c r="AS263" s="14">
        <v>0.93240317802239259</v>
      </c>
      <c r="AT263">
        <v>31.446000000000002</v>
      </c>
      <c r="AU263" s="14">
        <v>0.92862416206479048</v>
      </c>
      <c r="AV263">
        <v>54</v>
      </c>
      <c r="AX263">
        <v>261</v>
      </c>
      <c r="AY263">
        <v>115.79319700000001</v>
      </c>
      <c r="AZ263" s="14">
        <v>0.93666703981855881</v>
      </c>
      <c r="BA263">
        <v>32.076000000000001</v>
      </c>
      <c r="BB263" s="14">
        <v>0.93450646777764834</v>
      </c>
      <c r="BC263">
        <v>54</v>
      </c>
    </row>
    <row r="264" spans="15:55" x14ac:dyDescent="0.35">
      <c r="O264">
        <v>262</v>
      </c>
      <c r="P264">
        <v>115.67271100000001</v>
      </c>
      <c r="Q264" s="14">
        <v>0.94288266899430773</v>
      </c>
      <c r="R264">
        <v>31.972000000000001</v>
      </c>
      <c r="S264" s="14">
        <v>0.94218188247775103</v>
      </c>
      <c r="T264">
        <v>54</v>
      </c>
      <c r="V264">
        <v>262</v>
      </c>
      <c r="W264">
        <v>115.97796200000001</v>
      </c>
      <c r="X264" s="14">
        <v>0.9462078406437251</v>
      </c>
      <c r="Y264">
        <v>32.008000000000003</v>
      </c>
      <c r="Z264" s="14">
        <v>0.94480193635987963</v>
      </c>
      <c r="AA264">
        <v>54</v>
      </c>
      <c r="AC264">
        <v>262</v>
      </c>
      <c r="AD264">
        <v>115.267307</v>
      </c>
      <c r="AE264" s="14">
        <v>0.9493569683799421</v>
      </c>
      <c r="AF264">
        <v>31.811</v>
      </c>
      <c r="AG264" s="14">
        <v>0.94695323430476575</v>
      </c>
      <c r="AH264">
        <v>54</v>
      </c>
      <c r="AJ264">
        <v>262</v>
      </c>
      <c r="AK264">
        <v>114.780878</v>
      </c>
      <c r="AL264" s="14">
        <v>0.93264266951069319</v>
      </c>
      <c r="AM264">
        <v>31.731999999999999</v>
      </c>
      <c r="AN264" s="14">
        <v>0.9282162288656175</v>
      </c>
      <c r="AO264">
        <v>54</v>
      </c>
      <c r="AQ264">
        <v>262</v>
      </c>
      <c r="AR264">
        <v>113.56738199999999</v>
      </c>
      <c r="AS264" s="14">
        <v>0.93210417062746875</v>
      </c>
      <c r="AT264">
        <v>31.437000000000001</v>
      </c>
      <c r="AU264" s="14">
        <v>0.92835838525824654</v>
      </c>
      <c r="AV264">
        <v>54</v>
      </c>
      <c r="AX264">
        <v>262</v>
      </c>
      <c r="AY264">
        <v>115.799155</v>
      </c>
      <c r="AZ264" s="14">
        <v>0.93671523489709374</v>
      </c>
      <c r="BA264">
        <v>32.075000000000003</v>
      </c>
      <c r="BB264" s="14">
        <v>0.93447733364409757</v>
      </c>
      <c r="BC264">
        <v>54</v>
      </c>
    </row>
    <row r="265" spans="15:55" x14ac:dyDescent="0.35">
      <c r="O265">
        <v>263</v>
      </c>
      <c r="P265">
        <v>115.64859800000001</v>
      </c>
      <c r="Q265" s="14">
        <v>0.94268611675998293</v>
      </c>
      <c r="R265">
        <v>31.963999999999999</v>
      </c>
      <c r="S265" s="14">
        <v>0.9419461307243473</v>
      </c>
      <c r="T265">
        <v>54</v>
      </c>
      <c r="V265">
        <v>263</v>
      </c>
      <c r="W265">
        <v>115.984871</v>
      </c>
      <c r="X265" s="14">
        <v>0.94626420781778364</v>
      </c>
      <c r="Y265">
        <v>32.008000000000003</v>
      </c>
      <c r="Z265" s="14">
        <v>0.94480193635987963</v>
      </c>
      <c r="AA265">
        <v>54</v>
      </c>
      <c r="AC265">
        <v>263</v>
      </c>
      <c r="AD265">
        <v>115.278294</v>
      </c>
      <c r="AE265" s="14">
        <v>0.9494474587824947</v>
      </c>
      <c r="AF265">
        <v>31.81</v>
      </c>
      <c r="AG265" s="14">
        <v>0.94692346619831502</v>
      </c>
      <c r="AH265">
        <v>54</v>
      </c>
      <c r="AJ265">
        <v>263</v>
      </c>
      <c r="AK265">
        <v>114.74302299999999</v>
      </c>
      <c r="AL265" s="14">
        <v>0.93233508179338775</v>
      </c>
      <c r="AM265">
        <v>31.724</v>
      </c>
      <c r="AN265" s="14">
        <v>0.92798221494178901</v>
      </c>
      <c r="AO265">
        <v>54</v>
      </c>
      <c r="AQ265">
        <v>263</v>
      </c>
      <c r="AR265">
        <v>113.506006</v>
      </c>
      <c r="AS265" s="14">
        <v>0.93160042717077429</v>
      </c>
      <c r="AT265">
        <v>31.422000000000001</v>
      </c>
      <c r="AU265" s="14">
        <v>0.9279154239140065</v>
      </c>
      <c r="AV265">
        <v>54</v>
      </c>
      <c r="AX265">
        <v>263</v>
      </c>
      <c r="AY265">
        <v>115.787046</v>
      </c>
      <c r="AZ265" s="14">
        <v>0.93661728353657336</v>
      </c>
      <c r="BA265">
        <v>32.07</v>
      </c>
      <c r="BB265" s="14">
        <v>0.93433166297634318</v>
      </c>
      <c r="BC265">
        <v>54</v>
      </c>
    </row>
    <row r="266" spans="15:55" x14ac:dyDescent="0.35">
      <c r="O266">
        <v>264</v>
      </c>
      <c r="P266">
        <v>115.594713</v>
      </c>
      <c r="Q266" s="14">
        <v>0.94224688409931878</v>
      </c>
      <c r="R266">
        <v>31.95</v>
      </c>
      <c r="S266" s="14">
        <v>0.94153356515589093</v>
      </c>
      <c r="T266">
        <v>54</v>
      </c>
      <c r="V266">
        <v>264</v>
      </c>
      <c r="W266">
        <v>115.980521</v>
      </c>
      <c r="X266" s="14">
        <v>0.94622871828135946</v>
      </c>
      <c r="Y266">
        <v>32.005000000000003</v>
      </c>
      <c r="Z266" s="14">
        <v>0.9447133833166067</v>
      </c>
      <c r="AA266">
        <v>54</v>
      </c>
      <c r="AC266">
        <v>264</v>
      </c>
      <c r="AD266">
        <v>115.282556</v>
      </c>
      <c r="AE266" s="14">
        <v>0.94948256118494112</v>
      </c>
      <c r="AF266">
        <v>31.809000000000001</v>
      </c>
      <c r="AG266" s="14">
        <v>0.9468936980918643</v>
      </c>
      <c r="AH266">
        <v>54</v>
      </c>
      <c r="AJ266">
        <v>264</v>
      </c>
      <c r="AK266">
        <v>114.663121</v>
      </c>
      <c r="AL266" s="14">
        <v>0.93168584460442638</v>
      </c>
      <c r="AM266">
        <v>31.704999999999998</v>
      </c>
      <c r="AN266" s="14">
        <v>0.92742643187269636</v>
      </c>
      <c r="AO266">
        <v>54</v>
      </c>
      <c r="AQ266">
        <v>264</v>
      </c>
      <c r="AR266">
        <v>113.47099</v>
      </c>
      <c r="AS266" s="14">
        <v>0.93131303338689109</v>
      </c>
      <c r="AT266">
        <v>31.411999999999999</v>
      </c>
      <c r="AU266" s="14">
        <v>0.92762011635117969</v>
      </c>
      <c r="AV266">
        <v>54</v>
      </c>
      <c r="AX266">
        <v>264</v>
      </c>
      <c r="AY266">
        <v>115.754695</v>
      </c>
      <c r="AZ266" s="14">
        <v>0.93635559186391681</v>
      </c>
      <c r="BA266">
        <v>32.061</v>
      </c>
      <c r="BB266" s="14">
        <v>0.93406945577438527</v>
      </c>
      <c r="BC266">
        <v>54</v>
      </c>
    </row>
    <row r="267" spans="15:55" x14ac:dyDescent="0.35">
      <c r="O267">
        <v>265</v>
      </c>
      <c r="P267">
        <v>115.539188</v>
      </c>
      <c r="Q267" s="14">
        <v>0.94179428331091064</v>
      </c>
      <c r="R267">
        <v>31.936</v>
      </c>
      <c r="S267" s="14">
        <v>0.94112099958743445</v>
      </c>
      <c r="T267">
        <v>54</v>
      </c>
      <c r="V267">
        <v>265</v>
      </c>
      <c r="W267">
        <v>115.954171</v>
      </c>
      <c r="X267" s="14">
        <v>0.94601374143428429</v>
      </c>
      <c r="Y267">
        <v>31.995999999999999</v>
      </c>
      <c r="Z267" s="14">
        <v>0.9444477241867878</v>
      </c>
      <c r="AA267">
        <v>54</v>
      </c>
      <c r="AC267">
        <v>265</v>
      </c>
      <c r="AD267">
        <v>115.260311</v>
      </c>
      <c r="AE267" s="14">
        <v>0.94929934838756391</v>
      </c>
      <c r="AF267">
        <v>31.802</v>
      </c>
      <c r="AG267" s="14">
        <v>0.94668532134670902</v>
      </c>
      <c r="AH267">
        <v>54</v>
      </c>
      <c r="AJ267">
        <v>265</v>
      </c>
      <c r="AK267">
        <v>114.62296600000001</v>
      </c>
      <c r="AL267" s="14">
        <v>0.93135956842457179</v>
      </c>
      <c r="AM267">
        <v>31.693999999999999</v>
      </c>
      <c r="AN267" s="14">
        <v>0.9271046627274323</v>
      </c>
      <c r="AO267">
        <v>54</v>
      </c>
      <c r="AQ267">
        <v>265</v>
      </c>
      <c r="AR267">
        <v>113.47980699999999</v>
      </c>
      <c r="AS267" s="14">
        <v>0.93138539890529681</v>
      </c>
      <c r="AT267">
        <v>31.411999999999999</v>
      </c>
      <c r="AU267" s="14">
        <v>0.92762011635117969</v>
      </c>
      <c r="AV267">
        <v>54</v>
      </c>
      <c r="AX267">
        <v>265</v>
      </c>
      <c r="AY267">
        <v>115.70614999999999</v>
      </c>
      <c r="AZ267" s="14">
        <v>0.93596290470589671</v>
      </c>
      <c r="BA267">
        <v>32.048000000000002</v>
      </c>
      <c r="BB267" s="14">
        <v>0.93369071203822407</v>
      </c>
      <c r="BC267">
        <v>54</v>
      </c>
    </row>
    <row r="268" spans="15:55" x14ac:dyDescent="0.35">
      <c r="O268">
        <v>266</v>
      </c>
      <c r="P268">
        <v>115.505647</v>
      </c>
      <c r="Q268" s="14">
        <v>0.94152088064465222</v>
      </c>
      <c r="R268">
        <v>31.928000000000001</v>
      </c>
      <c r="S268" s="14">
        <v>0.94088524783403082</v>
      </c>
      <c r="T268">
        <v>54</v>
      </c>
      <c r="V268">
        <v>266</v>
      </c>
      <c r="W268">
        <v>115.91499399999999</v>
      </c>
      <c r="X268" s="14">
        <v>0.94569411532658543</v>
      </c>
      <c r="Y268">
        <v>31.986999999999998</v>
      </c>
      <c r="Z268" s="14">
        <v>0.94418206505696911</v>
      </c>
      <c r="AA268">
        <v>54</v>
      </c>
      <c r="AC268">
        <v>266</v>
      </c>
      <c r="AD268">
        <v>115.222196</v>
      </c>
      <c r="AE268" s="14">
        <v>0.9489854281460699</v>
      </c>
      <c r="AF268">
        <v>31.794</v>
      </c>
      <c r="AG268" s="14">
        <v>0.94644717649510302</v>
      </c>
      <c r="AH268">
        <v>54</v>
      </c>
      <c r="AJ268">
        <v>266</v>
      </c>
      <c r="AK268">
        <v>114.621802</v>
      </c>
      <c r="AL268" s="14">
        <v>0.93135011043743809</v>
      </c>
      <c r="AM268">
        <v>31.693000000000001</v>
      </c>
      <c r="AN268" s="14">
        <v>0.92707541098695379</v>
      </c>
      <c r="AO268">
        <v>54</v>
      </c>
      <c r="AQ268">
        <v>266</v>
      </c>
      <c r="AR268">
        <v>113.47198899999999</v>
      </c>
      <c r="AS268" s="14">
        <v>0.93132123267836053</v>
      </c>
      <c r="AT268">
        <v>31.408999999999999</v>
      </c>
      <c r="AU268" s="14">
        <v>0.92753152408233175</v>
      </c>
      <c r="AV268">
        <v>54</v>
      </c>
      <c r="AX268">
        <v>266</v>
      </c>
      <c r="AY268">
        <v>115.614366</v>
      </c>
      <c r="AZ268" s="14">
        <v>0.93522045135103604</v>
      </c>
      <c r="BA268">
        <v>32.027000000000001</v>
      </c>
      <c r="BB268" s="14">
        <v>0.93307889523365584</v>
      </c>
      <c r="BC268">
        <v>54</v>
      </c>
    </row>
    <row r="269" spans="15:55" x14ac:dyDescent="0.35">
      <c r="O269">
        <v>267</v>
      </c>
      <c r="P269">
        <v>115.50023899999999</v>
      </c>
      <c r="Q269" s="14">
        <v>0.94147679842828635</v>
      </c>
      <c r="R269">
        <v>31.925999999999998</v>
      </c>
      <c r="S269" s="14">
        <v>0.94082630989567984</v>
      </c>
      <c r="T269">
        <v>54</v>
      </c>
      <c r="V269">
        <v>267</v>
      </c>
      <c r="W269">
        <v>115.82345100000001</v>
      </c>
      <c r="X269" s="14">
        <v>0.94494726046845268</v>
      </c>
      <c r="Y269">
        <v>31.965</v>
      </c>
      <c r="Z269" s="14">
        <v>0.94353267607296765</v>
      </c>
      <c r="AA269">
        <v>54</v>
      </c>
      <c r="AC269">
        <v>267</v>
      </c>
      <c r="AD269">
        <v>115.146141</v>
      </c>
      <c r="AE269" s="14">
        <v>0.94835902898650482</v>
      </c>
      <c r="AF269">
        <v>31.773</v>
      </c>
      <c r="AG269" s="14">
        <v>0.94582204625963728</v>
      </c>
      <c r="AH269">
        <v>54</v>
      </c>
      <c r="AJ269">
        <v>267</v>
      </c>
      <c r="AK269">
        <v>114.62718</v>
      </c>
      <c r="AL269" s="14">
        <v>0.9313938089381294</v>
      </c>
      <c r="AM269">
        <v>31.69</v>
      </c>
      <c r="AN269" s="14">
        <v>0.92698765576551811</v>
      </c>
      <c r="AO269">
        <v>54</v>
      </c>
      <c r="AQ269">
        <v>267</v>
      </c>
      <c r="AR269">
        <v>113.458399</v>
      </c>
      <c r="AS269" s="14">
        <v>0.93120969276737786</v>
      </c>
      <c r="AT269">
        <v>31.402000000000001</v>
      </c>
      <c r="AU269" s="14">
        <v>0.92732480878835311</v>
      </c>
      <c r="AV269">
        <v>54</v>
      </c>
      <c r="AX269">
        <v>267</v>
      </c>
      <c r="AY269">
        <v>115.58635200000001</v>
      </c>
      <c r="AZ269" s="14">
        <v>0.93499384226575899</v>
      </c>
      <c r="BA269">
        <v>32.018999999999998</v>
      </c>
      <c r="BB269" s="14">
        <v>0.93284582216524881</v>
      </c>
      <c r="BC269">
        <v>54</v>
      </c>
    </row>
    <row r="270" spans="15:55" x14ac:dyDescent="0.35">
      <c r="O270">
        <v>268</v>
      </c>
      <c r="P270">
        <v>115.487216</v>
      </c>
      <c r="Q270" s="14">
        <v>0.94137064408218218</v>
      </c>
      <c r="R270">
        <v>31.92</v>
      </c>
      <c r="S270" s="14">
        <v>0.9406494960806272</v>
      </c>
      <c r="T270">
        <v>54</v>
      </c>
      <c r="V270">
        <v>268</v>
      </c>
      <c r="W270">
        <v>115.78954</v>
      </c>
      <c r="X270" s="14">
        <v>0.94467059709611234</v>
      </c>
      <c r="Y270">
        <v>31.956</v>
      </c>
      <c r="Z270" s="14">
        <v>0.94326701694314896</v>
      </c>
      <c r="AA270">
        <v>54</v>
      </c>
      <c r="AC270">
        <v>268</v>
      </c>
      <c r="AD270">
        <v>115.074179</v>
      </c>
      <c r="AE270" s="14">
        <v>0.94776634032276641</v>
      </c>
      <c r="AF270">
        <v>31.757999999999999</v>
      </c>
      <c r="AG270" s="14">
        <v>0.94537552466287611</v>
      </c>
      <c r="AH270">
        <v>54</v>
      </c>
      <c r="AJ270">
        <v>268</v>
      </c>
      <c r="AK270">
        <v>114.621717</v>
      </c>
      <c r="AL270" s="14">
        <v>0.93134941977686569</v>
      </c>
      <c r="AM270">
        <v>31.687000000000001</v>
      </c>
      <c r="AN270" s="14">
        <v>0.92689990054408244</v>
      </c>
      <c r="AO270">
        <v>54</v>
      </c>
      <c r="AQ270">
        <v>268</v>
      </c>
      <c r="AR270">
        <v>113.424734</v>
      </c>
      <c r="AS270" s="14">
        <v>0.93093338731460118</v>
      </c>
      <c r="AT270">
        <v>31.393000000000001</v>
      </c>
      <c r="AU270" s="14">
        <v>0.92705903198180906</v>
      </c>
      <c r="AV270">
        <v>54</v>
      </c>
      <c r="AX270">
        <v>268</v>
      </c>
      <c r="AY270">
        <v>115.564009</v>
      </c>
      <c r="AZ270" s="14">
        <v>0.93481310667668394</v>
      </c>
      <c r="BA270">
        <v>32.012</v>
      </c>
      <c r="BB270" s="14">
        <v>0.93264188323039277</v>
      </c>
      <c r="BC270">
        <v>54</v>
      </c>
    </row>
    <row r="271" spans="15:55" x14ac:dyDescent="0.35">
      <c r="O271">
        <v>269</v>
      </c>
      <c r="P271">
        <v>115.443433</v>
      </c>
      <c r="Q271" s="14">
        <v>0.94101375582790259</v>
      </c>
      <c r="R271">
        <v>31.908000000000001</v>
      </c>
      <c r="S271" s="14">
        <v>0.94029586845052171</v>
      </c>
      <c r="T271">
        <v>54</v>
      </c>
      <c r="V271">
        <v>269</v>
      </c>
      <c r="W271">
        <v>115.76917</v>
      </c>
      <c r="X271" s="14">
        <v>0.9445044081634778</v>
      </c>
      <c r="Y271">
        <v>31.95</v>
      </c>
      <c r="Z271" s="14">
        <v>0.9430899108566031</v>
      </c>
      <c r="AA271">
        <v>54</v>
      </c>
      <c r="AC271">
        <v>269</v>
      </c>
      <c r="AD271">
        <v>115.057247</v>
      </c>
      <c r="AE271" s="14">
        <v>0.94762688610450652</v>
      </c>
      <c r="AF271">
        <v>31.751999999999999</v>
      </c>
      <c r="AG271" s="14">
        <v>0.94519691602417155</v>
      </c>
      <c r="AH271">
        <v>54</v>
      </c>
      <c r="AJ271">
        <v>269</v>
      </c>
      <c r="AK271">
        <v>114.599535</v>
      </c>
      <c r="AL271" s="14">
        <v>0.93116918174370578</v>
      </c>
      <c r="AM271">
        <v>31.68</v>
      </c>
      <c r="AN271" s="14">
        <v>0.92669513836073247</v>
      </c>
      <c r="AO271">
        <v>54</v>
      </c>
      <c r="AQ271">
        <v>269</v>
      </c>
      <c r="AR271">
        <v>113.379198</v>
      </c>
      <c r="AS271" s="14">
        <v>0.93055965064156865</v>
      </c>
      <c r="AT271">
        <v>31.38</v>
      </c>
      <c r="AU271" s="14">
        <v>0.92667513215013431</v>
      </c>
      <c r="AV271">
        <v>54</v>
      </c>
      <c r="AX271">
        <v>269</v>
      </c>
      <c r="AY271">
        <v>115.507273</v>
      </c>
      <c r="AZ271" s="14">
        <v>0.93435416139709948</v>
      </c>
      <c r="BA271">
        <v>31.998000000000001</v>
      </c>
      <c r="BB271" s="14">
        <v>0.93223400536068068</v>
      </c>
      <c r="BC271">
        <v>54</v>
      </c>
    </row>
    <row r="272" spans="15:55" x14ac:dyDescent="0.35">
      <c r="O272">
        <v>270</v>
      </c>
      <c r="P272">
        <v>115.39923899999999</v>
      </c>
      <c r="Q272" s="14">
        <v>0.94065351739038949</v>
      </c>
      <c r="R272">
        <v>31.898</v>
      </c>
      <c r="S272" s="14">
        <v>0.9400011787587671</v>
      </c>
      <c r="T272">
        <v>54</v>
      </c>
      <c r="V272">
        <v>270</v>
      </c>
      <c r="W272">
        <v>115.711656</v>
      </c>
      <c r="X272" s="14">
        <v>0.94403517938235149</v>
      </c>
      <c r="Y272">
        <v>31.936</v>
      </c>
      <c r="Z272" s="14">
        <v>0.94267666332132949</v>
      </c>
      <c r="AA272">
        <v>54</v>
      </c>
      <c r="AC272">
        <v>270</v>
      </c>
      <c r="AD272">
        <v>115.01893800000001</v>
      </c>
      <c r="AE272" s="14">
        <v>0.94731136805304661</v>
      </c>
      <c r="AF272">
        <v>31.742000000000001</v>
      </c>
      <c r="AG272" s="14">
        <v>0.9448992349596641</v>
      </c>
      <c r="AH272">
        <v>54</v>
      </c>
      <c r="AJ272">
        <v>270</v>
      </c>
      <c r="AK272">
        <v>114.5476</v>
      </c>
      <c r="AL272" s="14">
        <v>0.93074718813392487</v>
      </c>
      <c r="AM272">
        <v>31.667000000000002</v>
      </c>
      <c r="AN272" s="14">
        <v>0.92631486573451127</v>
      </c>
      <c r="AO272">
        <v>54</v>
      </c>
      <c r="AQ272">
        <v>270</v>
      </c>
      <c r="AR272">
        <v>113.282623</v>
      </c>
      <c r="AS272" s="14">
        <v>0.92976701142867968</v>
      </c>
      <c r="AT272">
        <v>31.359000000000002</v>
      </c>
      <c r="AU272" s="14">
        <v>0.92605498626819838</v>
      </c>
      <c r="AV272">
        <v>54</v>
      </c>
      <c r="AX272">
        <v>270</v>
      </c>
      <c r="AY272">
        <v>115.454032</v>
      </c>
      <c r="AZ272" s="14">
        <v>0.93392348765149957</v>
      </c>
      <c r="BA272">
        <v>31.984999999999999</v>
      </c>
      <c r="BB272" s="14">
        <v>0.93185526162451937</v>
      </c>
      <c r="BC272">
        <v>54</v>
      </c>
    </row>
    <row r="273" spans="15:55" x14ac:dyDescent="0.35">
      <c r="O273">
        <v>271</v>
      </c>
      <c r="P273">
        <v>115.373636</v>
      </c>
      <c r="Q273" s="14">
        <v>0.94044481972293137</v>
      </c>
      <c r="R273">
        <v>31.89</v>
      </c>
      <c r="S273" s="14">
        <v>0.93976542700536347</v>
      </c>
      <c r="T273">
        <v>54</v>
      </c>
      <c r="V273">
        <v>271</v>
      </c>
      <c r="W273">
        <v>115.659206</v>
      </c>
      <c r="X273" s="14">
        <v>0.94360726531673123</v>
      </c>
      <c r="Y273">
        <v>31.922000000000001</v>
      </c>
      <c r="Z273" s="14">
        <v>0.94226341578605588</v>
      </c>
      <c r="AA273">
        <v>54</v>
      </c>
      <c r="AC273">
        <v>271</v>
      </c>
      <c r="AD273">
        <v>114.959703</v>
      </c>
      <c r="AE273" s="14">
        <v>0.94682350066475074</v>
      </c>
      <c r="AF273">
        <v>31.728000000000002</v>
      </c>
      <c r="AG273" s="14">
        <v>0.94448248146935365</v>
      </c>
      <c r="AH273">
        <v>54</v>
      </c>
      <c r="AJ273">
        <v>271</v>
      </c>
      <c r="AK273">
        <v>114.45679800000001</v>
      </c>
      <c r="AL273" s="14">
        <v>0.930009383883317</v>
      </c>
      <c r="AM273">
        <v>31.643999999999998</v>
      </c>
      <c r="AN273" s="14">
        <v>0.92564207570350432</v>
      </c>
      <c r="AO273">
        <v>54</v>
      </c>
      <c r="AQ273">
        <v>271</v>
      </c>
      <c r="AR273">
        <v>113.242779</v>
      </c>
      <c r="AS273" s="14">
        <v>0.92943999183977621</v>
      </c>
      <c r="AT273">
        <v>31.347999999999999</v>
      </c>
      <c r="AU273" s="14">
        <v>0.92573014794908892</v>
      </c>
      <c r="AV273">
        <v>54</v>
      </c>
      <c r="AX273">
        <v>271</v>
      </c>
      <c r="AY273">
        <v>115.420041</v>
      </c>
      <c r="AZ273" s="14">
        <v>0.93364852979408353</v>
      </c>
      <c r="BA273">
        <v>31.975999999999999</v>
      </c>
      <c r="BB273" s="14">
        <v>0.93159305442256146</v>
      </c>
      <c r="BC273">
        <v>54</v>
      </c>
    </row>
    <row r="274" spans="15:55" x14ac:dyDescent="0.35">
      <c r="O274">
        <v>272</v>
      </c>
      <c r="P274">
        <v>115.36026</v>
      </c>
      <c r="Q274" s="14">
        <v>0.94033578796884321</v>
      </c>
      <c r="R274">
        <v>31.885999999999999</v>
      </c>
      <c r="S274" s="14">
        <v>0.93964755112866161</v>
      </c>
      <c r="T274">
        <v>54</v>
      </c>
      <c r="V274">
        <v>272</v>
      </c>
      <c r="W274">
        <v>115.630242</v>
      </c>
      <c r="X274" s="14">
        <v>0.94337096211374505</v>
      </c>
      <c r="Y274">
        <v>31.914999999999999</v>
      </c>
      <c r="Z274" s="14">
        <v>0.94205679201841896</v>
      </c>
      <c r="AA274">
        <v>54</v>
      </c>
      <c r="AC274">
        <v>272</v>
      </c>
      <c r="AD274">
        <v>114.91602</v>
      </c>
      <c r="AE274" s="14">
        <v>0.94646372163000902</v>
      </c>
      <c r="AF274">
        <v>31.716999999999999</v>
      </c>
      <c r="AG274" s="14">
        <v>0.94415503229839537</v>
      </c>
      <c r="AH274">
        <v>54</v>
      </c>
      <c r="AJ274">
        <v>272</v>
      </c>
      <c r="AK274">
        <v>114.381606</v>
      </c>
      <c r="AL274" s="14">
        <v>0.92939841741548901</v>
      </c>
      <c r="AM274">
        <v>31.628</v>
      </c>
      <c r="AN274" s="14">
        <v>0.92517404785584745</v>
      </c>
      <c r="AO274">
        <v>54</v>
      </c>
      <c r="AQ274">
        <v>272</v>
      </c>
      <c r="AR274">
        <v>113.229399</v>
      </c>
      <c r="AS274" s="14">
        <v>0.92933017550357677</v>
      </c>
      <c r="AT274">
        <v>31.344000000000001</v>
      </c>
      <c r="AU274" s="14">
        <v>0.92561202492395833</v>
      </c>
      <c r="AV274">
        <v>54</v>
      </c>
      <c r="AX274">
        <v>272</v>
      </c>
      <c r="AY274">
        <v>115.420604</v>
      </c>
      <c r="AZ274" s="14">
        <v>0.93365308397824176</v>
      </c>
      <c r="BA274">
        <v>31.974</v>
      </c>
      <c r="BB274" s="14">
        <v>0.93153478615545982</v>
      </c>
      <c r="BC274">
        <v>54</v>
      </c>
    </row>
    <row r="275" spans="15:55" x14ac:dyDescent="0.35">
      <c r="O275">
        <v>273</v>
      </c>
      <c r="P275">
        <v>115.352225</v>
      </c>
      <c r="Q275" s="14">
        <v>0.94027029229419468</v>
      </c>
      <c r="R275">
        <v>31.882999999999999</v>
      </c>
      <c r="S275" s="14">
        <v>0.93955914422113518</v>
      </c>
      <c r="T275">
        <v>54</v>
      </c>
      <c r="V275">
        <v>273</v>
      </c>
      <c r="W275">
        <v>115.62128800000001</v>
      </c>
      <c r="X275" s="14">
        <v>0.94329791077831016</v>
      </c>
      <c r="Y275">
        <v>31.911999999999999</v>
      </c>
      <c r="Z275" s="14">
        <v>0.94196823897514603</v>
      </c>
      <c r="AA275">
        <v>54</v>
      </c>
      <c r="AC275">
        <v>273</v>
      </c>
      <c r="AD275">
        <v>114.905886</v>
      </c>
      <c r="AE275" s="14">
        <v>0.94638025664962588</v>
      </c>
      <c r="AF275">
        <v>31.713000000000001</v>
      </c>
      <c r="AG275" s="14">
        <v>0.94403595987259248</v>
      </c>
      <c r="AH275">
        <v>54</v>
      </c>
      <c r="AJ275">
        <v>273</v>
      </c>
      <c r="AK275">
        <v>114.368498</v>
      </c>
      <c r="AL275" s="14">
        <v>0.92929190942979523</v>
      </c>
      <c r="AM275">
        <v>31.622</v>
      </c>
      <c r="AN275" s="14">
        <v>0.92499853741297611</v>
      </c>
      <c r="AO275">
        <v>54</v>
      </c>
      <c r="AQ275">
        <v>273</v>
      </c>
      <c r="AR275">
        <v>113.18708700000001</v>
      </c>
      <c r="AS275" s="14">
        <v>0.92898289980721893</v>
      </c>
      <c r="AT275">
        <v>31.331</v>
      </c>
      <c r="AU275" s="14">
        <v>0.92522812509228358</v>
      </c>
      <c r="AV275">
        <v>54</v>
      </c>
      <c r="AX275">
        <v>273</v>
      </c>
      <c r="AY275">
        <v>115.390522</v>
      </c>
      <c r="AZ275" s="14">
        <v>0.93340974655754849</v>
      </c>
      <c r="BA275">
        <v>31.965</v>
      </c>
      <c r="BB275" s="14">
        <v>0.93127257895350202</v>
      </c>
      <c r="BC275">
        <v>54</v>
      </c>
    </row>
    <row r="276" spans="15:55" x14ac:dyDescent="0.35">
      <c r="O276">
        <v>274</v>
      </c>
      <c r="P276">
        <v>115.311819</v>
      </c>
      <c r="Q276" s="14">
        <v>0.93994093097125142</v>
      </c>
      <c r="R276">
        <v>31.872</v>
      </c>
      <c r="S276" s="14">
        <v>0.93923498556020513</v>
      </c>
      <c r="T276">
        <v>54</v>
      </c>
      <c r="V276">
        <v>274</v>
      </c>
      <c r="W276">
        <v>115.610609</v>
      </c>
      <c r="X276" s="14">
        <v>0.94321078600601727</v>
      </c>
      <c r="Y276">
        <v>31.907</v>
      </c>
      <c r="Z276" s="14">
        <v>0.94182065056969122</v>
      </c>
      <c r="AA276">
        <v>54</v>
      </c>
      <c r="AC276">
        <v>274</v>
      </c>
      <c r="AD276">
        <v>114.909194</v>
      </c>
      <c r="AE276" s="14">
        <v>0.94640750178038446</v>
      </c>
      <c r="AF276">
        <v>31.710999999999999</v>
      </c>
      <c r="AG276" s="14">
        <v>0.94397642365969081</v>
      </c>
      <c r="AH276">
        <v>54</v>
      </c>
      <c r="AJ276">
        <v>274</v>
      </c>
      <c r="AK276">
        <v>114.339338</v>
      </c>
      <c r="AL276" s="14">
        <v>0.92905497222634448</v>
      </c>
      <c r="AM276">
        <v>31.614000000000001</v>
      </c>
      <c r="AN276" s="14">
        <v>0.92476452348914762</v>
      </c>
      <c r="AO276">
        <v>54</v>
      </c>
      <c r="AQ276">
        <v>274</v>
      </c>
      <c r="AR276">
        <v>113.130849</v>
      </c>
      <c r="AS276" s="14">
        <v>0.92852132648022478</v>
      </c>
      <c r="AT276">
        <v>31.318000000000001</v>
      </c>
      <c r="AU276" s="14">
        <v>0.92484422526060894</v>
      </c>
      <c r="AV276">
        <v>54</v>
      </c>
      <c r="AX276">
        <v>274</v>
      </c>
      <c r="AY276">
        <v>115.335404</v>
      </c>
      <c r="AZ276" s="14">
        <v>0.93296388950170839</v>
      </c>
      <c r="BA276">
        <v>31.951000000000001</v>
      </c>
      <c r="BB276" s="14">
        <v>0.93086470108378983</v>
      </c>
      <c r="BC276">
        <v>54</v>
      </c>
    </row>
    <row r="277" spans="15:55" x14ac:dyDescent="0.35">
      <c r="O277">
        <v>275</v>
      </c>
      <c r="P277">
        <v>115.266155</v>
      </c>
      <c r="Q277" s="14">
        <v>0.93956871012655319</v>
      </c>
      <c r="R277">
        <v>31.86</v>
      </c>
      <c r="S277" s="14">
        <v>0.93888135793009964</v>
      </c>
      <c r="T277">
        <v>54</v>
      </c>
      <c r="V277">
        <v>275</v>
      </c>
      <c r="W277">
        <v>115.564834</v>
      </c>
      <c r="X277" s="14">
        <v>0.94283733002215153</v>
      </c>
      <c r="Y277">
        <v>31.895</v>
      </c>
      <c r="Z277" s="14">
        <v>0.94146643839659949</v>
      </c>
      <c r="AA277">
        <v>54</v>
      </c>
      <c r="AC277">
        <v>275</v>
      </c>
      <c r="AD277">
        <v>114.86716300000001</v>
      </c>
      <c r="AE277" s="14">
        <v>0.94606132883875438</v>
      </c>
      <c r="AF277">
        <v>31.701000000000001</v>
      </c>
      <c r="AG277" s="14">
        <v>0.94367874259518347</v>
      </c>
      <c r="AH277">
        <v>54</v>
      </c>
      <c r="AJ277">
        <v>275</v>
      </c>
      <c r="AK277">
        <v>114.27462800000001</v>
      </c>
      <c r="AL277" s="14">
        <v>0.92852917639523036</v>
      </c>
      <c r="AM277">
        <v>31.597999999999999</v>
      </c>
      <c r="AN277" s="14">
        <v>0.92429649564149063</v>
      </c>
      <c r="AO277">
        <v>54</v>
      </c>
      <c r="AQ277">
        <v>275</v>
      </c>
      <c r="AR277">
        <v>113.09279600000001</v>
      </c>
      <c r="AS277" s="14">
        <v>0.92820900652197413</v>
      </c>
      <c r="AT277">
        <v>31.308</v>
      </c>
      <c r="AU277" s="14">
        <v>0.92454891769778225</v>
      </c>
      <c r="AV277">
        <v>54</v>
      </c>
      <c r="AX277">
        <v>275</v>
      </c>
      <c r="AY277">
        <v>115.293122</v>
      </c>
      <c r="AZ277" s="14">
        <v>0.93262186460902319</v>
      </c>
      <c r="BA277">
        <v>31.940999999999999</v>
      </c>
      <c r="BB277" s="14">
        <v>0.93057335974828115</v>
      </c>
      <c r="BC277">
        <v>54</v>
      </c>
    </row>
    <row r="278" spans="15:55" x14ac:dyDescent="0.35">
      <c r="O278">
        <v>276</v>
      </c>
      <c r="P278">
        <v>115.24250000000001</v>
      </c>
      <c r="Q278" s="14">
        <v>0.93937589118643994</v>
      </c>
      <c r="R278">
        <v>31.853000000000002</v>
      </c>
      <c r="S278" s="14">
        <v>0.93867507514587156</v>
      </c>
      <c r="T278">
        <v>54</v>
      </c>
      <c r="V278">
        <v>276</v>
      </c>
      <c r="W278">
        <v>115.52477500000001</v>
      </c>
      <c r="X278" s="14">
        <v>0.94251050810499848</v>
      </c>
      <c r="Y278">
        <v>31.885999999999999</v>
      </c>
      <c r="Z278" s="14">
        <v>0.94120077926678081</v>
      </c>
      <c r="AA278">
        <v>54</v>
      </c>
      <c r="AC278">
        <v>276</v>
      </c>
      <c r="AD278">
        <v>114.81592499999999</v>
      </c>
      <c r="AE278" s="14">
        <v>0.94563932581281518</v>
      </c>
      <c r="AF278">
        <v>31.687999999999999</v>
      </c>
      <c r="AG278" s="14">
        <v>0.94329175721132363</v>
      </c>
      <c r="AH278">
        <v>54</v>
      </c>
      <c r="AJ278">
        <v>276</v>
      </c>
      <c r="AK278">
        <v>114.22396999999999</v>
      </c>
      <c r="AL278" s="14">
        <v>0.92811755894487347</v>
      </c>
      <c r="AM278">
        <v>31.585999999999999</v>
      </c>
      <c r="AN278" s="14">
        <v>0.92394547475574795</v>
      </c>
      <c r="AO278">
        <v>54</v>
      </c>
      <c r="AQ278">
        <v>276</v>
      </c>
      <c r="AR278">
        <v>113.081029</v>
      </c>
      <c r="AS278" s="14">
        <v>0.92811242888161105</v>
      </c>
      <c r="AT278">
        <v>31.303999999999998</v>
      </c>
      <c r="AU278" s="14">
        <v>0.92443079467265155</v>
      </c>
      <c r="AV278">
        <v>54</v>
      </c>
      <c r="AX278">
        <v>276</v>
      </c>
      <c r="AY278">
        <v>115.274258</v>
      </c>
      <c r="AZ278" s="14">
        <v>0.93246927112774003</v>
      </c>
      <c r="BA278">
        <v>31.934000000000001</v>
      </c>
      <c r="BB278" s="14">
        <v>0.93036942081342511</v>
      </c>
      <c r="BC278">
        <v>54</v>
      </c>
    </row>
    <row r="279" spans="15:55" x14ac:dyDescent="0.35">
      <c r="O279">
        <v>277</v>
      </c>
      <c r="P279">
        <v>115.238085</v>
      </c>
      <c r="Q279" s="14">
        <v>0.93933990320839711</v>
      </c>
      <c r="R279">
        <v>31.850999999999999</v>
      </c>
      <c r="S279" s="14">
        <v>0.93861613720752057</v>
      </c>
      <c r="T279">
        <v>54</v>
      </c>
      <c r="V279">
        <v>277</v>
      </c>
      <c r="W279">
        <v>115.49815700000001</v>
      </c>
      <c r="X279" s="14">
        <v>0.94229334477613902</v>
      </c>
      <c r="Y279">
        <v>31.878</v>
      </c>
      <c r="Z279" s="14">
        <v>0.94096463781805306</v>
      </c>
      <c r="AA279">
        <v>54</v>
      </c>
      <c r="AC279">
        <v>277</v>
      </c>
      <c r="AD279">
        <v>114.783472</v>
      </c>
      <c r="AE279" s="14">
        <v>0.94537203856115037</v>
      </c>
      <c r="AF279">
        <v>31.681000000000001</v>
      </c>
      <c r="AG279" s="14">
        <v>0.94308338046616846</v>
      </c>
      <c r="AH279">
        <v>54</v>
      </c>
      <c r="AJ279">
        <v>277</v>
      </c>
      <c r="AK279">
        <v>114.20553</v>
      </c>
      <c r="AL279" s="14">
        <v>0.92796772622773938</v>
      </c>
      <c r="AM279">
        <v>31.58</v>
      </c>
      <c r="AN279" s="14">
        <v>0.92376996431287661</v>
      </c>
      <c r="AO279">
        <v>54</v>
      </c>
      <c r="AQ279">
        <v>277</v>
      </c>
      <c r="AR279">
        <v>113.068662</v>
      </c>
      <c r="AS279" s="14">
        <v>0.9280109267418668</v>
      </c>
      <c r="AT279">
        <v>31.297000000000001</v>
      </c>
      <c r="AU279" s="14">
        <v>0.9242240793786729</v>
      </c>
      <c r="AV279">
        <v>54</v>
      </c>
      <c r="AX279">
        <v>277</v>
      </c>
      <c r="AY279">
        <v>115.259005</v>
      </c>
      <c r="AZ279" s="14">
        <v>0.93234588752033909</v>
      </c>
      <c r="BA279">
        <v>31.93</v>
      </c>
      <c r="BB279" s="14">
        <v>0.93025288427922159</v>
      </c>
      <c r="BC279">
        <v>54</v>
      </c>
    </row>
    <row r="280" spans="15:55" x14ac:dyDescent="0.35">
      <c r="O280">
        <v>278</v>
      </c>
      <c r="P280">
        <v>115.201335</v>
      </c>
      <c r="Q280" s="14">
        <v>0.93904034302876638</v>
      </c>
      <c r="R280">
        <v>31.84</v>
      </c>
      <c r="S280" s="14">
        <v>0.93829197854659052</v>
      </c>
      <c r="T280">
        <v>54</v>
      </c>
      <c r="V280">
        <v>278</v>
      </c>
      <c r="W280">
        <v>115.481466</v>
      </c>
      <c r="X280" s="14">
        <v>0.94215717101695362</v>
      </c>
      <c r="Y280">
        <v>31.873000000000001</v>
      </c>
      <c r="Z280" s="14">
        <v>0.94081704941259814</v>
      </c>
      <c r="AA280">
        <v>54</v>
      </c>
      <c r="AC280">
        <v>278</v>
      </c>
      <c r="AD280">
        <v>114.768736</v>
      </c>
      <c r="AE280" s="14">
        <v>0.94525067089281367</v>
      </c>
      <c r="AF280">
        <v>31.675000000000001</v>
      </c>
      <c r="AG280" s="14">
        <v>0.94290477182746402</v>
      </c>
      <c r="AH280">
        <v>54</v>
      </c>
      <c r="AJ280">
        <v>278</v>
      </c>
      <c r="AK280">
        <v>114.20710200000001</v>
      </c>
      <c r="AL280" s="14">
        <v>0.92798049938562088</v>
      </c>
      <c r="AM280">
        <v>31.577999999999999</v>
      </c>
      <c r="AN280" s="14">
        <v>0.92371146083191946</v>
      </c>
      <c r="AO280">
        <v>54</v>
      </c>
      <c r="AQ280">
        <v>278</v>
      </c>
      <c r="AR280">
        <v>113.007588</v>
      </c>
      <c r="AS280" s="14">
        <v>0.92750966194986073</v>
      </c>
      <c r="AT280">
        <v>31.283000000000001</v>
      </c>
      <c r="AU280" s="14">
        <v>0.92381064879071562</v>
      </c>
      <c r="AV280">
        <v>54</v>
      </c>
      <c r="AX280">
        <v>278</v>
      </c>
      <c r="AY280">
        <v>115.250086</v>
      </c>
      <c r="AZ280" s="14">
        <v>0.93227374050700329</v>
      </c>
      <c r="BA280">
        <v>31.925000000000001</v>
      </c>
      <c r="BB280" s="14">
        <v>0.93010721361146731</v>
      </c>
      <c r="BC280">
        <v>54</v>
      </c>
    </row>
    <row r="281" spans="15:55" x14ac:dyDescent="0.35">
      <c r="O281">
        <v>279</v>
      </c>
      <c r="P281">
        <v>115.173249</v>
      </c>
      <c r="Q281" s="14">
        <v>0.93881140568985177</v>
      </c>
      <c r="R281">
        <v>31.832999999999998</v>
      </c>
      <c r="S281" s="14">
        <v>0.93808569576236223</v>
      </c>
      <c r="T281">
        <v>54</v>
      </c>
      <c r="V281">
        <v>279</v>
      </c>
      <c r="W281">
        <v>115.47224199999999</v>
      </c>
      <c r="X281" s="14">
        <v>0.94208191688270615</v>
      </c>
      <c r="Y281">
        <v>31.87</v>
      </c>
      <c r="Z281" s="14">
        <v>0.94072849636932521</v>
      </c>
      <c r="AA281">
        <v>54</v>
      </c>
      <c r="AC281">
        <v>279</v>
      </c>
      <c r="AD281">
        <v>114.759787</v>
      </c>
      <c r="AE281" s="14">
        <v>0.94517696573103671</v>
      </c>
      <c r="AF281">
        <v>31.672000000000001</v>
      </c>
      <c r="AG281" s="14">
        <v>0.94281546750811174</v>
      </c>
      <c r="AH281">
        <v>54</v>
      </c>
      <c r="AJ281">
        <v>279</v>
      </c>
      <c r="AK281">
        <v>114.140995</v>
      </c>
      <c r="AL281" s="14">
        <v>0.92744335234486253</v>
      </c>
      <c r="AM281">
        <v>31.561</v>
      </c>
      <c r="AN281" s="14">
        <v>0.92321418124378396</v>
      </c>
      <c r="AO281">
        <v>54</v>
      </c>
      <c r="AQ281">
        <v>279</v>
      </c>
      <c r="AR281">
        <v>112.95453999999999</v>
      </c>
      <c r="AS281" s="14">
        <v>0.92707427054457636</v>
      </c>
      <c r="AT281">
        <v>31.27</v>
      </c>
      <c r="AU281" s="14">
        <v>0.92342674895904087</v>
      </c>
      <c r="AV281">
        <v>54</v>
      </c>
      <c r="AX281">
        <v>279</v>
      </c>
      <c r="AY281">
        <v>115.213425</v>
      </c>
      <c r="AZ281" s="14">
        <v>0.93197718465366775</v>
      </c>
      <c r="BA281">
        <v>31.916</v>
      </c>
      <c r="BB281" s="14">
        <v>0.9298450064095094</v>
      </c>
      <c r="BC281">
        <v>54</v>
      </c>
    </row>
    <row r="282" spans="15:55" x14ac:dyDescent="0.35">
      <c r="O282">
        <v>280</v>
      </c>
      <c r="P282">
        <v>115.1277</v>
      </c>
      <c r="Q282" s="14">
        <v>0.93844012224435513</v>
      </c>
      <c r="R282">
        <v>31.821000000000002</v>
      </c>
      <c r="S282" s="14">
        <v>0.93773206813225685</v>
      </c>
      <c r="T282">
        <v>54</v>
      </c>
      <c r="V282">
        <v>280</v>
      </c>
      <c r="W282">
        <v>115.44920999999999</v>
      </c>
      <c r="X282" s="14">
        <v>0.94189400998548278</v>
      </c>
      <c r="Y282">
        <v>31.861999999999998</v>
      </c>
      <c r="Z282" s="14">
        <v>0.94049235492059735</v>
      </c>
      <c r="AA282">
        <v>54</v>
      </c>
      <c r="AC282">
        <v>280</v>
      </c>
      <c r="AD282">
        <v>114.75268699999999</v>
      </c>
      <c r="AE282" s="14">
        <v>0.9451184891807386</v>
      </c>
      <c r="AF282">
        <v>31.667000000000002</v>
      </c>
      <c r="AG282" s="14">
        <v>0.94266662697585801</v>
      </c>
      <c r="AH282">
        <v>54</v>
      </c>
      <c r="AJ282">
        <v>280</v>
      </c>
      <c r="AK282">
        <v>114.08146000000001</v>
      </c>
      <c r="AL282" s="14">
        <v>0.9269596055544842</v>
      </c>
      <c r="AM282">
        <v>31.547000000000001</v>
      </c>
      <c r="AN282" s="14">
        <v>0.92280465687708424</v>
      </c>
      <c r="AO282">
        <v>54</v>
      </c>
      <c r="AQ282">
        <v>280</v>
      </c>
      <c r="AR282">
        <v>112.93477799999999</v>
      </c>
      <c r="AS282" s="14">
        <v>0.92691207394995956</v>
      </c>
      <c r="AT282">
        <v>31.263000000000002</v>
      </c>
      <c r="AU282" s="14">
        <v>0.92322003366506222</v>
      </c>
      <c r="AV282">
        <v>54</v>
      </c>
      <c r="AX282">
        <v>280</v>
      </c>
      <c r="AY282">
        <v>115.16612000000001</v>
      </c>
      <c r="AZ282" s="14">
        <v>0.93159452802558784</v>
      </c>
      <c r="BA282">
        <v>31.902999999999999</v>
      </c>
      <c r="BB282" s="14">
        <v>0.92946626267334809</v>
      </c>
      <c r="BC282">
        <v>54</v>
      </c>
    </row>
    <row r="283" spans="15:55" x14ac:dyDescent="0.35">
      <c r="O283">
        <v>281</v>
      </c>
      <c r="P283">
        <v>115.099906</v>
      </c>
      <c r="Q283" s="14">
        <v>0.93821356508428277</v>
      </c>
      <c r="R283">
        <v>31.812999999999999</v>
      </c>
      <c r="S283" s="14">
        <v>0.93749631637885311</v>
      </c>
      <c r="T283">
        <v>54</v>
      </c>
      <c r="V283">
        <v>281</v>
      </c>
      <c r="W283">
        <v>115.40102899999999</v>
      </c>
      <c r="X283" s="14">
        <v>0.94150092461664303</v>
      </c>
      <c r="Y283">
        <v>31.85</v>
      </c>
      <c r="Z283" s="14">
        <v>0.94013814274750584</v>
      </c>
      <c r="AA283">
        <v>54</v>
      </c>
      <c r="AC283">
        <v>281</v>
      </c>
      <c r="AD283">
        <v>114.699631</v>
      </c>
      <c r="AE283" s="14">
        <v>0.94468151286346969</v>
      </c>
      <c r="AF283">
        <v>31.655999999999999</v>
      </c>
      <c r="AG283" s="14">
        <v>0.94233917780489973</v>
      </c>
      <c r="AH283">
        <v>54</v>
      </c>
      <c r="AJ283">
        <v>281</v>
      </c>
      <c r="AK283">
        <v>114.04737299999999</v>
      </c>
      <c r="AL283" s="14">
        <v>0.92668263441408549</v>
      </c>
      <c r="AM283">
        <v>31.539000000000001</v>
      </c>
      <c r="AN283" s="14">
        <v>0.92257064295325575</v>
      </c>
      <c r="AO283">
        <v>54</v>
      </c>
      <c r="AQ283">
        <v>281</v>
      </c>
      <c r="AR283">
        <v>112.92236699999999</v>
      </c>
      <c r="AS283" s="14">
        <v>0.9268102106802607</v>
      </c>
      <c r="AT283">
        <v>31.257999999999999</v>
      </c>
      <c r="AU283" s="14">
        <v>0.92307237988364876</v>
      </c>
      <c r="AV283">
        <v>54</v>
      </c>
      <c r="AX283">
        <v>281</v>
      </c>
      <c r="AY283">
        <v>115.136133</v>
      </c>
      <c r="AZ283" s="14">
        <v>0.93135195907291402</v>
      </c>
      <c r="BA283">
        <v>31.896000000000001</v>
      </c>
      <c r="BB283" s="14">
        <v>0.92926232373849205</v>
      </c>
      <c r="BC283">
        <v>54</v>
      </c>
    </row>
    <row r="284" spans="15:55" x14ac:dyDescent="0.35">
      <c r="O284">
        <v>282</v>
      </c>
      <c r="P284">
        <v>115.109966</v>
      </c>
      <c r="Q284" s="14">
        <v>0.93829556713617623</v>
      </c>
      <c r="R284">
        <v>31.815000000000001</v>
      </c>
      <c r="S284" s="14">
        <v>0.9375552543172041</v>
      </c>
      <c r="T284">
        <v>54</v>
      </c>
      <c r="V284">
        <v>282</v>
      </c>
      <c r="W284">
        <v>115.368799</v>
      </c>
      <c r="X284" s="14">
        <v>0.94123797570653933</v>
      </c>
      <c r="Y284">
        <v>31.841999999999999</v>
      </c>
      <c r="Z284" s="14">
        <v>0.93990200129877788</v>
      </c>
      <c r="AA284">
        <v>54</v>
      </c>
      <c r="AC284">
        <v>282</v>
      </c>
      <c r="AD284">
        <v>114.663737</v>
      </c>
      <c r="AE284" s="14">
        <v>0.94438588507524501</v>
      </c>
      <c r="AF284">
        <v>31.646000000000001</v>
      </c>
      <c r="AG284" s="14">
        <v>0.94204149674039228</v>
      </c>
      <c r="AH284">
        <v>54</v>
      </c>
      <c r="AJ284">
        <v>282</v>
      </c>
      <c r="AK284">
        <v>114.034008</v>
      </c>
      <c r="AL284" s="14">
        <v>0.92657403819583728</v>
      </c>
      <c r="AM284">
        <v>31.532</v>
      </c>
      <c r="AN284" s="14">
        <v>0.92236588076990578</v>
      </c>
      <c r="AO284">
        <v>54</v>
      </c>
      <c r="AQ284">
        <v>282</v>
      </c>
      <c r="AR284">
        <v>112.909312</v>
      </c>
      <c r="AS284" s="14">
        <v>0.92670306178122619</v>
      </c>
      <c r="AT284">
        <v>31.253</v>
      </c>
      <c r="AU284" s="14">
        <v>0.92292472610223553</v>
      </c>
      <c r="AV284">
        <v>54</v>
      </c>
      <c r="AX284">
        <v>282</v>
      </c>
      <c r="AY284">
        <v>115.13181</v>
      </c>
      <c r="AZ284" s="14">
        <v>0.93131698973345334</v>
      </c>
      <c r="BA284">
        <v>31.891999999999999</v>
      </c>
      <c r="BB284" s="14">
        <v>0.92914578720428853</v>
      </c>
      <c r="BC284">
        <v>54</v>
      </c>
    </row>
    <row r="285" spans="15:55" x14ac:dyDescent="0.35">
      <c r="O285">
        <v>283</v>
      </c>
      <c r="P285">
        <v>115.12221700000001</v>
      </c>
      <c r="Q285" s="14">
        <v>0.93839542868068393</v>
      </c>
      <c r="R285">
        <v>31.815999999999999</v>
      </c>
      <c r="S285" s="14">
        <v>0.93758472328637943</v>
      </c>
      <c r="T285">
        <v>54</v>
      </c>
      <c r="V285">
        <v>283</v>
      </c>
      <c r="W285">
        <v>115.364006</v>
      </c>
      <c r="X285" s="14">
        <v>0.94119887194835983</v>
      </c>
      <c r="Y285">
        <v>31.838999999999999</v>
      </c>
      <c r="Z285" s="14">
        <v>0.93981344825550506</v>
      </c>
      <c r="AA285">
        <v>54</v>
      </c>
      <c r="AC285">
        <v>283</v>
      </c>
      <c r="AD285">
        <v>114.65771599999999</v>
      </c>
      <c r="AE285" s="14">
        <v>0.94433629531336549</v>
      </c>
      <c r="AF285">
        <v>31.643000000000001</v>
      </c>
      <c r="AG285" s="14">
        <v>0.94195219242104</v>
      </c>
      <c r="AH285">
        <v>54</v>
      </c>
      <c r="AJ285">
        <v>283</v>
      </c>
      <c r="AK285">
        <v>114.028149</v>
      </c>
      <c r="AL285" s="14">
        <v>0.92652643136884771</v>
      </c>
      <c r="AM285">
        <v>31.529</v>
      </c>
      <c r="AN285" s="14">
        <v>0.92227812554847011</v>
      </c>
      <c r="AO285">
        <v>54</v>
      </c>
      <c r="AQ285">
        <v>283</v>
      </c>
      <c r="AR285">
        <v>112.885941</v>
      </c>
      <c r="AS285" s="14">
        <v>0.92651124432283194</v>
      </c>
      <c r="AT285">
        <v>31.245999999999999</v>
      </c>
      <c r="AU285" s="14">
        <v>0.92271801080825677</v>
      </c>
      <c r="AV285">
        <v>54</v>
      </c>
      <c r="AX285">
        <v>283</v>
      </c>
      <c r="AY285">
        <v>115.081541</v>
      </c>
      <c r="AZ285" s="14">
        <v>0.9309103569031616</v>
      </c>
      <c r="BA285">
        <v>31.88</v>
      </c>
      <c r="BB285" s="14">
        <v>0.9287961776016781</v>
      </c>
      <c r="BC285">
        <v>54</v>
      </c>
    </row>
    <row r="286" spans="15:55" x14ac:dyDescent="0.35">
      <c r="O286">
        <v>284</v>
      </c>
      <c r="P286">
        <v>115.085005</v>
      </c>
      <c r="Q286" s="14">
        <v>0.93809210260165199</v>
      </c>
      <c r="R286">
        <v>31.806000000000001</v>
      </c>
      <c r="S286" s="14">
        <v>0.93729003359462493</v>
      </c>
      <c r="T286">
        <v>54</v>
      </c>
      <c r="V286">
        <v>284</v>
      </c>
      <c r="W286">
        <v>115.33941799999999</v>
      </c>
      <c r="X286" s="14">
        <v>0.94099827040316497</v>
      </c>
      <c r="Y286">
        <v>31.83</v>
      </c>
      <c r="Z286" s="14">
        <v>0.93954778912568626</v>
      </c>
      <c r="AA286">
        <v>54</v>
      </c>
      <c r="AC286">
        <v>284</v>
      </c>
      <c r="AD286">
        <v>114.654087</v>
      </c>
      <c r="AE286" s="14">
        <v>0.94430640638364294</v>
      </c>
      <c r="AF286">
        <v>31.64</v>
      </c>
      <c r="AG286" s="14">
        <v>0.94186288810168772</v>
      </c>
      <c r="AH286">
        <v>54</v>
      </c>
      <c r="AJ286">
        <v>284</v>
      </c>
      <c r="AK286">
        <v>114.018817</v>
      </c>
      <c r="AL286" s="14">
        <v>0.9264506049634087</v>
      </c>
      <c r="AM286">
        <v>31.524000000000001</v>
      </c>
      <c r="AN286" s="14">
        <v>0.9221318668460774</v>
      </c>
      <c r="AO286">
        <v>54</v>
      </c>
      <c r="AQ286">
        <v>284</v>
      </c>
      <c r="AR286">
        <v>112.833642</v>
      </c>
      <c r="AS286" s="14">
        <v>0.9260820003342749</v>
      </c>
      <c r="AT286">
        <v>31.233000000000001</v>
      </c>
      <c r="AU286" s="14">
        <v>0.92233411097658213</v>
      </c>
      <c r="AV286">
        <v>54</v>
      </c>
      <c r="AX286">
        <v>284</v>
      </c>
      <c r="AY286">
        <v>115.051141</v>
      </c>
      <c r="AZ286" s="14">
        <v>0.93066444713688679</v>
      </c>
      <c r="BA286">
        <v>31.870999999999999</v>
      </c>
      <c r="BB286" s="14">
        <v>0.9285339703997203</v>
      </c>
      <c r="BC286">
        <v>54</v>
      </c>
    </row>
    <row r="287" spans="15:55" x14ac:dyDescent="0.35">
      <c r="O287">
        <v>285</v>
      </c>
      <c r="P287">
        <v>115.06850300000001</v>
      </c>
      <c r="Q287" s="14">
        <v>0.93795758989187616</v>
      </c>
      <c r="R287">
        <v>31.8</v>
      </c>
      <c r="S287" s="14">
        <v>0.93711321977957218</v>
      </c>
      <c r="T287">
        <v>54</v>
      </c>
      <c r="V287">
        <v>285</v>
      </c>
      <c r="W287">
        <v>115.30381800000001</v>
      </c>
      <c r="X287" s="14">
        <v>0.94070782730047531</v>
      </c>
      <c r="Y287">
        <v>31.821999999999999</v>
      </c>
      <c r="Z287" s="14">
        <v>0.93931164767695852</v>
      </c>
      <c r="AA287">
        <v>54</v>
      </c>
      <c r="AC287">
        <v>285</v>
      </c>
      <c r="AD287">
        <v>114.58205599999999</v>
      </c>
      <c r="AE287" s="14">
        <v>0.94371314942666906</v>
      </c>
      <c r="AF287">
        <v>31.623000000000001</v>
      </c>
      <c r="AG287" s="14">
        <v>0.9413568302920251</v>
      </c>
      <c r="AH287">
        <v>54</v>
      </c>
      <c r="AJ287">
        <v>285</v>
      </c>
      <c r="AK287">
        <v>113.963219</v>
      </c>
      <c r="AL287" s="14">
        <v>0.92599884794566345</v>
      </c>
      <c r="AM287">
        <v>31.51</v>
      </c>
      <c r="AN287" s="14">
        <v>0.92172234247937757</v>
      </c>
      <c r="AO287">
        <v>54</v>
      </c>
      <c r="AQ287">
        <v>285</v>
      </c>
      <c r="AR287">
        <v>112.80384599999999</v>
      </c>
      <c r="AS287" s="14">
        <v>0.92583744969500759</v>
      </c>
      <c r="AT287">
        <v>31.225000000000001</v>
      </c>
      <c r="AU287" s="14">
        <v>0.92209786492632084</v>
      </c>
      <c r="AV287">
        <v>54</v>
      </c>
      <c r="AX287">
        <v>285</v>
      </c>
      <c r="AY287">
        <v>115.00541</v>
      </c>
      <c r="AZ287" s="14">
        <v>0.93029452281052116</v>
      </c>
      <c r="BA287">
        <v>31.86</v>
      </c>
      <c r="BB287" s="14">
        <v>0.92821349493066074</v>
      </c>
      <c r="BC287">
        <v>54</v>
      </c>
    </row>
    <row r="288" spans="15:55" x14ac:dyDescent="0.35">
      <c r="O288">
        <v>286</v>
      </c>
      <c r="P288">
        <v>115.044955</v>
      </c>
      <c r="Q288" s="14">
        <v>0.93776564314058508</v>
      </c>
      <c r="R288">
        <v>31.792999999999999</v>
      </c>
      <c r="S288" s="14">
        <v>0.936906936995344</v>
      </c>
      <c r="T288">
        <v>54</v>
      </c>
      <c r="V288">
        <v>286</v>
      </c>
      <c r="W288">
        <v>115.256725</v>
      </c>
      <c r="X288" s="14">
        <v>0.94032361839499856</v>
      </c>
      <c r="Y288">
        <v>31.811</v>
      </c>
      <c r="Z288" s="14">
        <v>0.93898695318495784</v>
      </c>
      <c r="AA288">
        <v>54</v>
      </c>
      <c r="AC288">
        <v>286</v>
      </c>
      <c r="AD288">
        <v>114.555916</v>
      </c>
      <c r="AE288" s="14">
        <v>0.94349785688796639</v>
      </c>
      <c r="AF288">
        <v>31.617000000000001</v>
      </c>
      <c r="AG288" s="14">
        <v>0.94117822165332055</v>
      </c>
      <c r="AH288">
        <v>54</v>
      </c>
      <c r="AJ288">
        <v>286</v>
      </c>
      <c r="AK288">
        <v>113.921691</v>
      </c>
      <c r="AL288" s="14">
        <v>0.92566141556620873</v>
      </c>
      <c r="AM288">
        <v>31.5</v>
      </c>
      <c r="AN288" s="14">
        <v>0.92142982507459192</v>
      </c>
      <c r="AO288">
        <v>54</v>
      </c>
      <c r="AQ288">
        <v>286</v>
      </c>
      <c r="AR288">
        <v>112.78319399999999</v>
      </c>
      <c r="AS288" s="14">
        <v>0.92566794842630884</v>
      </c>
      <c r="AT288">
        <v>31.216999999999999</v>
      </c>
      <c r="AU288" s="14">
        <v>0.92186161887605944</v>
      </c>
      <c r="AV288">
        <v>54</v>
      </c>
      <c r="AX288">
        <v>286</v>
      </c>
      <c r="AY288">
        <v>114.982533</v>
      </c>
      <c r="AZ288" s="14">
        <v>0.93010946762226232</v>
      </c>
      <c r="BA288">
        <v>31.852</v>
      </c>
      <c r="BB288" s="14">
        <v>0.92798042186225382</v>
      </c>
      <c r="BC288">
        <v>54</v>
      </c>
    </row>
    <row r="289" spans="15:55" x14ac:dyDescent="0.35">
      <c r="O289">
        <v>287</v>
      </c>
      <c r="P289">
        <v>115.022812</v>
      </c>
      <c r="Q289" s="14">
        <v>0.93758514896214795</v>
      </c>
      <c r="R289">
        <v>31.786999999999999</v>
      </c>
      <c r="S289" s="14">
        <v>0.93673012318029114</v>
      </c>
      <c r="T289">
        <v>54</v>
      </c>
      <c r="V289">
        <v>287</v>
      </c>
      <c r="W289">
        <v>115.22691399999999</v>
      </c>
      <c r="X289" s="14">
        <v>0.94008040493055234</v>
      </c>
      <c r="Y289">
        <v>31.803000000000001</v>
      </c>
      <c r="Z289" s="14">
        <v>0.93875081173622998</v>
      </c>
      <c r="AA289">
        <v>54</v>
      </c>
      <c r="AC289">
        <v>287</v>
      </c>
      <c r="AD289">
        <v>114.50914299999999</v>
      </c>
      <c r="AE289" s="14">
        <v>0.94311262819964425</v>
      </c>
      <c r="AF289">
        <v>31.603999999999999</v>
      </c>
      <c r="AG289" s="14">
        <v>0.94079123626946082</v>
      </c>
      <c r="AH289">
        <v>54</v>
      </c>
      <c r="AJ289">
        <v>287</v>
      </c>
      <c r="AK289">
        <v>113.892687</v>
      </c>
      <c r="AL289" s="14">
        <v>0.92542574592804405</v>
      </c>
      <c r="AM289">
        <v>31.492000000000001</v>
      </c>
      <c r="AN289" s="14">
        <v>0.92119581115076354</v>
      </c>
      <c r="AO289">
        <v>54</v>
      </c>
      <c r="AQ289">
        <v>287</v>
      </c>
      <c r="AR289">
        <v>112.763721</v>
      </c>
      <c r="AS289" s="14">
        <v>0.92550812379889402</v>
      </c>
      <c r="AT289">
        <v>31.21</v>
      </c>
      <c r="AU289" s="14">
        <v>0.9216549035820808</v>
      </c>
      <c r="AV289">
        <v>54</v>
      </c>
      <c r="AX289">
        <v>287</v>
      </c>
      <c r="AY289">
        <v>114.986375</v>
      </c>
      <c r="AZ289" s="14">
        <v>0.93014054608680263</v>
      </c>
      <c r="BA289">
        <v>31.852</v>
      </c>
      <c r="BB289" s="14">
        <v>0.92798042186225382</v>
      </c>
      <c r="BC289">
        <v>54</v>
      </c>
    </row>
    <row r="290" spans="15:55" x14ac:dyDescent="0.35">
      <c r="O290">
        <v>288</v>
      </c>
      <c r="P290">
        <v>115.000203</v>
      </c>
      <c r="Q290" s="14">
        <v>0.93740085627912006</v>
      </c>
      <c r="R290">
        <v>31.779</v>
      </c>
      <c r="S290" s="14">
        <v>0.93649437142688752</v>
      </c>
      <c r="T290">
        <v>54</v>
      </c>
      <c r="V290">
        <v>288</v>
      </c>
      <c r="W290">
        <v>115.225694</v>
      </c>
      <c r="X290" s="14">
        <v>0.94007045154332536</v>
      </c>
      <c r="Y290">
        <v>31.800999999999998</v>
      </c>
      <c r="Z290" s="14">
        <v>0.93869177637404799</v>
      </c>
      <c r="AA290">
        <v>54</v>
      </c>
      <c r="AC290">
        <v>288</v>
      </c>
      <c r="AD290">
        <v>114.506192</v>
      </c>
      <c r="AE290" s="14">
        <v>0.94308832336866832</v>
      </c>
      <c r="AF290">
        <v>31.602</v>
      </c>
      <c r="AG290" s="14">
        <v>0.94073170005655926</v>
      </c>
      <c r="AH290">
        <v>54</v>
      </c>
      <c r="AJ290">
        <v>288</v>
      </c>
      <c r="AK290">
        <v>113.87186800000001</v>
      </c>
      <c r="AL290" s="14">
        <v>0.92525658284029921</v>
      </c>
      <c r="AM290">
        <v>31.484000000000002</v>
      </c>
      <c r="AN290" s="14">
        <v>0.92096179722693505</v>
      </c>
      <c r="AO290">
        <v>54</v>
      </c>
      <c r="AQ290">
        <v>288</v>
      </c>
      <c r="AR290">
        <v>112.70406699999999</v>
      </c>
      <c r="AS290" s="14">
        <v>0.92501851365542331</v>
      </c>
      <c r="AT290">
        <v>31.196999999999999</v>
      </c>
      <c r="AU290" s="14">
        <v>0.92127100375040605</v>
      </c>
      <c r="AV290">
        <v>54</v>
      </c>
      <c r="AX290">
        <v>288</v>
      </c>
      <c r="AY290">
        <v>114.994685</v>
      </c>
      <c r="AZ290" s="14">
        <v>0.93020776681567596</v>
      </c>
      <c r="BA290">
        <v>31.850999999999999</v>
      </c>
      <c r="BB290" s="14">
        <v>0.92795128772870294</v>
      </c>
      <c r="BC290">
        <v>54</v>
      </c>
    </row>
    <row r="291" spans="15:55" x14ac:dyDescent="0.35">
      <c r="O291">
        <v>289</v>
      </c>
      <c r="P291">
        <v>114.948537</v>
      </c>
      <c r="Q291" s="14">
        <v>0.93697971134739755</v>
      </c>
      <c r="R291">
        <v>31.766999999999999</v>
      </c>
      <c r="S291" s="14">
        <v>0.93614074379678203</v>
      </c>
      <c r="T291">
        <v>54</v>
      </c>
      <c r="V291">
        <v>289</v>
      </c>
      <c r="W291">
        <v>115.243621</v>
      </c>
      <c r="X291" s="14">
        <v>0.94021670922596357</v>
      </c>
      <c r="Y291">
        <v>31.803000000000001</v>
      </c>
      <c r="Z291" s="14">
        <v>0.93875081173622998</v>
      </c>
      <c r="AA291">
        <v>54</v>
      </c>
      <c r="AC291">
        <v>289</v>
      </c>
      <c r="AD291">
        <v>114.521368</v>
      </c>
      <c r="AE291" s="14">
        <v>0.94321331493589677</v>
      </c>
      <c r="AF291">
        <v>31.603999999999999</v>
      </c>
      <c r="AG291" s="14">
        <v>0.94079123626946082</v>
      </c>
      <c r="AH291">
        <v>54</v>
      </c>
      <c r="AJ291">
        <v>289</v>
      </c>
      <c r="AK291">
        <v>113.800676</v>
      </c>
      <c r="AL291" s="14">
        <v>0.92467811804646993</v>
      </c>
      <c r="AM291">
        <v>31.469000000000001</v>
      </c>
      <c r="AN291" s="14">
        <v>0.9205230211197567</v>
      </c>
      <c r="AO291">
        <v>54</v>
      </c>
      <c r="AQ291">
        <v>289</v>
      </c>
      <c r="AR291">
        <v>112.674781</v>
      </c>
      <c r="AS291" s="14">
        <v>0.92477814884062992</v>
      </c>
      <c r="AT291">
        <v>31.187999999999999</v>
      </c>
      <c r="AU291" s="14">
        <v>0.921005226943862</v>
      </c>
      <c r="AV291">
        <v>54</v>
      </c>
      <c r="AX291">
        <v>289</v>
      </c>
      <c r="AY291">
        <v>114.95199100000001</v>
      </c>
      <c r="AZ291" s="14">
        <v>0.9298624091985267</v>
      </c>
      <c r="BA291">
        <v>31.84</v>
      </c>
      <c r="BB291" s="14">
        <v>0.9276308122596435</v>
      </c>
      <c r="BC291">
        <v>54</v>
      </c>
    </row>
    <row r="292" spans="15:55" x14ac:dyDescent="0.35">
      <c r="O292">
        <v>290</v>
      </c>
      <c r="P292">
        <v>114.92710700000001</v>
      </c>
      <c r="Q292" s="14">
        <v>0.93680502904401008</v>
      </c>
      <c r="R292">
        <v>31.76</v>
      </c>
      <c r="S292" s="14">
        <v>0.93593446101255384</v>
      </c>
      <c r="T292">
        <v>54</v>
      </c>
      <c r="V292">
        <v>290</v>
      </c>
      <c r="W292">
        <v>115.212216</v>
      </c>
      <c r="X292" s="14">
        <v>0.93996049109000923</v>
      </c>
      <c r="Y292">
        <v>31.792999999999999</v>
      </c>
      <c r="Z292" s="14">
        <v>0.93845563492532025</v>
      </c>
      <c r="AA292">
        <v>54</v>
      </c>
      <c r="AC292">
        <v>290</v>
      </c>
      <c r="AD292">
        <v>114.51231199999999</v>
      </c>
      <c r="AE292" s="14">
        <v>0.94313872850779845</v>
      </c>
      <c r="AF292">
        <v>31.599</v>
      </c>
      <c r="AG292" s="14">
        <v>0.94064239573720709</v>
      </c>
      <c r="AH292">
        <v>54</v>
      </c>
      <c r="AJ292">
        <v>290</v>
      </c>
      <c r="AK292">
        <v>113.786537</v>
      </c>
      <c r="AL292" s="14">
        <v>0.92456323275430297</v>
      </c>
      <c r="AM292">
        <v>31.462</v>
      </c>
      <c r="AN292" s="14">
        <v>0.92031825893640673</v>
      </c>
      <c r="AO292">
        <v>54</v>
      </c>
      <c r="AQ292">
        <v>290</v>
      </c>
      <c r="AR292">
        <v>112.63406000000001</v>
      </c>
      <c r="AS292" s="14">
        <v>0.92444393127513114</v>
      </c>
      <c r="AT292">
        <v>31.178000000000001</v>
      </c>
      <c r="AU292" s="14">
        <v>0.92070991938103541</v>
      </c>
      <c r="AV292">
        <v>54</v>
      </c>
      <c r="AX292">
        <v>290</v>
      </c>
      <c r="AY292">
        <v>114.933537</v>
      </c>
      <c r="AZ292" s="14">
        <v>0.92971313226343333</v>
      </c>
      <c r="BA292">
        <v>31.834</v>
      </c>
      <c r="BB292" s="14">
        <v>0.92745600745833823</v>
      </c>
      <c r="BC292">
        <v>54</v>
      </c>
    </row>
    <row r="293" spans="15:55" x14ac:dyDescent="0.35">
      <c r="O293">
        <v>291</v>
      </c>
      <c r="P293">
        <v>114.875236</v>
      </c>
      <c r="Q293" s="14">
        <v>0.93638221309631953</v>
      </c>
      <c r="R293">
        <v>31.747</v>
      </c>
      <c r="S293" s="14">
        <v>0.93555136441327291</v>
      </c>
      <c r="T293">
        <v>54</v>
      </c>
      <c r="V293">
        <v>291</v>
      </c>
      <c r="W293">
        <v>115.198272</v>
      </c>
      <c r="X293" s="14">
        <v>0.93984672876911302</v>
      </c>
      <c r="Y293">
        <v>31.79</v>
      </c>
      <c r="Z293" s="14">
        <v>0.93836708188204732</v>
      </c>
      <c r="AA293">
        <v>54</v>
      </c>
      <c r="AC293">
        <v>291</v>
      </c>
      <c r="AD293">
        <v>114.484292</v>
      </c>
      <c r="AE293" s="14">
        <v>0.94290795203746758</v>
      </c>
      <c r="AF293">
        <v>31.591000000000001</v>
      </c>
      <c r="AG293" s="14">
        <v>0.94040425088560109</v>
      </c>
      <c r="AH293">
        <v>54</v>
      </c>
      <c r="AJ293">
        <v>291</v>
      </c>
      <c r="AK293">
        <v>113.743278</v>
      </c>
      <c r="AL293" s="14">
        <v>0.92421173527542544</v>
      </c>
      <c r="AM293">
        <v>31.451000000000001</v>
      </c>
      <c r="AN293" s="14">
        <v>0.91999648979114257</v>
      </c>
      <c r="AO293">
        <v>54</v>
      </c>
      <c r="AQ293">
        <v>291</v>
      </c>
      <c r="AR293">
        <v>112.62513800000001</v>
      </c>
      <c r="AS293" s="14">
        <v>0.92437070396933363</v>
      </c>
      <c r="AT293">
        <v>31.173999999999999</v>
      </c>
      <c r="AU293" s="14">
        <v>0.92059179635590471</v>
      </c>
      <c r="AV293">
        <v>54</v>
      </c>
      <c r="AX293">
        <v>291</v>
      </c>
      <c r="AY293">
        <v>114.909069</v>
      </c>
      <c r="AZ293" s="14">
        <v>0.9295152072581303</v>
      </c>
      <c r="BA293">
        <v>31.826000000000001</v>
      </c>
      <c r="BB293" s="14">
        <v>0.92722293438993131</v>
      </c>
      <c r="BC293">
        <v>54</v>
      </c>
    </row>
    <row r="294" spans="15:55" x14ac:dyDescent="0.35">
      <c r="O294">
        <v>292</v>
      </c>
      <c r="P294">
        <v>115.081692</v>
      </c>
      <c r="Q294" s="14">
        <v>0.93806509735334953</v>
      </c>
      <c r="R294">
        <v>31.82</v>
      </c>
      <c r="S294" s="14">
        <v>0.93770259916308141</v>
      </c>
      <c r="T294">
        <v>54</v>
      </c>
      <c r="V294">
        <v>292</v>
      </c>
      <c r="W294">
        <v>115.180858</v>
      </c>
      <c r="X294" s="14">
        <v>0.93970465640421863</v>
      </c>
      <c r="Y294">
        <v>31.783999999999999</v>
      </c>
      <c r="Z294" s="14">
        <v>0.93818997579550145</v>
      </c>
      <c r="AA294">
        <v>54</v>
      </c>
      <c r="AC294">
        <v>292</v>
      </c>
      <c r="AD294">
        <v>114.478133</v>
      </c>
      <c r="AE294" s="14">
        <v>0.94285722568911756</v>
      </c>
      <c r="AF294">
        <v>31.588999999999999</v>
      </c>
      <c r="AG294" s="14">
        <v>0.94034471467269953</v>
      </c>
      <c r="AH294">
        <v>54</v>
      </c>
      <c r="AJ294">
        <v>292</v>
      </c>
      <c r="AK294">
        <v>113.727852</v>
      </c>
      <c r="AL294" s="14">
        <v>0.92408639256964931</v>
      </c>
      <c r="AM294">
        <v>31.445</v>
      </c>
      <c r="AN294" s="14">
        <v>0.91982097934827123</v>
      </c>
      <c r="AO294">
        <v>54</v>
      </c>
      <c r="AQ294">
        <v>292</v>
      </c>
      <c r="AR294">
        <v>112.636336</v>
      </c>
      <c r="AS294" s="14">
        <v>0.92446261154278353</v>
      </c>
      <c r="AT294">
        <v>31.172999999999998</v>
      </c>
      <c r="AU294" s="14">
        <v>0.92056226559962195</v>
      </c>
      <c r="AV294">
        <v>54</v>
      </c>
      <c r="AX294">
        <v>292</v>
      </c>
      <c r="AY294">
        <v>114.879805</v>
      </c>
      <c r="AZ294" s="14">
        <v>0.92927848675154268</v>
      </c>
      <c r="BA294">
        <v>31.818999999999999</v>
      </c>
      <c r="BB294" s="14">
        <v>0.92701899545507516</v>
      </c>
      <c r="BC294">
        <v>54</v>
      </c>
    </row>
    <row r="295" spans="15:55" x14ac:dyDescent="0.35">
      <c r="O295">
        <v>293</v>
      </c>
      <c r="P295">
        <v>115.12922500000001</v>
      </c>
      <c r="Q295" s="14">
        <v>0.93845255297289765</v>
      </c>
      <c r="R295">
        <v>31.818999999999999</v>
      </c>
      <c r="S295" s="14">
        <v>0.93767313019390586</v>
      </c>
      <c r="T295">
        <v>54</v>
      </c>
      <c r="V295">
        <v>293</v>
      </c>
      <c r="W295">
        <v>115.157524</v>
      </c>
      <c r="X295" s="14">
        <v>0.93951428563573092</v>
      </c>
      <c r="Y295">
        <v>31.777000000000001</v>
      </c>
      <c r="Z295" s="14">
        <v>0.93798335202786476</v>
      </c>
      <c r="AA295">
        <v>54</v>
      </c>
      <c r="AC295">
        <v>293</v>
      </c>
      <c r="AD295">
        <v>114.45032399999999</v>
      </c>
      <c r="AE295" s="14">
        <v>0.94262818704302787</v>
      </c>
      <c r="AF295">
        <v>31.581</v>
      </c>
      <c r="AG295" s="14">
        <v>0.94010656982109353</v>
      </c>
      <c r="AH295">
        <v>54</v>
      </c>
      <c r="AJ295">
        <v>293</v>
      </c>
      <c r="AK295">
        <v>113.734938</v>
      </c>
      <c r="AL295" s="14">
        <v>0.92414396928513809</v>
      </c>
      <c r="AM295">
        <v>31.445</v>
      </c>
      <c r="AN295" s="14">
        <v>0.91982097934827123</v>
      </c>
      <c r="AO295">
        <v>54</v>
      </c>
      <c r="AQ295">
        <v>293</v>
      </c>
      <c r="AR295">
        <v>112.612188</v>
      </c>
      <c r="AS295" s="14">
        <v>0.92426441685769067</v>
      </c>
      <c r="AT295">
        <v>31.166</v>
      </c>
      <c r="AU295" s="14">
        <v>0.92035555030564331</v>
      </c>
      <c r="AV295">
        <v>54</v>
      </c>
      <c r="AX295">
        <v>293</v>
      </c>
      <c r="AY295">
        <v>114.857041</v>
      </c>
      <c r="AZ295" s="14">
        <v>0.9290943456357702</v>
      </c>
      <c r="BA295">
        <v>31.812000000000001</v>
      </c>
      <c r="BB295" s="14">
        <v>0.92681505652021923</v>
      </c>
      <c r="BC295">
        <v>54</v>
      </c>
    </row>
    <row r="296" spans="15:55" x14ac:dyDescent="0.35">
      <c r="O296">
        <v>294</v>
      </c>
      <c r="P296">
        <v>115.054728</v>
      </c>
      <c r="Q296" s="14">
        <v>0.93784530577012326</v>
      </c>
      <c r="R296">
        <v>31.797000000000001</v>
      </c>
      <c r="S296" s="14">
        <v>0.93702481287204586</v>
      </c>
      <c r="T296">
        <v>54</v>
      </c>
      <c r="V296">
        <v>294</v>
      </c>
      <c r="W296">
        <v>115.13872000000001</v>
      </c>
      <c r="X296" s="14">
        <v>0.93936087293620907</v>
      </c>
      <c r="Y296">
        <v>31.771999999999998</v>
      </c>
      <c r="Z296" s="14">
        <v>0.93783576362240972</v>
      </c>
      <c r="AA296">
        <v>54</v>
      </c>
      <c r="AC296">
        <v>294</v>
      </c>
      <c r="AD296">
        <v>114.426213</v>
      </c>
      <c r="AE296" s="14">
        <v>0.9424296056198963</v>
      </c>
      <c r="AF296">
        <v>31.574000000000002</v>
      </c>
      <c r="AG296" s="14">
        <v>0.93989819307593836</v>
      </c>
      <c r="AH296">
        <v>54</v>
      </c>
      <c r="AJ296">
        <v>294</v>
      </c>
      <c r="AK296">
        <v>113.735837</v>
      </c>
      <c r="AL296" s="14">
        <v>0.92415127403636932</v>
      </c>
      <c r="AM296">
        <v>31.442</v>
      </c>
      <c r="AN296" s="14">
        <v>0.91973322412683556</v>
      </c>
      <c r="AO296">
        <v>54</v>
      </c>
      <c r="AQ296">
        <v>294</v>
      </c>
      <c r="AR296">
        <v>112.572661</v>
      </c>
      <c r="AS296" s="14">
        <v>0.92393999904596025</v>
      </c>
      <c r="AT296">
        <v>31.155999999999999</v>
      </c>
      <c r="AU296" s="14">
        <v>0.92006024274281661</v>
      </c>
      <c r="AV296">
        <v>54</v>
      </c>
      <c r="AX296">
        <v>294</v>
      </c>
      <c r="AY296">
        <v>114.805522</v>
      </c>
      <c r="AZ296" s="14">
        <v>0.92867760138416777</v>
      </c>
      <c r="BA296">
        <v>31.797999999999998</v>
      </c>
      <c r="BB296" s="14">
        <v>0.92640717865050692</v>
      </c>
      <c r="BC296">
        <v>54</v>
      </c>
    </row>
    <row r="297" spans="15:55" x14ac:dyDescent="0.35">
      <c r="O297">
        <v>295</v>
      </c>
      <c r="P297">
        <v>114.992158</v>
      </c>
      <c r="Q297" s="14">
        <v>0.9373352790914975</v>
      </c>
      <c r="R297">
        <v>31.78</v>
      </c>
      <c r="S297" s="14">
        <v>0.93652384039606307</v>
      </c>
      <c r="T297">
        <v>54</v>
      </c>
      <c r="V297">
        <v>295</v>
      </c>
      <c r="W297">
        <v>115.09996099999999</v>
      </c>
      <c r="X297" s="14">
        <v>0.93904465708741258</v>
      </c>
      <c r="Y297">
        <v>31.762</v>
      </c>
      <c r="Z297" s="14">
        <v>0.9375405868115001</v>
      </c>
      <c r="AA297">
        <v>54</v>
      </c>
      <c r="AC297">
        <v>295</v>
      </c>
      <c r="AD297">
        <v>114.403058</v>
      </c>
      <c r="AE297" s="14">
        <v>0.94223889794072035</v>
      </c>
      <c r="AF297">
        <v>31.567</v>
      </c>
      <c r="AG297" s="14">
        <v>0.93968981633078308</v>
      </c>
      <c r="AH297">
        <v>54</v>
      </c>
      <c r="AJ297">
        <v>295</v>
      </c>
      <c r="AK297">
        <v>113.683172</v>
      </c>
      <c r="AL297" s="14">
        <v>0.92372334887108365</v>
      </c>
      <c r="AM297">
        <v>31.428000000000001</v>
      </c>
      <c r="AN297" s="14">
        <v>0.91932369976013573</v>
      </c>
      <c r="AO297">
        <v>54</v>
      </c>
      <c r="AQ297">
        <v>295</v>
      </c>
      <c r="AR297">
        <v>112.552499</v>
      </c>
      <c r="AS297" s="14">
        <v>0.92377451945175604</v>
      </c>
      <c r="AT297">
        <v>31.149000000000001</v>
      </c>
      <c r="AU297" s="14">
        <v>0.91985352744883797</v>
      </c>
      <c r="AV297">
        <v>54</v>
      </c>
      <c r="AX297">
        <v>295</v>
      </c>
      <c r="AY297">
        <v>114.774281</v>
      </c>
      <c r="AZ297" s="14">
        <v>0.92842488865363526</v>
      </c>
      <c r="BA297">
        <v>31.79</v>
      </c>
      <c r="BB297" s="14">
        <v>0.9261741055821</v>
      </c>
      <c r="BC297">
        <v>54</v>
      </c>
    </row>
    <row r="298" spans="15:55" x14ac:dyDescent="0.35">
      <c r="O298">
        <v>296</v>
      </c>
      <c r="P298">
        <v>114.964067</v>
      </c>
      <c r="Q298" s="14">
        <v>0.93710630099609593</v>
      </c>
      <c r="R298">
        <v>31.768999999999998</v>
      </c>
      <c r="S298" s="14">
        <v>0.9361996817351329</v>
      </c>
      <c r="T298">
        <v>54</v>
      </c>
      <c r="V298">
        <v>296</v>
      </c>
      <c r="W298">
        <v>115.07190900000001</v>
      </c>
      <c r="X298" s="14">
        <v>0.93881579444930441</v>
      </c>
      <c r="Y298">
        <v>31.754999999999999</v>
      </c>
      <c r="Z298" s="14">
        <v>0.93733396304386329</v>
      </c>
      <c r="AA298">
        <v>54</v>
      </c>
      <c r="AC298">
        <v>296</v>
      </c>
      <c r="AD298">
        <v>114.354361</v>
      </c>
      <c r="AE298" s="14">
        <v>0.94183782293088081</v>
      </c>
      <c r="AF298">
        <v>31.556000000000001</v>
      </c>
      <c r="AG298" s="14">
        <v>0.93936236715982491</v>
      </c>
      <c r="AH298">
        <v>54</v>
      </c>
      <c r="AJ298">
        <v>296</v>
      </c>
      <c r="AK298">
        <v>113.66309699999999</v>
      </c>
      <c r="AL298" s="14">
        <v>0.92356023109470253</v>
      </c>
      <c r="AM298">
        <v>31.422999999999998</v>
      </c>
      <c r="AN298" s="14">
        <v>0.91917744105774291</v>
      </c>
      <c r="AO298">
        <v>54</v>
      </c>
      <c r="AQ298">
        <v>296</v>
      </c>
      <c r="AR298">
        <v>112.51774</v>
      </c>
      <c r="AS298" s="14">
        <v>0.92348923499510782</v>
      </c>
      <c r="AT298">
        <v>31.138999999999999</v>
      </c>
      <c r="AU298" s="14">
        <v>0.91955821988601127</v>
      </c>
      <c r="AV298">
        <v>54</v>
      </c>
      <c r="AX298">
        <v>296</v>
      </c>
      <c r="AY298">
        <v>114.718842</v>
      </c>
      <c r="AZ298" s="14">
        <v>0.92797643498480265</v>
      </c>
      <c r="BA298">
        <v>31.777000000000001</v>
      </c>
      <c r="BB298" s="14">
        <v>0.9257953618459388</v>
      </c>
      <c r="BC298">
        <v>54</v>
      </c>
    </row>
    <row r="299" spans="15:55" x14ac:dyDescent="0.35">
      <c r="O299">
        <v>297</v>
      </c>
      <c r="P299">
        <v>114.965384</v>
      </c>
      <c r="Q299" s="14">
        <v>0.93711703625477816</v>
      </c>
      <c r="R299">
        <v>31.766999999999999</v>
      </c>
      <c r="S299" s="14">
        <v>0.93614074379678203</v>
      </c>
      <c r="T299">
        <v>54</v>
      </c>
      <c r="V299">
        <v>297</v>
      </c>
      <c r="W299">
        <v>115.02819599999999</v>
      </c>
      <c r="X299" s="14">
        <v>0.93845916132155494</v>
      </c>
      <c r="Y299">
        <v>31.742000000000001</v>
      </c>
      <c r="Z299" s="14">
        <v>0.93695023318968063</v>
      </c>
      <c r="AA299">
        <v>54</v>
      </c>
      <c r="AC299">
        <v>297</v>
      </c>
      <c r="AD299">
        <v>114.336234</v>
      </c>
      <c r="AE299" s="14">
        <v>0.94168852653267643</v>
      </c>
      <c r="AF299">
        <v>31.55</v>
      </c>
      <c r="AG299" s="14">
        <v>0.93918375852112035</v>
      </c>
      <c r="AH299">
        <v>54</v>
      </c>
      <c r="AJ299">
        <v>297</v>
      </c>
      <c r="AK299">
        <v>113.625332</v>
      </c>
      <c r="AL299" s="14">
        <v>0.92325337466506219</v>
      </c>
      <c r="AM299">
        <v>31.413</v>
      </c>
      <c r="AN299" s="14">
        <v>0.91888492365295737</v>
      </c>
      <c r="AO299">
        <v>54</v>
      </c>
      <c r="AQ299">
        <v>297</v>
      </c>
      <c r="AR299">
        <v>112.49331599999999</v>
      </c>
      <c r="AS299" s="14">
        <v>0.92328877504029949</v>
      </c>
      <c r="AT299">
        <v>31.132000000000001</v>
      </c>
      <c r="AU299" s="14">
        <v>0.91935150459203263</v>
      </c>
      <c r="AV299">
        <v>54</v>
      </c>
      <c r="AX299">
        <v>297</v>
      </c>
      <c r="AY299">
        <v>114.953357</v>
      </c>
      <c r="AZ299" s="14">
        <v>0.92987345895973483</v>
      </c>
      <c r="BA299">
        <v>31.847999999999999</v>
      </c>
      <c r="BB299" s="14">
        <v>0.92786388532805042</v>
      </c>
      <c r="BC299">
        <v>54</v>
      </c>
    </row>
    <row r="300" spans="15:55" x14ac:dyDescent="0.35">
      <c r="O300">
        <v>298</v>
      </c>
      <c r="P300">
        <v>114.95720900000001</v>
      </c>
      <c r="Q300" s="14">
        <v>0.93705039939849299</v>
      </c>
      <c r="R300">
        <v>31.762</v>
      </c>
      <c r="S300" s="14">
        <v>0.93599339895090483</v>
      </c>
      <c r="T300">
        <v>54</v>
      </c>
      <c r="V300">
        <v>298</v>
      </c>
      <c r="W300">
        <v>115.263587</v>
      </c>
      <c r="X300" s="14">
        <v>0.94037960211889349</v>
      </c>
      <c r="Y300">
        <v>31.823</v>
      </c>
      <c r="Z300" s="14">
        <v>0.93934116535804946</v>
      </c>
      <c r="AA300">
        <v>54</v>
      </c>
      <c r="AC300">
        <v>298</v>
      </c>
      <c r="AD300">
        <v>114.279188</v>
      </c>
      <c r="AE300" s="14">
        <v>0.94121868804136677</v>
      </c>
      <c r="AF300">
        <v>31.535</v>
      </c>
      <c r="AG300" s="14">
        <v>0.93873723692435918</v>
      </c>
      <c r="AH300">
        <v>54</v>
      </c>
      <c r="AJ300">
        <v>298</v>
      </c>
      <c r="AK300">
        <v>113.58716800000001</v>
      </c>
      <c r="AL300" s="14">
        <v>0.92294327619344041</v>
      </c>
      <c r="AM300">
        <v>31.402000000000001</v>
      </c>
      <c r="AN300" s="14">
        <v>0.91856315450769321</v>
      </c>
      <c r="AO300">
        <v>54</v>
      </c>
      <c r="AQ300">
        <v>298</v>
      </c>
      <c r="AR300">
        <v>112.46614599999999</v>
      </c>
      <c r="AS300" s="14">
        <v>0.92306577729332362</v>
      </c>
      <c r="AT300">
        <v>31.125</v>
      </c>
      <c r="AU300" s="14">
        <v>0.91914478929805399</v>
      </c>
      <c r="AV300">
        <v>54</v>
      </c>
      <c r="AX300">
        <v>298</v>
      </c>
      <c r="AY300">
        <v>114.996308</v>
      </c>
      <c r="AZ300" s="14">
        <v>0.93022089548510556</v>
      </c>
      <c r="BA300">
        <v>31.846</v>
      </c>
      <c r="BB300" s="14">
        <v>0.92780561706094866</v>
      </c>
      <c r="BC300">
        <v>54</v>
      </c>
    </row>
    <row r="301" spans="15:55" x14ac:dyDescent="0.35">
      <c r="O301">
        <v>299</v>
      </c>
      <c r="P301">
        <v>114.912361</v>
      </c>
      <c r="Q301" s="14">
        <v>0.93668483001247715</v>
      </c>
      <c r="R301">
        <v>31.748999999999999</v>
      </c>
      <c r="S301" s="14">
        <v>0.93561030235162379</v>
      </c>
      <c r="T301">
        <v>54</v>
      </c>
      <c r="V301">
        <v>299</v>
      </c>
      <c r="W301">
        <v>115.298644</v>
      </c>
      <c r="X301" s="14">
        <v>0.94066561514841573</v>
      </c>
      <c r="Y301">
        <v>31.818999999999999</v>
      </c>
      <c r="Z301" s="14">
        <v>0.93922309463368558</v>
      </c>
      <c r="AA301">
        <v>54</v>
      </c>
      <c r="AC301">
        <v>299</v>
      </c>
      <c r="AD301">
        <v>114.641201</v>
      </c>
      <c r="AE301" s="14">
        <v>0.94420027556291897</v>
      </c>
      <c r="AF301">
        <v>31.646999999999998</v>
      </c>
      <c r="AG301" s="14">
        <v>0.94207126484684289</v>
      </c>
      <c r="AH301">
        <v>54</v>
      </c>
      <c r="AJ301">
        <v>299</v>
      </c>
      <c r="AK301">
        <v>113.56134400000001</v>
      </c>
      <c r="AL301" s="14">
        <v>0.92273344538610469</v>
      </c>
      <c r="AM301">
        <v>31.393999999999998</v>
      </c>
      <c r="AN301" s="14">
        <v>0.91832914058386472</v>
      </c>
      <c r="AO301">
        <v>54</v>
      </c>
      <c r="AQ301">
        <v>299</v>
      </c>
      <c r="AR301">
        <v>112.412238</v>
      </c>
      <c r="AS301" s="14">
        <v>0.92262332743892639</v>
      </c>
      <c r="AT301">
        <v>31.111000000000001</v>
      </c>
      <c r="AU301" s="14">
        <v>0.91873135871009659</v>
      </c>
      <c r="AV301">
        <v>54</v>
      </c>
      <c r="AX301">
        <v>299</v>
      </c>
      <c r="AY301">
        <v>114.93636600000001</v>
      </c>
      <c r="AZ301" s="14">
        <v>0.92973601643214365</v>
      </c>
      <c r="BA301">
        <v>31.829000000000001</v>
      </c>
      <c r="BB301" s="14">
        <v>0.92731033679058394</v>
      </c>
      <c r="BC301">
        <v>54</v>
      </c>
    </row>
    <row r="302" spans="15:55" x14ac:dyDescent="0.35">
      <c r="O302">
        <v>300</v>
      </c>
      <c r="P302">
        <v>114.867639</v>
      </c>
      <c r="Q302" s="14">
        <v>0.93632028768993425</v>
      </c>
      <c r="R302">
        <v>31.736000000000001</v>
      </c>
      <c r="S302" s="14">
        <v>0.93522720575234286</v>
      </c>
      <c r="T302">
        <v>54</v>
      </c>
      <c r="V302">
        <v>300</v>
      </c>
      <c r="W302">
        <v>115.239029</v>
      </c>
      <c r="X302" s="14">
        <v>0.94017924532912223</v>
      </c>
      <c r="Y302">
        <v>31.802</v>
      </c>
      <c r="Z302" s="14">
        <v>0.93872129405513904</v>
      </c>
      <c r="AA302">
        <v>54</v>
      </c>
      <c r="AC302">
        <v>300</v>
      </c>
      <c r="AD302">
        <v>114.637062</v>
      </c>
      <c r="AE302" s="14">
        <v>0.94416618620493542</v>
      </c>
      <c r="AF302">
        <v>31.634</v>
      </c>
      <c r="AG302" s="14">
        <v>0.94168427946298328</v>
      </c>
      <c r="AH302">
        <v>54</v>
      </c>
      <c r="AJ302">
        <v>300</v>
      </c>
      <c r="AK302">
        <v>113.51039</v>
      </c>
      <c r="AL302" s="14">
        <v>0.92231942281187196</v>
      </c>
      <c r="AM302">
        <v>31.381</v>
      </c>
      <c r="AN302" s="14">
        <v>0.91794886795764352</v>
      </c>
      <c r="AO302">
        <v>54</v>
      </c>
      <c r="AQ302">
        <v>300</v>
      </c>
      <c r="AR302">
        <v>112.391108</v>
      </c>
      <c r="AS302" s="14">
        <v>0.92244990298572072</v>
      </c>
      <c r="AT302">
        <v>31.103999999999999</v>
      </c>
      <c r="AU302" s="14">
        <v>0.91852464341611784</v>
      </c>
      <c r="AV302">
        <v>54</v>
      </c>
      <c r="AX302">
        <v>300</v>
      </c>
      <c r="AY302">
        <v>114.86975099999999</v>
      </c>
      <c r="AZ302" s="14">
        <v>0.92919715856765683</v>
      </c>
      <c r="BA302">
        <v>31.81</v>
      </c>
      <c r="BB302" s="14">
        <v>0.92675678825311736</v>
      </c>
      <c r="BC302">
        <v>54</v>
      </c>
    </row>
    <row r="303" spans="15:55" x14ac:dyDescent="0.35">
      <c r="O303">
        <v>301</v>
      </c>
      <c r="P303">
        <v>114.62059000000001</v>
      </c>
      <c r="Q303" s="14">
        <v>0.93430651781734642</v>
      </c>
      <c r="R303">
        <v>31.68</v>
      </c>
      <c r="S303" s="14">
        <v>0.93357694347851716</v>
      </c>
      <c r="T303">
        <v>26</v>
      </c>
      <c r="V303">
        <v>301</v>
      </c>
      <c r="W303">
        <v>115.028531</v>
      </c>
      <c r="X303" s="14">
        <v>0.93846189442378536</v>
      </c>
      <c r="Y303">
        <v>31.744</v>
      </c>
      <c r="Z303" s="14">
        <v>0.93700926855186251</v>
      </c>
      <c r="AA303">
        <v>26</v>
      </c>
      <c r="AC303">
        <v>301</v>
      </c>
      <c r="AD303">
        <v>114.395552</v>
      </c>
      <c r="AE303" s="14">
        <v>0.94217707752008129</v>
      </c>
      <c r="AF303">
        <v>31.565999999999999</v>
      </c>
      <c r="AG303" s="14">
        <v>0.93966004822433236</v>
      </c>
      <c r="AH303">
        <v>26</v>
      </c>
      <c r="AJ303">
        <v>301</v>
      </c>
      <c r="AK303">
        <v>113.654999</v>
      </c>
      <c r="AL303" s="14">
        <v>0.92349443145569221</v>
      </c>
      <c r="AM303">
        <v>31.422000000000001</v>
      </c>
      <c r="AN303" s="14">
        <v>0.91914818931726439</v>
      </c>
      <c r="AO303">
        <v>26</v>
      </c>
      <c r="AQ303">
        <v>301</v>
      </c>
      <c r="AR303">
        <v>112.50657200000001</v>
      </c>
      <c r="AS303" s="14">
        <v>0.92339757364662689</v>
      </c>
      <c r="AT303">
        <v>31.135000000000002</v>
      </c>
      <c r="AU303" s="14">
        <v>0.91944009686088068</v>
      </c>
      <c r="AV303">
        <v>26</v>
      </c>
      <c r="AX303">
        <v>301</v>
      </c>
      <c r="AY303">
        <v>114.70265000000001</v>
      </c>
      <c r="AZ303" s="14">
        <v>0.92784545567771315</v>
      </c>
      <c r="BA303">
        <v>31.762</v>
      </c>
      <c r="BB303" s="14">
        <v>0.92535834984267573</v>
      </c>
      <c r="BC303">
        <v>26</v>
      </c>
    </row>
    <row r="304" spans="15:55" x14ac:dyDescent="0.35">
      <c r="O304">
        <v>302</v>
      </c>
      <c r="P304">
        <v>114.68731200000001</v>
      </c>
      <c r="Q304" s="14">
        <v>0.93485038868279746</v>
      </c>
      <c r="R304">
        <v>31.686</v>
      </c>
      <c r="S304" s="14">
        <v>0.93375375729356991</v>
      </c>
      <c r="T304">
        <v>26</v>
      </c>
      <c r="V304">
        <v>302</v>
      </c>
      <c r="W304">
        <v>115.072992</v>
      </c>
      <c r="X304" s="14">
        <v>0.93882463012009687</v>
      </c>
      <c r="Y304">
        <v>31.744</v>
      </c>
      <c r="Z304" s="14">
        <v>0.93700926855186251</v>
      </c>
      <c r="AA304">
        <v>26</v>
      </c>
      <c r="AC304">
        <v>302</v>
      </c>
      <c r="AD304">
        <v>114.425309</v>
      </c>
      <c r="AE304" s="14">
        <v>0.94242216015490055</v>
      </c>
      <c r="AF304">
        <v>31.565000000000001</v>
      </c>
      <c r="AG304" s="14">
        <v>0.93963028011788163</v>
      </c>
      <c r="AH304">
        <v>26</v>
      </c>
      <c r="AJ304">
        <v>302</v>
      </c>
      <c r="AK304">
        <v>113.679433</v>
      </c>
      <c r="AL304" s="14">
        <v>0.92369296793131339</v>
      </c>
      <c r="AM304">
        <v>31.416</v>
      </c>
      <c r="AN304" s="14">
        <v>0.91897267887439305</v>
      </c>
      <c r="AO304">
        <v>26</v>
      </c>
      <c r="AQ304">
        <v>302</v>
      </c>
      <c r="AR304">
        <v>112.54929</v>
      </c>
      <c r="AS304" s="14">
        <v>0.923748181587566</v>
      </c>
      <c r="AT304">
        <v>31.132999999999999</v>
      </c>
      <c r="AU304" s="14">
        <v>0.91938103534831528</v>
      </c>
      <c r="AV304">
        <v>26</v>
      </c>
      <c r="AX304">
        <v>302</v>
      </c>
      <c r="AY304">
        <v>114.755959</v>
      </c>
      <c r="AZ304" s="14">
        <v>0.92827667948463244</v>
      </c>
      <c r="BA304">
        <v>31.765999999999998</v>
      </c>
      <c r="BB304" s="14">
        <v>0.92547488637687914</v>
      </c>
      <c r="BC304">
        <v>26</v>
      </c>
    </row>
    <row r="305" spans="15:55" x14ac:dyDescent="0.35">
      <c r="O305">
        <v>303</v>
      </c>
      <c r="P305">
        <v>114.616912</v>
      </c>
      <c r="Q305" s="14">
        <v>0.9342765373454911</v>
      </c>
      <c r="R305">
        <v>31.669</v>
      </c>
      <c r="S305" s="14">
        <v>0.93325278481758711</v>
      </c>
      <c r="T305">
        <v>26</v>
      </c>
      <c r="V305">
        <v>303</v>
      </c>
      <c r="W305">
        <v>115.0325</v>
      </c>
      <c r="X305" s="14">
        <v>0.93849427556632958</v>
      </c>
      <c r="Y305">
        <v>31.734000000000002</v>
      </c>
      <c r="Z305" s="14">
        <v>0.93671409174095288</v>
      </c>
      <c r="AA305">
        <v>26</v>
      </c>
      <c r="AC305">
        <v>303</v>
      </c>
      <c r="AD305">
        <v>114.386071</v>
      </c>
      <c r="AE305" s="14">
        <v>0.94209899073509895</v>
      </c>
      <c r="AF305">
        <v>31.550999999999998</v>
      </c>
      <c r="AG305" s="14">
        <v>0.93921352662757107</v>
      </c>
      <c r="AH305">
        <v>26</v>
      </c>
      <c r="AJ305">
        <v>303</v>
      </c>
      <c r="AK305">
        <v>113.65447399999999</v>
      </c>
      <c r="AL305" s="14">
        <v>0.92349016561097974</v>
      </c>
      <c r="AM305">
        <v>31.405999999999999</v>
      </c>
      <c r="AN305" s="14">
        <v>0.9186801614696074</v>
      </c>
      <c r="AO305">
        <v>26</v>
      </c>
      <c r="AQ305">
        <v>303</v>
      </c>
      <c r="AR305">
        <v>112.515986</v>
      </c>
      <c r="AS305" s="14">
        <v>0.92347483904191696</v>
      </c>
      <c r="AT305">
        <v>31.122</v>
      </c>
      <c r="AU305" s="14">
        <v>0.91905619702920593</v>
      </c>
      <c r="AV305">
        <v>26</v>
      </c>
      <c r="AX305">
        <v>303</v>
      </c>
      <c r="AY305">
        <v>114.720292</v>
      </c>
      <c r="AZ305" s="14">
        <v>0.92798816423352304</v>
      </c>
      <c r="BA305">
        <v>31.756</v>
      </c>
      <c r="BB305" s="14">
        <v>0.92518354504137057</v>
      </c>
      <c r="BC305">
        <v>26</v>
      </c>
    </row>
    <row r="306" spans="15:55" x14ac:dyDescent="0.35">
      <c r="O306">
        <v>304</v>
      </c>
      <c r="P306">
        <v>114.54227299999999</v>
      </c>
      <c r="Q306" s="14">
        <v>0.93366813265848525</v>
      </c>
      <c r="R306">
        <v>31.651</v>
      </c>
      <c r="S306" s="14">
        <v>0.93272234337242887</v>
      </c>
      <c r="T306">
        <v>26</v>
      </c>
      <c r="V306">
        <v>304</v>
      </c>
      <c r="W306">
        <v>114.984184</v>
      </c>
      <c r="X306" s="14">
        <v>0.9381000887980836</v>
      </c>
      <c r="Y306">
        <v>31.721</v>
      </c>
      <c r="Z306" s="14">
        <v>0.93633036188677021</v>
      </c>
      <c r="AA306">
        <v>26</v>
      </c>
      <c r="AC306">
        <v>304</v>
      </c>
      <c r="AD306">
        <v>114.332528</v>
      </c>
      <c r="AE306" s="14">
        <v>0.94165800342064754</v>
      </c>
      <c r="AF306">
        <v>31.539000000000001</v>
      </c>
      <c r="AG306" s="14">
        <v>0.93885630935016218</v>
      </c>
      <c r="AH306">
        <v>26</v>
      </c>
      <c r="AJ306">
        <v>304</v>
      </c>
      <c r="AK306">
        <v>113.649511</v>
      </c>
      <c r="AL306" s="14">
        <v>0.92344983915896595</v>
      </c>
      <c r="AM306">
        <v>31.401</v>
      </c>
      <c r="AN306" s="14">
        <v>0.91853390276721469</v>
      </c>
      <c r="AO306">
        <v>26</v>
      </c>
      <c r="AQ306">
        <v>304</v>
      </c>
      <c r="AR306">
        <v>112.462199</v>
      </c>
      <c r="AS306" s="14">
        <v>0.92303338229489473</v>
      </c>
      <c r="AT306">
        <v>31.106000000000002</v>
      </c>
      <c r="AU306" s="14">
        <v>0.91858370492868324</v>
      </c>
      <c r="AV306">
        <v>26</v>
      </c>
      <c r="AX306">
        <v>304</v>
      </c>
      <c r="AY306">
        <v>114.63976700000001</v>
      </c>
      <c r="AZ306" s="14">
        <v>0.92733678647269147</v>
      </c>
      <c r="BA306">
        <v>31.736999999999998</v>
      </c>
      <c r="BB306" s="14">
        <v>0.92462999650390398</v>
      </c>
      <c r="BC306">
        <v>26</v>
      </c>
    </row>
    <row r="307" spans="15:55" x14ac:dyDescent="0.35">
      <c r="O307">
        <v>305</v>
      </c>
      <c r="P307">
        <v>114.521349</v>
      </c>
      <c r="Q307" s="14">
        <v>0.93349757491158469</v>
      </c>
      <c r="R307">
        <v>31.645</v>
      </c>
      <c r="S307" s="14">
        <v>0.93254552955737613</v>
      </c>
      <c r="T307">
        <v>26</v>
      </c>
      <c r="V307">
        <v>305</v>
      </c>
      <c r="W307">
        <v>114.919191</v>
      </c>
      <c r="X307" s="14">
        <v>0.93756984248984998</v>
      </c>
      <c r="Y307">
        <v>31.704999999999998</v>
      </c>
      <c r="Z307" s="14">
        <v>0.9358580789893145</v>
      </c>
      <c r="AA307">
        <v>26</v>
      </c>
      <c r="AC307">
        <v>305</v>
      </c>
      <c r="AD307">
        <v>114.285718</v>
      </c>
      <c r="AE307" s="14">
        <v>0.94127246999537317</v>
      </c>
      <c r="AF307">
        <v>31.526</v>
      </c>
      <c r="AG307" s="14">
        <v>0.93846932396630245</v>
      </c>
      <c r="AH307">
        <v>26</v>
      </c>
      <c r="AJ307">
        <v>305</v>
      </c>
      <c r="AK307">
        <v>113.596807</v>
      </c>
      <c r="AL307" s="14">
        <v>0.92302159710235876</v>
      </c>
      <c r="AM307">
        <v>31.385999999999999</v>
      </c>
      <c r="AN307" s="14">
        <v>0.91809512666003623</v>
      </c>
      <c r="AO307">
        <v>26</v>
      </c>
      <c r="AQ307">
        <v>305</v>
      </c>
      <c r="AR307">
        <v>112.410647</v>
      </c>
      <c r="AS307" s="14">
        <v>0.92261026930806733</v>
      </c>
      <c r="AT307">
        <v>31.094000000000001</v>
      </c>
      <c r="AU307" s="14">
        <v>0.91822933585329125</v>
      </c>
      <c r="AV307">
        <v>26</v>
      </c>
      <c r="AX307">
        <v>305</v>
      </c>
      <c r="AY307">
        <v>114.575442</v>
      </c>
      <c r="AZ307" s="14">
        <v>0.92681645273204571</v>
      </c>
      <c r="BA307">
        <v>31.722000000000001</v>
      </c>
      <c r="BB307" s="14">
        <v>0.92419298450064102</v>
      </c>
      <c r="BC307">
        <v>26</v>
      </c>
    </row>
    <row r="308" spans="15:55" x14ac:dyDescent="0.35">
      <c r="O308">
        <v>306</v>
      </c>
      <c r="P308">
        <v>114.538651</v>
      </c>
      <c r="Q308" s="14">
        <v>0.93363860865928461</v>
      </c>
      <c r="R308">
        <v>31.646000000000001</v>
      </c>
      <c r="S308" s="14">
        <v>0.93257499852655168</v>
      </c>
      <c r="T308">
        <v>26</v>
      </c>
      <c r="V308">
        <v>306</v>
      </c>
      <c r="W308">
        <v>114.867919</v>
      </c>
      <c r="X308" s="14">
        <v>0.93715153915386373</v>
      </c>
      <c r="Y308">
        <v>31.692</v>
      </c>
      <c r="Z308" s="14">
        <v>0.93547434913513194</v>
      </c>
      <c r="AA308">
        <v>26</v>
      </c>
      <c r="AC308">
        <v>306</v>
      </c>
      <c r="AD308">
        <v>114.210671</v>
      </c>
      <c r="AE308" s="14">
        <v>0.94065437285872366</v>
      </c>
      <c r="AF308">
        <v>31.507999999999999</v>
      </c>
      <c r="AG308" s="14">
        <v>0.93793349805018889</v>
      </c>
      <c r="AH308">
        <v>26</v>
      </c>
      <c r="AJ308">
        <v>306</v>
      </c>
      <c r="AK308">
        <v>113.546869</v>
      </c>
      <c r="AL308" s="14">
        <v>0.92261582995332181</v>
      </c>
      <c r="AM308">
        <v>31.373000000000001</v>
      </c>
      <c r="AN308" s="14">
        <v>0.91771485403381503</v>
      </c>
      <c r="AO308">
        <v>26</v>
      </c>
      <c r="AQ308">
        <v>306</v>
      </c>
      <c r="AR308">
        <v>112.388013</v>
      </c>
      <c r="AS308" s="14">
        <v>0.92242450077641291</v>
      </c>
      <c r="AT308">
        <v>31.088000000000001</v>
      </c>
      <c r="AU308" s="14">
        <v>0.91805215131559526</v>
      </c>
      <c r="AV308">
        <v>26</v>
      </c>
      <c r="AX308">
        <v>306</v>
      </c>
      <c r="AY308">
        <v>114.54283</v>
      </c>
      <c r="AZ308" s="14">
        <v>0.9265526497946196</v>
      </c>
      <c r="BA308">
        <v>31.713000000000001</v>
      </c>
      <c r="BB308" s="14">
        <v>0.92393077729868323</v>
      </c>
      <c r="BC308">
        <v>26</v>
      </c>
    </row>
    <row r="309" spans="15:55" x14ac:dyDescent="0.35">
      <c r="O309">
        <v>307</v>
      </c>
      <c r="P309">
        <v>114.536975</v>
      </c>
      <c r="Q309" s="14">
        <v>0.93362494708483401</v>
      </c>
      <c r="R309">
        <v>31.643000000000001</v>
      </c>
      <c r="S309" s="14">
        <v>0.93248659161902525</v>
      </c>
      <c r="T309">
        <v>26</v>
      </c>
      <c r="V309">
        <v>307</v>
      </c>
      <c r="W309">
        <v>114.841194</v>
      </c>
      <c r="X309" s="14">
        <v>0.93693350286399335</v>
      </c>
      <c r="Y309">
        <v>31.684999999999999</v>
      </c>
      <c r="Z309" s="14">
        <v>0.93526772536749514</v>
      </c>
      <c r="AA309">
        <v>26</v>
      </c>
      <c r="AC309">
        <v>307</v>
      </c>
      <c r="AD309">
        <v>114.16747700000001</v>
      </c>
      <c r="AE309" s="14">
        <v>0.940298621293432</v>
      </c>
      <c r="AF309">
        <v>31.497</v>
      </c>
      <c r="AG309" s="14">
        <v>0.93760604887923071</v>
      </c>
      <c r="AH309">
        <v>26</v>
      </c>
      <c r="AJ309">
        <v>307</v>
      </c>
      <c r="AK309">
        <v>113.50079100000001</v>
      </c>
      <c r="AL309" s="14">
        <v>0.92224142691969357</v>
      </c>
      <c r="AM309">
        <v>31.361000000000001</v>
      </c>
      <c r="AN309" s="14">
        <v>0.91736383314807235</v>
      </c>
      <c r="AO309">
        <v>26</v>
      </c>
      <c r="AQ309">
        <v>307</v>
      </c>
      <c r="AR309">
        <v>112.35117200000001</v>
      </c>
      <c r="AS309" s="14">
        <v>0.92212212830691209</v>
      </c>
      <c r="AT309">
        <v>31.076000000000001</v>
      </c>
      <c r="AU309" s="14">
        <v>0.91769778224020315</v>
      </c>
      <c r="AV309">
        <v>26</v>
      </c>
      <c r="AX309">
        <v>307</v>
      </c>
      <c r="AY309">
        <v>114.53297000000001</v>
      </c>
      <c r="AZ309" s="14">
        <v>0.92647289090332141</v>
      </c>
      <c r="BA309">
        <v>31.709</v>
      </c>
      <c r="BB309" s="14">
        <v>0.92381424076447971</v>
      </c>
      <c r="BC309">
        <v>26</v>
      </c>
    </row>
    <row r="310" spans="15:55" x14ac:dyDescent="0.35">
      <c r="O310">
        <v>308</v>
      </c>
      <c r="P310">
        <v>114.47976199999999</v>
      </c>
      <c r="Q310" s="14">
        <v>0.9331585869064063</v>
      </c>
      <c r="R310">
        <v>31.628</v>
      </c>
      <c r="S310" s="14">
        <v>0.93204455708139333</v>
      </c>
      <c r="T310">
        <v>26</v>
      </c>
      <c r="V310">
        <v>308</v>
      </c>
      <c r="W310">
        <v>114.84084300000001</v>
      </c>
      <c r="X310" s="14">
        <v>0.9369306392255371</v>
      </c>
      <c r="Y310">
        <v>31.681999999999999</v>
      </c>
      <c r="Z310" s="14">
        <v>0.93517917232422221</v>
      </c>
      <c r="AA310">
        <v>26</v>
      </c>
      <c r="AC310">
        <v>308</v>
      </c>
      <c r="AD310">
        <v>114.136985</v>
      </c>
      <c r="AE310" s="14">
        <v>0.94004748510023672</v>
      </c>
      <c r="AF310">
        <v>31.488</v>
      </c>
      <c r="AG310" s="14">
        <v>0.93733813592117399</v>
      </c>
      <c r="AH310">
        <v>26</v>
      </c>
      <c r="AJ310">
        <v>308</v>
      </c>
      <c r="AK310">
        <v>113.50533299999999</v>
      </c>
      <c r="AL310" s="14">
        <v>0.92227833257051905</v>
      </c>
      <c r="AM310">
        <v>31.356999999999999</v>
      </c>
      <c r="AN310" s="14">
        <v>0.91724682618615805</v>
      </c>
      <c r="AO310">
        <v>26</v>
      </c>
      <c r="AQ310">
        <v>308</v>
      </c>
      <c r="AR310">
        <v>112.303657</v>
      </c>
      <c r="AS310" s="14">
        <v>0.92173214899342082</v>
      </c>
      <c r="AT310">
        <v>31.064</v>
      </c>
      <c r="AU310" s="14">
        <v>0.91734341316481116</v>
      </c>
      <c r="AV310">
        <v>26</v>
      </c>
      <c r="AX310">
        <v>308</v>
      </c>
      <c r="AY310">
        <v>114.480276</v>
      </c>
      <c r="AZ310" s="14">
        <v>0.92604664191568697</v>
      </c>
      <c r="BA310">
        <v>31.693999999999999</v>
      </c>
      <c r="BB310" s="14">
        <v>0.92337722876121664</v>
      </c>
      <c r="BC310">
        <v>26</v>
      </c>
    </row>
    <row r="311" spans="15:55" x14ac:dyDescent="0.35">
      <c r="O311">
        <v>309</v>
      </c>
      <c r="P311">
        <v>114.402957</v>
      </c>
      <c r="Q311" s="14">
        <v>0.93253252650922147</v>
      </c>
      <c r="R311">
        <v>31.61</v>
      </c>
      <c r="S311" s="14">
        <v>0.9315141156362351</v>
      </c>
      <c r="T311">
        <v>26</v>
      </c>
      <c r="V311">
        <v>309</v>
      </c>
      <c r="W311">
        <v>114.782955</v>
      </c>
      <c r="X311" s="14">
        <v>0.93645835916012965</v>
      </c>
      <c r="Y311">
        <v>31.667999999999999</v>
      </c>
      <c r="Z311" s="14">
        <v>0.9347659247889486</v>
      </c>
      <c r="AA311">
        <v>26</v>
      </c>
      <c r="AC311">
        <v>309</v>
      </c>
      <c r="AD311">
        <v>114.132918</v>
      </c>
      <c r="AE311" s="14">
        <v>0.94001398874389008</v>
      </c>
      <c r="AF311">
        <v>31.484999999999999</v>
      </c>
      <c r="AG311" s="14">
        <v>0.93724883160182171</v>
      </c>
      <c r="AH311">
        <v>26</v>
      </c>
      <c r="AJ311">
        <v>309</v>
      </c>
      <c r="AK311">
        <v>113.425168</v>
      </c>
      <c r="AL311" s="14">
        <v>0.92162695839649222</v>
      </c>
      <c r="AM311">
        <v>31.338999999999999</v>
      </c>
      <c r="AN311" s="14">
        <v>0.91672029485754403</v>
      </c>
      <c r="AO311">
        <v>26</v>
      </c>
      <c r="AQ311">
        <v>309</v>
      </c>
      <c r="AR311">
        <v>112.262343</v>
      </c>
      <c r="AS311" s="14">
        <v>0.92139306438103352</v>
      </c>
      <c r="AT311">
        <v>31.052</v>
      </c>
      <c r="AU311" s="14">
        <v>0.91698904408941917</v>
      </c>
      <c r="AV311">
        <v>26</v>
      </c>
      <c r="AX311">
        <v>309</v>
      </c>
      <c r="AY311">
        <v>114.402687</v>
      </c>
      <c r="AZ311" s="14">
        <v>0.92541901386122982</v>
      </c>
      <c r="BA311">
        <v>31.677</v>
      </c>
      <c r="BB311" s="14">
        <v>0.92288194849085192</v>
      </c>
      <c r="BC311">
        <v>26</v>
      </c>
    </row>
    <row r="312" spans="15:55" x14ac:dyDescent="0.35">
      <c r="O312">
        <v>310</v>
      </c>
      <c r="P312">
        <v>114.375444</v>
      </c>
      <c r="Q312" s="14">
        <v>0.9323082598637199</v>
      </c>
      <c r="R312">
        <v>31.603000000000002</v>
      </c>
      <c r="S312" s="14">
        <v>0.93130783285200691</v>
      </c>
      <c r="T312">
        <v>26</v>
      </c>
      <c r="V312">
        <v>310</v>
      </c>
      <c r="W312">
        <v>114.711845</v>
      </c>
      <c r="X312" s="14">
        <v>0.93587820722102089</v>
      </c>
      <c r="Y312">
        <v>31.651</v>
      </c>
      <c r="Z312" s="14">
        <v>0.93426412421040206</v>
      </c>
      <c r="AA312">
        <v>26</v>
      </c>
      <c r="AC312">
        <v>310</v>
      </c>
      <c r="AD312">
        <v>114.075147</v>
      </c>
      <c r="AE312" s="14">
        <v>0.93953817905554293</v>
      </c>
      <c r="AF312">
        <v>31.471</v>
      </c>
      <c r="AG312" s="14">
        <v>0.93683207811151126</v>
      </c>
      <c r="AH312">
        <v>26</v>
      </c>
      <c r="AJ312">
        <v>310</v>
      </c>
      <c r="AK312">
        <v>113.394026</v>
      </c>
      <c r="AL312" s="14">
        <v>0.92137391661357515</v>
      </c>
      <c r="AM312">
        <v>31.329000000000001</v>
      </c>
      <c r="AN312" s="14">
        <v>0.9164277774527585</v>
      </c>
      <c r="AO312">
        <v>26</v>
      </c>
      <c r="AQ312">
        <v>310</v>
      </c>
      <c r="AR312">
        <v>112.188526</v>
      </c>
      <c r="AS312" s="14">
        <v>0.92078721142967102</v>
      </c>
      <c r="AT312">
        <v>31.035</v>
      </c>
      <c r="AU312" s="14">
        <v>0.91648702123261383</v>
      </c>
      <c r="AV312">
        <v>26</v>
      </c>
      <c r="AX312">
        <v>310</v>
      </c>
      <c r="AY312">
        <v>114.36690299999999</v>
      </c>
      <c r="AZ312" s="14">
        <v>0.92512955218108572</v>
      </c>
      <c r="BA312">
        <v>31.667999999999999</v>
      </c>
      <c r="BB312" s="14">
        <v>0.92261974128889412</v>
      </c>
      <c r="BC312">
        <v>26</v>
      </c>
    </row>
    <row r="313" spans="15:55" x14ac:dyDescent="0.35">
      <c r="O313">
        <v>311</v>
      </c>
      <c r="P313">
        <v>114.392605</v>
      </c>
      <c r="Q313" s="14">
        <v>0.93244814427848577</v>
      </c>
      <c r="R313">
        <v>31.605</v>
      </c>
      <c r="S313" s="14">
        <v>0.93136677079035779</v>
      </c>
      <c r="T313">
        <v>26</v>
      </c>
      <c r="V313">
        <v>311</v>
      </c>
      <c r="W313">
        <v>114.679778</v>
      </c>
      <c r="X313" s="14">
        <v>0.93561658814871884</v>
      </c>
      <c r="Y313">
        <v>31.641999999999999</v>
      </c>
      <c r="Z313" s="14">
        <v>0.93399846508058326</v>
      </c>
      <c r="AA313">
        <v>26</v>
      </c>
      <c r="AC313">
        <v>311</v>
      </c>
      <c r="AD313">
        <v>113.999584</v>
      </c>
      <c r="AE313" s="14">
        <v>0.93891583207382945</v>
      </c>
      <c r="AF313">
        <v>31.452000000000002</v>
      </c>
      <c r="AG313" s="14">
        <v>0.93626648408894708</v>
      </c>
      <c r="AH313">
        <v>26</v>
      </c>
      <c r="AJ313">
        <v>311</v>
      </c>
      <c r="AK313">
        <v>113.330994</v>
      </c>
      <c r="AL313" s="14">
        <v>0.92086175523470337</v>
      </c>
      <c r="AM313">
        <v>31.314</v>
      </c>
      <c r="AN313" s="14">
        <v>0.91598900134558003</v>
      </c>
      <c r="AO313">
        <v>26</v>
      </c>
      <c r="AQ313">
        <v>311</v>
      </c>
      <c r="AR313">
        <v>112.13736900000001</v>
      </c>
      <c r="AS313" s="14">
        <v>0.92036734040493628</v>
      </c>
      <c r="AT313">
        <v>31.021999999999998</v>
      </c>
      <c r="AU313" s="14">
        <v>0.91610312140093908</v>
      </c>
      <c r="AV313">
        <v>26</v>
      </c>
      <c r="AX313">
        <v>311</v>
      </c>
      <c r="AY313">
        <v>114.366652</v>
      </c>
      <c r="AZ313" s="14">
        <v>0.92512752180768665</v>
      </c>
      <c r="BA313">
        <v>31.664000000000001</v>
      </c>
      <c r="BB313" s="14">
        <v>0.92250320475469072</v>
      </c>
      <c r="BC313">
        <v>26</v>
      </c>
    </row>
    <row r="314" spans="15:55" x14ac:dyDescent="0.35">
      <c r="O314">
        <v>312</v>
      </c>
      <c r="P314">
        <v>114.391318</v>
      </c>
      <c r="Q314" s="14">
        <v>0.93243765355872565</v>
      </c>
      <c r="R314">
        <v>31.603000000000002</v>
      </c>
      <c r="S314" s="14">
        <v>0.93130783285200691</v>
      </c>
      <c r="T314">
        <v>26</v>
      </c>
      <c r="V314">
        <v>312</v>
      </c>
      <c r="W314">
        <v>114.693122</v>
      </c>
      <c r="X314" s="14">
        <v>0.93572545536114282</v>
      </c>
      <c r="Y314">
        <v>31.643000000000001</v>
      </c>
      <c r="Z314" s="14">
        <v>0.93402798276167431</v>
      </c>
      <c r="AA314">
        <v>26</v>
      </c>
      <c r="AC314">
        <v>312</v>
      </c>
      <c r="AD314">
        <v>113.96802700000001</v>
      </c>
      <c r="AE314" s="14">
        <v>0.93865592439808965</v>
      </c>
      <c r="AF314">
        <v>31.445</v>
      </c>
      <c r="AG314" s="14">
        <v>0.9360581073437918</v>
      </c>
      <c r="AH314">
        <v>26</v>
      </c>
      <c r="AJ314">
        <v>312</v>
      </c>
      <c r="AK314">
        <v>113.264199</v>
      </c>
      <c r="AL314" s="14">
        <v>0.92031901790601733</v>
      </c>
      <c r="AM314">
        <v>31.297000000000001</v>
      </c>
      <c r="AN314" s="14">
        <v>0.91549172175744453</v>
      </c>
      <c r="AO314">
        <v>26</v>
      </c>
      <c r="AQ314">
        <v>312</v>
      </c>
      <c r="AR314">
        <v>112.09538499999999</v>
      </c>
      <c r="AS314" s="14">
        <v>0.92002275676824008</v>
      </c>
      <c r="AT314">
        <v>31.010999999999999</v>
      </c>
      <c r="AU314" s="14">
        <v>0.91577828308182974</v>
      </c>
      <c r="AV314">
        <v>26</v>
      </c>
      <c r="AX314">
        <v>312</v>
      </c>
      <c r="AY314">
        <v>114.371146</v>
      </c>
      <c r="AZ314" s="14">
        <v>0.92516387438958259</v>
      </c>
      <c r="BA314">
        <v>31.663</v>
      </c>
      <c r="BB314" s="14">
        <v>0.92247407062113984</v>
      </c>
      <c r="BC314">
        <v>26</v>
      </c>
    </row>
    <row r="315" spans="15:55" x14ac:dyDescent="0.35">
      <c r="O315">
        <v>313</v>
      </c>
      <c r="P315">
        <v>114.35346199999999</v>
      </c>
      <c r="Q315" s="14">
        <v>0.93212907804416489</v>
      </c>
      <c r="R315">
        <v>31.593</v>
      </c>
      <c r="S315" s="14">
        <v>0.9310131431602523</v>
      </c>
      <c r="T315">
        <v>26</v>
      </c>
      <c r="V315">
        <v>313</v>
      </c>
      <c r="W315">
        <v>114.69679600000001</v>
      </c>
      <c r="X315" s="14">
        <v>0.93575542974202164</v>
      </c>
      <c r="Y315">
        <v>31.64</v>
      </c>
      <c r="Z315" s="14">
        <v>0.93393942971840138</v>
      </c>
      <c r="AA315">
        <v>26</v>
      </c>
      <c r="AC315">
        <v>313</v>
      </c>
      <c r="AD315">
        <v>113.984994</v>
      </c>
      <c r="AE315" s="14">
        <v>0.938795666881034</v>
      </c>
      <c r="AF315">
        <v>31.443999999999999</v>
      </c>
      <c r="AG315" s="14">
        <v>0.93602833923734097</v>
      </c>
      <c r="AH315">
        <v>26</v>
      </c>
      <c r="AJ315">
        <v>313</v>
      </c>
      <c r="AK315">
        <v>113.20935</v>
      </c>
      <c r="AL315" s="14">
        <v>0.91987334682672839</v>
      </c>
      <c r="AM315">
        <v>31.283000000000001</v>
      </c>
      <c r="AN315" s="14">
        <v>0.91508219739074481</v>
      </c>
      <c r="AO315">
        <v>26</v>
      </c>
      <c r="AQ315">
        <v>313</v>
      </c>
      <c r="AR315">
        <v>112.09418100000001</v>
      </c>
      <c r="AS315" s="14">
        <v>0.92001287493948203</v>
      </c>
      <c r="AT315">
        <v>31.007999999999999</v>
      </c>
      <c r="AU315" s="14">
        <v>0.91568969081298168</v>
      </c>
      <c r="AV315">
        <v>26</v>
      </c>
      <c r="AX315">
        <v>313</v>
      </c>
      <c r="AY315">
        <v>114.323742</v>
      </c>
      <c r="AZ315" s="14">
        <v>0.9247804169369348</v>
      </c>
      <c r="BA315">
        <v>31.649000000000001</v>
      </c>
      <c r="BB315" s="14">
        <v>0.92206619275142765</v>
      </c>
      <c r="BC315">
        <v>26</v>
      </c>
    </row>
    <row r="316" spans="15:55" x14ac:dyDescent="0.35">
      <c r="O316">
        <v>314</v>
      </c>
      <c r="P316">
        <v>114.298249</v>
      </c>
      <c r="Q316" s="14">
        <v>0.93167902046054718</v>
      </c>
      <c r="R316">
        <v>31.579000000000001</v>
      </c>
      <c r="S316" s="14">
        <v>0.93060057759179593</v>
      </c>
      <c r="T316">
        <v>26</v>
      </c>
      <c r="V316">
        <v>314</v>
      </c>
      <c r="W316">
        <v>114.65693</v>
      </c>
      <c r="X316" s="14">
        <v>0.93543018241809373</v>
      </c>
      <c r="Y316">
        <v>31.63</v>
      </c>
      <c r="Z316" s="14">
        <v>0.93364425290749153</v>
      </c>
      <c r="AA316">
        <v>26</v>
      </c>
      <c r="AC316">
        <v>314</v>
      </c>
      <c r="AD316">
        <v>113.992171</v>
      </c>
      <c r="AE316" s="14">
        <v>0.938854777613638</v>
      </c>
      <c r="AF316">
        <v>31.443999999999999</v>
      </c>
      <c r="AG316" s="14">
        <v>0.93602833923734097</v>
      </c>
      <c r="AH316">
        <v>26</v>
      </c>
      <c r="AJ316">
        <v>314</v>
      </c>
      <c r="AK316">
        <v>113.190766</v>
      </c>
      <c r="AL316" s="14">
        <v>0.91972234404933029</v>
      </c>
      <c r="AM316">
        <v>31.277999999999999</v>
      </c>
      <c r="AN316" s="14">
        <v>0.91493593868835188</v>
      </c>
      <c r="AO316">
        <v>26</v>
      </c>
      <c r="AQ316">
        <v>314</v>
      </c>
      <c r="AR316">
        <v>112.050236</v>
      </c>
      <c r="AS316" s="14">
        <v>0.91965219639730844</v>
      </c>
      <c r="AT316">
        <v>30.995000000000001</v>
      </c>
      <c r="AU316" s="14">
        <v>0.91530579098130704</v>
      </c>
      <c r="AV316">
        <v>26</v>
      </c>
      <c r="AX316">
        <v>314</v>
      </c>
      <c r="AY316">
        <v>114.242811</v>
      </c>
      <c r="AZ316" s="14">
        <v>0.92412575498646166</v>
      </c>
      <c r="BA316">
        <v>31.632000000000001</v>
      </c>
      <c r="BB316" s="14">
        <v>0.92157091248106293</v>
      </c>
      <c r="BC316">
        <v>26</v>
      </c>
    </row>
    <row r="317" spans="15:55" x14ac:dyDescent="0.35">
      <c r="O317">
        <v>315</v>
      </c>
      <c r="P317">
        <v>114.274455</v>
      </c>
      <c r="Q317" s="14">
        <v>0.93148506849009449</v>
      </c>
      <c r="R317">
        <v>31.571999999999999</v>
      </c>
      <c r="S317" s="14">
        <v>0.93039429480756763</v>
      </c>
      <c r="T317">
        <v>26</v>
      </c>
      <c r="V317">
        <v>315</v>
      </c>
      <c r="W317">
        <v>114.581226</v>
      </c>
      <c r="X317" s="14">
        <v>0.93481255026511545</v>
      </c>
      <c r="Y317">
        <v>31.613</v>
      </c>
      <c r="Z317" s="14">
        <v>0.93314245232894499</v>
      </c>
      <c r="AA317">
        <v>26</v>
      </c>
      <c r="AC317">
        <v>315</v>
      </c>
      <c r="AD317">
        <v>113.949293</v>
      </c>
      <c r="AE317" s="14">
        <v>0.93850162866664133</v>
      </c>
      <c r="AF317">
        <v>31.431999999999999</v>
      </c>
      <c r="AG317" s="14">
        <v>0.93567112195993196</v>
      </c>
      <c r="AH317">
        <v>26</v>
      </c>
      <c r="AJ317">
        <v>315</v>
      </c>
      <c r="AK317">
        <v>113.17644199999999</v>
      </c>
      <c r="AL317" s="14">
        <v>0.91960595555474078</v>
      </c>
      <c r="AM317">
        <v>31.271999999999998</v>
      </c>
      <c r="AN317" s="14">
        <v>0.91476042824548054</v>
      </c>
      <c r="AO317">
        <v>26</v>
      </c>
      <c r="AQ317">
        <v>315</v>
      </c>
      <c r="AR317">
        <v>111.978238</v>
      </c>
      <c r="AS317" s="14">
        <v>0.9190612728865698</v>
      </c>
      <c r="AT317">
        <v>30.98</v>
      </c>
      <c r="AU317" s="14">
        <v>0.914862829637067</v>
      </c>
      <c r="AV317">
        <v>26</v>
      </c>
      <c r="AX317">
        <v>315</v>
      </c>
      <c r="AY317">
        <v>114.193772</v>
      </c>
      <c r="AZ317" s="14">
        <v>0.92372907179473951</v>
      </c>
      <c r="BA317">
        <v>31.620999999999999</v>
      </c>
      <c r="BB317" s="14">
        <v>0.92125043701200326</v>
      </c>
      <c r="BC317">
        <v>26</v>
      </c>
    </row>
    <row r="318" spans="15:55" x14ac:dyDescent="0.35">
      <c r="O318">
        <v>316</v>
      </c>
      <c r="P318">
        <v>114.271221</v>
      </c>
      <c r="Q318" s="14">
        <v>0.93145870719428703</v>
      </c>
      <c r="R318">
        <v>31.57</v>
      </c>
      <c r="S318" s="14">
        <v>0.93033535686921676</v>
      </c>
      <c r="T318">
        <v>26</v>
      </c>
      <c r="V318">
        <v>316</v>
      </c>
      <c r="W318">
        <v>114.53851299999999</v>
      </c>
      <c r="X318" s="14">
        <v>0.93446407565148648</v>
      </c>
      <c r="Y318">
        <v>31.603000000000002</v>
      </c>
      <c r="Z318" s="14">
        <v>0.93284727551803537</v>
      </c>
      <c r="AA318">
        <v>26</v>
      </c>
      <c r="AC318">
        <v>316</v>
      </c>
      <c r="AD318">
        <v>113.85686800000001</v>
      </c>
      <c r="AE318" s="14">
        <v>0.93774040399603709</v>
      </c>
      <c r="AF318">
        <v>31.411999999999999</v>
      </c>
      <c r="AG318" s="14">
        <v>0.93507575983091706</v>
      </c>
      <c r="AH318">
        <v>26</v>
      </c>
      <c r="AJ318">
        <v>316</v>
      </c>
      <c r="AK318">
        <v>113.11075200000001</v>
      </c>
      <c r="AL318" s="14">
        <v>0.91907219681349694</v>
      </c>
      <c r="AM318">
        <v>31.254999999999999</v>
      </c>
      <c r="AN318" s="14">
        <v>0.91426314865734504</v>
      </c>
      <c r="AO318">
        <v>26</v>
      </c>
      <c r="AQ318">
        <v>316</v>
      </c>
      <c r="AR318">
        <v>111.933503</v>
      </c>
      <c r="AS318" s="14">
        <v>0.9186941104202111</v>
      </c>
      <c r="AT318">
        <v>30.966999999999999</v>
      </c>
      <c r="AU318" s="14">
        <v>0.91447892980539225</v>
      </c>
      <c r="AV318">
        <v>26</v>
      </c>
      <c r="AX318">
        <v>316</v>
      </c>
      <c r="AY318">
        <v>114.21224599999999</v>
      </c>
      <c r="AZ318" s="14">
        <v>0.92387851051257375</v>
      </c>
      <c r="BA318">
        <v>31.620999999999999</v>
      </c>
      <c r="BB318" s="14">
        <v>0.92125043701200326</v>
      </c>
      <c r="BC318">
        <v>26</v>
      </c>
    </row>
    <row r="319" spans="15:55" x14ac:dyDescent="0.35">
      <c r="O319">
        <v>317</v>
      </c>
      <c r="P319">
        <v>114.252509</v>
      </c>
      <c r="Q319" s="14">
        <v>0.9313061801172462</v>
      </c>
      <c r="R319">
        <v>31.562999999999999</v>
      </c>
      <c r="S319" s="14">
        <v>0.93012907408498857</v>
      </c>
      <c r="T319">
        <v>26</v>
      </c>
      <c r="V319">
        <v>317</v>
      </c>
      <c r="W319">
        <v>114.546725</v>
      </c>
      <c r="X319" s="14">
        <v>0.93453107336944408</v>
      </c>
      <c r="Y319">
        <v>31.602</v>
      </c>
      <c r="Z319" s="14">
        <v>0.93281775783694432</v>
      </c>
      <c r="AA319">
        <v>26</v>
      </c>
      <c r="AC319">
        <v>317</v>
      </c>
      <c r="AD319">
        <v>113.820177</v>
      </c>
      <c r="AE319" s="14">
        <v>0.93743821200913813</v>
      </c>
      <c r="AF319">
        <v>31.402999999999999</v>
      </c>
      <c r="AG319" s="14">
        <v>0.93480784687286023</v>
      </c>
      <c r="AH319">
        <v>26</v>
      </c>
      <c r="AJ319">
        <v>317</v>
      </c>
      <c r="AK319">
        <v>113.041438</v>
      </c>
      <c r="AL319" s="14">
        <v>0.91850899155561005</v>
      </c>
      <c r="AM319">
        <v>31.24</v>
      </c>
      <c r="AN319" s="14">
        <v>0.91382437255016669</v>
      </c>
      <c r="AO319">
        <v>26</v>
      </c>
      <c r="AQ319">
        <v>317</v>
      </c>
      <c r="AR319">
        <v>111.94235999999999</v>
      </c>
      <c r="AS319" s="14">
        <v>0.9187668042385756</v>
      </c>
      <c r="AT319">
        <v>30.966000000000001</v>
      </c>
      <c r="AU319" s="14">
        <v>0.91444939904910971</v>
      </c>
      <c r="AV319">
        <v>26</v>
      </c>
      <c r="AX319">
        <v>317</v>
      </c>
      <c r="AY319">
        <v>114.206919</v>
      </c>
      <c r="AZ319" s="14">
        <v>0.92383541967951632</v>
      </c>
      <c r="BA319">
        <v>31.617999999999999</v>
      </c>
      <c r="BB319" s="14">
        <v>0.92116303461135063</v>
      </c>
      <c r="BC319">
        <v>26</v>
      </c>
    </row>
    <row r="320" spans="15:55" x14ac:dyDescent="0.35">
      <c r="O320">
        <v>318</v>
      </c>
      <c r="P320">
        <v>114.192125</v>
      </c>
      <c r="Q320" s="14">
        <v>0.93081397217474748</v>
      </c>
      <c r="R320">
        <v>31.547999999999998</v>
      </c>
      <c r="S320" s="14">
        <v>0.92968703954735665</v>
      </c>
      <c r="T320">
        <v>26</v>
      </c>
      <c r="V320">
        <v>318</v>
      </c>
      <c r="W320">
        <v>114.555007</v>
      </c>
      <c r="X320" s="14">
        <v>0.93459864218339006</v>
      </c>
      <c r="Y320">
        <v>31.602</v>
      </c>
      <c r="Z320" s="14">
        <v>0.93281775783694432</v>
      </c>
      <c r="AA320">
        <v>26</v>
      </c>
      <c r="AC320">
        <v>318</v>
      </c>
      <c r="AD320">
        <v>113.833142</v>
      </c>
      <c r="AE320" s="14">
        <v>0.93754499348443565</v>
      </c>
      <c r="AF320">
        <v>31.402999999999999</v>
      </c>
      <c r="AG320" s="14">
        <v>0.93480784687286023</v>
      </c>
      <c r="AH320">
        <v>26</v>
      </c>
      <c r="AJ320">
        <v>318</v>
      </c>
      <c r="AK320">
        <v>113.023786</v>
      </c>
      <c r="AL320" s="14">
        <v>0.91836556166825378</v>
      </c>
      <c r="AM320">
        <v>31.233000000000001</v>
      </c>
      <c r="AN320" s="14">
        <v>0.91361961036681683</v>
      </c>
      <c r="AO320">
        <v>26</v>
      </c>
      <c r="AQ320">
        <v>318</v>
      </c>
      <c r="AR320">
        <v>111.94719600000001</v>
      </c>
      <c r="AS320" s="14">
        <v>0.91880649570358763</v>
      </c>
      <c r="AT320">
        <v>30.965</v>
      </c>
      <c r="AU320" s="14">
        <v>0.91441986829282695</v>
      </c>
      <c r="AV320">
        <v>26</v>
      </c>
      <c r="AX320">
        <v>318</v>
      </c>
      <c r="AY320">
        <v>114.18080500000001</v>
      </c>
      <c r="AZ320" s="14">
        <v>0.92362417995463153</v>
      </c>
      <c r="BA320">
        <v>31.61</v>
      </c>
      <c r="BB320" s="14">
        <v>0.92092996154294371</v>
      </c>
      <c r="BC320">
        <v>26</v>
      </c>
    </row>
    <row r="321" spans="15:55" x14ac:dyDescent="0.35">
      <c r="O321">
        <v>319</v>
      </c>
      <c r="P321">
        <v>114.13078299999999</v>
      </c>
      <c r="Q321" s="14">
        <v>0.93031395528933492</v>
      </c>
      <c r="R321">
        <v>31.533000000000001</v>
      </c>
      <c r="S321" s="14">
        <v>0.92924500500972484</v>
      </c>
      <c r="T321">
        <v>26</v>
      </c>
      <c r="V321">
        <v>319</v>
      </c>
      <c r="W321">
        <v>114.524202</v>
      </c>
      <c r="X321" s="14">
        <v>0.93434731915590807</v>
      </c>
      <c r="Y321">
        <v>31.593</v>
      </c>
      <c r="Z321" s="14">
        <v>0.93255209870712552</v>
      </c>
      <c r="AA321">
        <v>26</v>
      </c>
      <c r="AC321">
        <v>319</v>
      </c>
      <c r="AD321">
        <v>113.836933</v>
      </c>
      <c r="AE321" s="14">
        <v>0.9375762166678413</v>
      </c>
      <c r="AF321">
        <v>31.401</v>
      </c>
      <c r="AG321" s="14">
        <v>0.93474831065995878</v>
      </c>
      <c r="AH321">
        <v>26</v>
      </c>
      <c r="AJ321">
        <v>319</v>
      </c>
      <c r="AK321">
        <v>113.036181</v>
      </c>
      <c r="AL321" s="14">
        <v>0.91846627623055732</v>
      </c>
      <c r="AM321">
        <v>31.233000000000001</v>
      </c>
      <c r="AN321" s="14">
        <v>0.91361961036681683</v>
      </c>
      <c r="AO321">
        <v>26</v>
      </c>
      <c r="AQ321">
        <v>319</v>
      </c>
      <c r="AR321">
        <v>111.905142</v>
      </c>
      <c r="AS321" s="14">
        <v>0.91846133754196368</v>
      </c>
      <c r="AT321">
        <v>30.952999999999999</v>
      </c>
      <c r="AU321" s="14">
        <v>0.91406549921743496</v>
      </c>
      <c r="AV321">
        <v>26</v>
      </c>
      <c r="AX321">
        <v>319</v>
      </c>
      <c r="AY321">
        <v>114.126913</v>
      </c>
      <c r="AZ321" s="14">
        <v>0.92318824018081291</v>
      </c>
      <c r="BA321">
        <v>31.596</v>
      </c>
      <c r="BB321" s="14">
        <v>0.92052208367323163</v>
      </c>
      <c r="BC321">
        <v>26</v>
      </c>
    </row>
    <row r="322" spans="15:55" x14ac:dyDescent="0.35">
      <c r="O322">
        <v>320</v>
      </c>
      <c r="P322">
        <v>114.110325</v>
      </c>
      <c r="Q322" s="14">
        <v>0.93014719604702512</v>
      </c>
      <c r="R322">
        <v>31.527999999999999</v>
      </c>
      <c r="S322" s="14">
        <v>0.92909766016384754</v>
      </c>
      <c r="T322">
        <v>26</v>
      </c>
      <c r="V322">
        <v>320</v>
      </c>
      <c r="W322">
        <v>114.479196</v>
      </c>
      <c r="X322" s="14">
        <v>0.93398013706940097</v>
      </c>
      <c r="Y322">
        <v>31.581</v>
      </c>
      <c r="Z322" s="14">
        <v>0.9321978865340339</v>
      </c>
      <c r="AA322">
        <v>26</v>
      </c>
      <c r="AC322">
        <v>320</v>
      </c>
      <c r="AD322">
        <v>113.812787</v>
      </c>
      <c r="AE322" s="14">
        <v>0.93737734698002506</v>
      </c>
      <c r="AF322">
        <v>31.393999999999998</v>
      </c>
      <c r="AG322" s="14">
        <v>0.9345399339148035</v>
      </c>
      <c r="AH322">
        <v>26</v>
      </c>
      <c r="AJ322">
        <v>320</v>
      </c>
      <c r="AK322">
        <v>113.03082499999999</v>
      </c>
      <c r="AL322" s="14">
        <v>0.9184227564890729</v>
      </c>
      <c r="AM322">
        <v>31.228000000000002</v>
      </c>
      <c r="AN322" s="14">
        <v>0.91347335166442412</v>
      </c>
      <c r="AO322">
        <v>26</v>
      </c>
      <c r="AQ322">
        <v>320</v>
      </c>
      <c r="AR322">
        <v>111.815248</v>
      </c>
      <c r="AS322" s="14">
        <v>0.91772353262968354</v>
      </c>
      <c r="AT322">
        <v>30.933</v>
      </c>
      <c r="AU322" s="14">
        <v>0.91347488409178157</v>
      </c>
      <c r="AV322">
        <v>26</v>
      </c>
      <c r="AX322">
        <v>320</v>
      </c>
      <c r="AY322">
        <v>114.087694</v>
      </c>
      <c r="AZ322" s="14">
        <v>0.92287099231490732</v>
      </c>
      <c r="BA322">
        <v>31.585999999999999</v>
      </c>
      <c r="BB322" s="14">
        <v>0.92023074233772284</v>
      </c>
      <c r="BC322">
        <v>26</v>
      </c>
    </row>
    <row r="323" spans="15:55" x14ac:dyDescent="0.35">
      <c r="O323">
        <v>321</v>
      </c>
      <c r="P323">
        <v>114.10845399999999</v>
      </c>
      <c r="Q323" s="14">
        <v>0.9301319449695804</v>
      </c>
      <c r="R323">
        <v>31.526</v>
      </c>
      <c r="S323" s="14">
        <v>0.92903872222549666</v>
      </c>
      <c r="T323">
        <v>26</v>
      </c>
      <c r="V323">
        <v>321</v>
      </c>
      <c r="W323">
        <v>114.444228</v>
      </c>
      <c r="X323" s="14">
        <v>0.9336948501476352</v>
      </c>
      <c r="Y323">
        <v>31.573</v>
      </c>
      <c r="Z323" s="14">
        <v>0.93196174508530616</v>
      </c>
      <c r="AA323">
        <v>26</v>
      </c>
      <c r="AC323">
        <v>321</v>
      </c>
      <c r="AD323">
        <v>113.765972</v>
      </c>
      <c r="AE323" s="14">
        <v>0.93699177237408149</v>
      </c>
      <c r="AF323">
        <v>31.382999999999999</v>
      </c>
      <c r="AG323" s="14">
        <v>0.93421248474384533</v>
      </c>
      <c r="AH323">
        <v>26</v>
      </c>
      <c r="AJ323">
        <v>321</v>
      </c>
      <c r="AK323">
        <v>112.97182100000001</v>
      </c>
      <c r="AL323" s="14">
        <v>0.91794332429591796</v>
      </c>
      <c r="AM323">
        <v>31.213999999999999</v>
      </c>
      <c r="AN323" s="14">
        <v>0.91306382729772417</v>
      </c>
      <c r="AO323">
        <v>26</v>
      </c>
      <c r="AQ323">
        <v>321</v>
      </c>
      <c r="AR323">
        <v>111.76908400000001</v>
      </c>
      <c r="AS323" s="14">
        <v>0.9173446416472989</v>
      </c>
      <c r="AT323">
        <v>30.922000000000001</v>
      </c>
      <c r="AU323" s="14">
        <v>0.91315004577267223</v>
      </c>
      <c r="AV323">
        <v>26</v>
      </c>
      <c r="AX323">
        <v>321</v>
      </c>
      <c r="AY323">
        <v>114.074331</v>
      </c>
      <c r="AZ323" s="14">
        <v>0.92276289717652804</v>
      </c>
      <c r="BA323">
        <v>31.581</v>
      </c>
      <c r="BB323" s="14">
        <v>0.92008507166996856</v>
      </c>
      <c r="BC323">
        <v>26</v>
      </c>
    </row>
    <row r="324" spans="15:55" x14ac:dyDescent="0.35">
      <c r="O324">
        <v>322</v>
      </c>
      <c r="P324">
        <v>114.101304</v>
      </c>
      <c r="Q324" s="14">
        <v>0.93007366319313534</v>
      </c>
      <c r="R324">
        <v>31.521999999999998</v>
      </c>
      <c r="S324" s="14">
        <v>0.92892084634879479</v>
      </c>
      <c r="T324">
        <v>26</v>
      </c>
      <c r="V324">
        <v>322</v>
      </c>
      <c r="W324">
        <v>114.431989</v>
      </c>
      <c r="X324" s="14">
        <v>0.93359499809331448</v>
      </c>
      <c r="Y324">
        <v>31.568000000000001</v>
      </c>
      <c r="Z324" s="14">
        <v>0.93181415667985124</v>
      </c>
      <c r="AA324">
        <v>26</v>
      </c>
      <c r="AC324">
        <v>322</v>
      </c>
      <c r="AD324">
        <v>113.728369</v>
      </c>
      <c r="AE324" s="14">
        <v>0.93668206903311602</v>
      </c>
      <c r="AF324">
        <v>31.373000000000001</v>
      </c>
      <c r="AG324" s="14">
        <v>0.93391480367933788</v>
      </c>
      <c r="AH324">
        <v>26</v>
      </c>
      <c r="AJ324">
        <v>322</v>
      </c>
      <c r="AK324">
        <v>112.875112</v>
      </c>
      <c r="AL324" s="14">
        <v>0.91715752319823241</v>
      </c>
      <c r="AM324">
        <v>31.192</v>
      </c>
      <c r="AN324" s="14">
        <v>0.91242028900719596</v>
      </c>
      <c r="AO324">
        <v>26</v>
      </c>
      <c r="AQ324">
        <v>322</v>
      </c>
      <c r="AR324">
        <v>111.77915</v>
      </c>
      <c r="AS324" s="14">
        <v>0.91742725833191641</v>
      </c>
      <c r="AT324">
        <v>30.920999999999999</v>
      </c>
      <c r="AU324" s="14">
        <v>0.91312051501638958</v>
      </c>
      <c r="AV324">
        <v>26</v>
      </c>
      <c r="AX324">
        <v>322</v>
      </c>
      <c r="AY324">
        <v>114.067464</v>
      </c>
      <c r="AZ324" s="14">
        <v>0.92270734907241581</v>
      </c>
      <c r="BA324">
        <v>31.577000000000002</v>
      </c>
      <c r="BB324" s="14">
        <v>0.91996853513576515</v>
      </c>
      <c r="BC324">
        <v>26</v>
      </c>
    </row>
    <row r="325" spans="15:55" x14ac:dyDescent="0.35">
      <c r="O325">
        <v>323</v>
      </c>
      <c r="P325">
        <v>114.052374</v>
      </c>
      <c r="Q325" s="14">
        <v>0.92967482021111258</v>
      </c>
      <c r="R325">
        <v>31.509</v>
      </c>
      <c r="S325" s="14">
        <v>0.92853774974951386</v>
      </c>
      <c r="T325">
        <v>26</v>
      </c>
      <c r="V325">
        <v>323</v>
      </c>
      <c r="W325">
        <v>114.428673</v>
      </c>
      <c r="X325" s="14">
        <v>0.93356794446049096</v>
      </c>
      <c r="Y325">
        <v>31.565000000000001</v>
      </c>
      <c r="Z325" s="14">
        <v>0.9317256036365783</v>
      </c>
      <c r="AA325">
        <v>26</v>
      </c>
      <c r="AC325">
        <v>323</v>
      </c>
      <c r="AD325">
        <v>113.714198</v>
      </c>
      <c r="AE325" s="14">
        <v>0.93656535478040159</v>
      </c>
      <c r="AF325">
        <v>31.367000000000001</v>
      </c>
      <c r="AG325" s="14">
        <v>0.93373619504063343</v>
      </c>
      <c r="AH325">
        <v>26</v>
      </c>
      <c r="AJ325">
        <v>323</v>
      </c>
      <c r="AK325">
        <v>112.836459</v>
      </c>
      <c r="AL325" s="14">
        <v>0.91684345139696422</v>
      </c>
      <c r="AM325">
        <v>31.181999999999999</v>
      </c>
      <c r="AN325" s="14">
        <v>0.91212777160241032</v>
      </c>
      <c r="AO325">
        <v>26</v>
      </c>
      <c r="AQ325">
        <v>323</v>
      </c>
      <c r="AR325">
        <v>111.779529</v>
      </c>
      <c r="AS325" s="14">
        <v>0.91743036897402541</v>
      </c>
      <c r="AT325">
        <v>30.917999999999999</v>
      </c>
      <c r="AU325" s="14">
        <v>0.91303192274754152</v>
      </c>
      <c r="AV325">
        <v>26</v>
      </c>
      <c r="AX325">
        <v>323</v>
      </c>
      <c r="AY325">
        <v>114.023312</v>
      </c>
      <c r="AZ325" s="14">
        <v>0.92235019749344993</v>
      </c>
      <c r="BA325">
        <v>31.565999999999999</v>
      </c>
      <c r="BB325" s="14">
        <v>0.91964805966670549</v>
      </c>
      <c r="BC325">
        <v>26</v>
      </c>
    </row>
    <row r="326" spans="15:55" x14ac:dyDescent="0.35">
      <c r="O326">
        <v>324</v>
      </c>
      <c r="P326">
        <v>114.00052599999999</v>
      </c>
      <c r="Q326" s="14">
        <v>0.92925219174326223</v>
      </c>
      <c r="R326">
        <v>31.497</v>
      </c>
      <c r="S326" s="14">
        <v>0.92818412211940837</v>
      </c>
      <c r="T326">
        <v>26</v>
      </c>
      <c r="V326">
        <v>324</v>
      </c>
      <c r="W326">
        <v>114.382293</v>
      </c>
      <c r="X326" s="14">
        <v>0.93318955257558223</v>
      </c>
      <c r="Y326">
        <v>31.553000000000001</v>
      </c>
      <c r="Z326" s="14">
        <v>0.93137139146348669</v>
      </c>
      <c r="AA326">
        <v>26</v>
      </c>
      <c r="AC326">
        <v>324</v>
      </c>
      <c r="AD326">
        <v>113.71103600000001</v>
      </c>
      <c r="AE326" s="14">
        <v>0.93653931212518449</v>
      </c>
      <c r="AF326">
        <v>31.364999999999998</v>
      </c>
      <c r="AG326" s="14">
        <v>0.93367665882773188</v>
      </c>
      <c r="AH326">
        <v>26</v>
      </c>
      <c r="AJ326">
        <v>324</v>
      </c>
      <c r="AK326">
        <v>112.863941</v>
      </c>
      <c r="AL326" s="14">
        <v>0.9170667541481724</v>
      </c>
      <c r="AM326">
        <v>31.184999999999999</v>
      </c>
      <c r="AN326" s="14">
        <v>0.91221552682384599</v>
      </c>
      <c r="AO326">
        <v>26</v>
      </c>
      <c r="AQ326">
        <v>324</v>
      </c>
      <c r="AR326">
        <v>111.76192899999999</v>
      </c>
      <c r="AS326" s="14">
        <v>0.91728591699217876</v>
      </c>
      <c r="AT326">
        <v>30.911999999999999</v>
      </c>
      <c r="AU326" s="14">
        <v>0.91285473820984553</v>
      </c>
      <c r="AV326">
        <v>26</v>
      </c>
      <c r="AX326">
        <v>324</v>
      </c>
      <c r="AY326">
        <v>113.96045100000001</v>
      </c>
      <c r="AZ326" s="14">
        <v>0.92184170624944328</v>
      </c>
      <c r="BA326">
        <v>31.550999999999998</v>
      </c>
      <c r="BB326" s="14">
        <v>0.91921104766344253</v>
      </c>
      <c r="BC326">
        <v>26</v>
      </c>
    </row>
    <row r="327" spans="15:55" x14ac:dyDescent="0.35">
      <c r="O327">
        <v>325</v>
      </c>
      <c r="P327">
        <v>113.985598</v>
      </c>
      <c r="Q327" s="14">
        <v>0.92913050917560169</v>
      </c>
      <c r="R327">
        <v>31.492999999999999</v>
      </c>
      <c r="S327" s="14">
        <v>0.92806624624270651</v>
      </c>
      <c r="T327">
        <v>26</v>
      </c>
      <c r="V327">
        <v>325</v>
      </c>
      <c r="W327">
        <v>114.325237</v>
      </c>
      <c r="X327" s="14">
        <v>0.93272406039392297</v>
      </c>
      <c r="Y327">
        <v>31.54</v>
      </c>
      <c r="Z327" s="14">
        <v>0.93098766160930391</v>
      </c>
      <c r="AA327">
        <v>26</v>
      </c>
      <c r="AC327">
        <v>325</v>
      </c>
      <c r="AD327">
        <v>113.67225999999999</v>
      </c>
      <c r="AE327" s="14">
        <v>0.93621994779921891</v>
      </c>
      <c r="AF327">
        <v>31.355</v>
      </c>
      <c r="AG327" s="14">
        <v>0.93337897776322443</v>
      </c>
      <c r="AH327">
        <v>26</v>
      </c>
      <c r="AJ327">
        <v>325</v>
      </c>
      <c r="AK327">
        <v>112.861498</v>
      </c>
      <c r="AL327" s="14">
        <v>0.91704690375077769</v>
      </c>
      <c r="AM327">
        <v>31.181999999999999</v>
      </c>
      <c r="AN327" s="14">
        <v>0.91212777160241032</v>
      </c>
      <c r="AO327">
        <v>26</v>
      </c>
      <c r="AQ327">
        <v>325</v>
      </c>
      <c r="AR327">
        <v>111.718756</v>
      </c>
      <c r="AS327" s="14">
        <v>0.91693157463920894</v>
      </c>
      <c r="AT327">
        <v>30.9</v>
      </c>
      <c r="AU327" s="14">
        <v>0.91250036913445354</v>
      </c>
      <c r="AV327">
        <v>26</v>
      </c>
      <c r="AX327">
        <v>325</v>
      </c>
      <c r="AY327">
        <v>113.908091</v>
      </c>
      <c r="AZ327" s="14">
        <v>0.92141815903358304</v>
      </c>
      <c r="BA327">
        <v>31.538</v>
      </c>
      <c r="BB327" s="14">
        <v>0.91883230392728121</v>
      </c>
      <c r="BC327">
        <v>26</v>
      </c>
    </row>
    <row r="328" spans="15:55" x14ac:dyDescent="0.35">
      <c r="O328">
        <v>326</v>
      </c>
      <c r="P328">
        <v>113.989361</v>
      </c>
      <c r="Q328" s="14">
        <v>0.92916118250773638</v>
      </c>
      <c r="R328">
        <v>31.491</v>
      </c>
      <c r="S328" s="14">
        <v>0.92800730830435563</v>
      </c>
      <c r="T328">
        <v>26</v>
      </c>
      <c r="V328">
        <v>326</v>
      </c>
      <c r="W328">
        <v>114.271497</v>
      </c>
      <c r="X328" s="14">
        <v>0.93228562184508734</v>
      </c>
      <c r="Y328">
        <v>31.527999999999999</v>
      </c>
      <c r="Z328" s="14">
        <v>0.93063344943621229</v>
      </c>
      <c r="AA328">
        <v>26</v>
      </c>
      <c r="AC328">
        <v>326</v>
      </c>
      <c r="AD328">
        <v>113.60953600000001</v>
      </c>
      <c r="AE328" s="14">
        <v>0.93570334453993875</v>
      </c>
      <c r="AF328">
        <v>31.34</v>
      </c>
      <c r="AG328" s="14">
        <v>0.93293245616646314</v>
      </c>
      <c r="AH328">
        <v>26</v>
      </c>
      <c r="AJ328">
        <v>326</v>
      </c>
      <c r="AK328">
        <v>112.824887</v>
      </c>
      <c r="AL328" s="14">
        <v>0.91674942405408599</v>
      </c>
      <c r="AM328">
        <v>31.172000000000001</v>
      </c>
      <c r="AN328" s="14">
        <v>0.91183525419762479</v>
      </c>
      <c r="AO328">
        <v>26</v>
      </c>
      <c r="AQ328">
        <v>326</v>
      </c>
      <c r="AR328">
        <v>111.66995799999999</v>
      </c>
      <c r="AS328" s="14">
        <v>0.91653106510454097</v>
      </c>
      <c r="AT328">
        <v>30.887</v>
      </c>
      <c r="AU328" s="14">
        <v>0.9121164693027789</v>
      </c>
      <c r="AV328">
        <v>26</v>
      </c>
      <c r="AX328">
        <v>326</v>
      </c>
      <c r="AY328">
        <v>113.906505</v>
      </c>
      <c r="AZ328" s="14">
        <v>0.9214053296622241</v>
      </c>
      <c r="BA328">
        <v>31.536000000000001</v>
      </c>
      <c r="BB328" s="14">
        <v>0.91877403566017957</v>
      </c>
      <c r="BC328">
        <v>26</v>
      </c>
    </row>
    <row r="329" spans="15:55" x14ac:dyDescent="0.35">
      <c r="O329">
        <v>327</v>
      </c>
      <c r="P329">
        <v>113.992473</v>
      </c>
      <c r="Q329" s="14">
        <v>0.92918654934526057</v>
      </c>
      <c r="R329">
        <v>31.49</v>
      </c>
      <c r="S329" s="14">
        <v>0.92797783933518008</v>
      </c>
      <c r="T329">
        <v>26</v>
      </c>
      <c r="V329">
        <v>327</v>
      </c>
      <c r="W329">
        <v>114.27368199999999</v>
      </c>
      <c r="X329" s="14">
        <v>0.93230344819844058</v>
      </c>
      <c r="Y329">
        <v>31.526</v>
      </c>
      <c r="Z329" s="14">
        <v>0.9305744140740303</v>
      </c>
      <c r="AA329">
        <v>26</v>
      </c>
      <c r="AC329">
        <v>327</v>
      </c>
      <c r="AD329">
        <v>113.550676</v>
      </c>
      <c r="AE329" s="14">
        <v>0.93521856570183459</v>
      </c>
      <c r="AF329">
        <v>31.327000000000002</v>
      </c>
      <c r="AG329" s="14">
        <v>0.93254547078260352</v>
      </c>
      <c r="AH329">
        <v>26</v>
      </c>
      <c r="AJ329">
        <v>327</v>
      </c>
      <c r="AK329">
        <v>112.76888099999999</v>
      </c>
      <c r="AL329" s="14">
        <v>0.91629435186559283</v>
      </c>
      <c r="AM329">
        <v>31.157</v>
      </c>
      <c r="AN329" s="14">
        <v>0.91139647809044644</v>
      </c>
      <c r="AO329">
        <v>26</v>
      </c>
      <c r="AQ329">
        <v>327</v>
      </c>
      <c r="AR329">
        <v>111.64224</v>
      </c>
      <c r="AS329" s="14">
        <v>0.91630356964813031</v>
      </c>
      <c r="AT329">
        <v>30.88</v>
      </c>
      <c r="AU329" s="14">
        <v>0.91190975400880014</v>
      </c>
      <c r="AV329">
        <v>26</v>
      </c>
      <c r="AX329">
        <v>327</v>
      </c>
      <c r="AY329">
        <v>113.908531</v>
      </c>
      <c r="AZ329" s="14">
        <v>0.92142171825388441</v>
      </c>
      <c r="BA329">
        <v>31.535</v>
      </c>
      <c r="BB329" s="14">
        <v>0.91874490152662869</v>
      </c>
      <c r="BC329">
        <v>26</v>
      </c>
    </row>
    <row r="330" spans="15:55" x14ac:dyDescent="0.35">
      <c r="O330">
        <v>328</v>
      </c>
      <c r="P330">
        <v>113.959551</v>
      </c>
      <c r="Q330" s="14">
        <v>0.92891819233209583</v>
      </c>
      <c r="R330">
        <v>31.48</v>
      </c>
      <c r="S330" s="14">
        <v>0.92768314964342558</v>
      </c>
      <c r="T330">
        <v>26</v>
      </c>
      <c r="V330">
        <v>328</v>
      </c>
      <c r="W330">
        <v>114.275102</v>
      </c>
      <c r="X330" s="14">
        <v>0.93231503328849175</v>
      </c>
      <c r="Y330">
        <v>31.523</v>
      </c>
      <c r="Z330" s="14">
        <v>0.93048586103075737</v>
      </c>
      <c r="AA330">
        <v>26</v>
      </c>
      <c r="AC330">
        <v>328</v>
      </c>
      <c r="AD330">
        <v>113.555223</v>
      </c>
      <c r="AE330" s="14">
        <v>0.93525601540242687</v>
      </c>
      <c r="AF330">
        <v>31.324999999999999</v>
      </c>
      <c r="AG330" s="14">
        <v>0.93248593456970186</v>
      </c>
      <c r="AH330">
        <v>26</v>
      </c>
      <c r="AJ330">
        <v>328</v>
      </c>
      <c r="AK330">
        <v>112.735928</v>
      </c>
      <c r="AL330" s="14">
        <v>0.9160265949497729</v>
      </c>
      <c r="AM330">
        <v>31.148</v>
      </c>
      <c r="AN330" s="14">
        <v>0.91113321242613932</v>
      </c>
      <c r="AO330">
        <v>26</v>
      </c>
      <c r="AQ330">
        <v>328</v>
      </c>
      <c r="AR330">
        <v>111.63009599999999</v>
      </c>
      <c r="AS330" s="14">
        <v>0.91620389778065603</v>
      </c>
      <c r="AT330">
        <v>30.876000000000001</v>
      </c>
      <c r="AU330" s="14">
        <v>0.91179163098366955</v>
      </c>
      <c r="AV330">
        <v>26</v>
      </c>
      <c r="AX330">
        <v>328</v>
      </c>
      <c r="AY330">
        <v>113.87168800000001</v>
      </c>
      <c r="AZ330" s="14">
        <v>0.92112369017760609</v>
      </c>
      <c r="BA330">
        <v>31.523</v>
      </c>
      <c r="BB330" s="14">
        <v>0.91839529192401825</v>
      </c>
      <c r="BC330">
        <v>26</v>
      </c>
    </row>
    <row r="331" spans="15:55" x14ac:dyDescent="0.35">
      <c r="O331">
        <v>329</v>
      </c>
      <c r="P331">
        <v>113.91413</v>
      </c>
      <c r="Q331" s="14">
        <v>0.92854795225266684</v>
      </c>
      <c r="R331">
        <v>31.469000000000001</v>
      </c>
      <c r="S331" s="14">
        <v>0.92735899098249552</v>
      </c>
      <c r="T331">
        <v>26</v>
      </c>
      <c r="V331">
        <v>329</v>
      </c>
      <c r="W331">
        <v>114.253107</v>
      </c>
      <c r="X331" s="14">
        <v>0.93213558677041131</v>
      </c>
      <c r="Y331">
        <v>31.516999999999999</v>
      </c>
      <c r="Z331" s="14">
        <v>0.93030875494421161</v>
      </c>
      <c r="AA331">
        <v>26</v>
      </c>
      <c r="AC331">
        <v>329</v>
      </c>
      <c r="AD331">
        <v>113.558605</v>
      </c>
      <c r="AE331" s="14">
        <v>0.9352838700070899</v>
      </c>
      <c r="AF331">
        <v>31.324999999999999</v>
      </c>
      <c r="AG331" s="14">
        <v>0.93248593456970186</v>
      </c>
      <c r="AH331">
        <v>26</v>
      </c>
      <c r="AJ331">
        <v>329</v>
      </c>
      <c r="AK331">
        <v>112.724136</v>
      </c>
      <c r="AL331" s="14">
        <v>0.91593078001482475</v>
      </c>
      <c r="AM331">
        <v>31.143999999999998</v>
      </c>
      <c r="AN331" s="14">
        <v>0.91101620546422513</v>
      </c>
      <c r="AO331">
        <v>26</v>
      </c>
      <c r="AQ331">
        <v>329</v>
      </c>
      <c r="AR331">
        <v>111.60314700000001</v>
      </c>
      <c r="AS331" s="14">
        <v>0.91598271389095232</v>
      </c>
      <c r="AT331">
        <v>30.867000000000001</v>
      </c>
      <c r="AU331" s="14">
        <v>0.91152585417712551</v>
      </c>
      <c r="AV331">
        <v>26</v>
      </c>
      <c r="AX331">
        <v>329</v>
      </c>
      <c r="AY331">
        <v>113.820995</v>
      </c>
      <c r="AZ331" s="14">
        <v>0.92071362755320563</v>
      </c>
      <c r="BA331">
        <v>31.510999999999999</v>
      </c>
      <c r="BB331" s="14">
        <v>0.91804568232140782</v>
      </c>
      <c r="BC331">
        <v>26</v>
      </c>
    </row>
    <row r="332" spans="15:55" x14ac:dyDescent="0.35">
      <c r="O332">
        <v>330</v>
      </c>
      <c r="P332">
        <v>113.89014299999999</v>
      </c>
      <c r="Q332" s="14">
        <v>0.92835242708181509</v>
      </c>
      <c r="R332">
        <v>31.462</v>
      </c>
      <c r="S332" s="14">
        <v>0.92715270819826734</v>
      </c>
      <c r="T332">
        <v>26</v>
      </c>
      <c r="V332">
        <v>330</v>
      </c>
      <c r="W332">
        <v>114.19514599999999</v>
      </c>
      <c r="X332" s="14">
        <v>0.9316627111334731</v>
      </c>
      <c r="Y332">
        <v>31.504000000000001</v>
      </c>
      <c r="Z332" s="14">
        <v>0.92992502509002894</v>
      </c>
      <c r="AA332">
        <v>26</v>
      </c>
      <c r="AC332">
        <v>330</v>
      </c>
      <c r="AD332">
        <v>113.534508</v>
      </c>
      <c r="AE332" s="14">
        <v>0.93508540388983219</v>
      </c>
      <c r="AF332">
        <v>31.315999999999999</v>
      </c>
      <c r="AG332" s="14">
        <v>0.93221802161164513</v>
      </c>
      <c r="AH332">
        <v>26</v>
      </c>
      <c r="AJ332">
        <v>330</v>
      </c>
      <c r="AK332">
        <v>112.69996500000001</v>
      </c>
      <c r="AL332" s="14">
        <v>0.91573438052426892</v>
      </c>
      <c r="AM332">
        <v>31.137</v>
      </c>
      <c r="AN332" s="14">
        <v>0.91081144328087527</v>
      </c>
      <c r="AO332">
        <v>26</v>
      </c>
      <c r="AQ332">
        <v>330</v>
      </c>
      <c r="AR332">
        <v>111.547083</v>
      </c>
      <c r="AS332" s="14">
        <v>0.91552256866877879</v>
      </c>
      <c r="AT332">
        <v>30.853999999999999</v>
      </c>
      <c r="AU332" s="14">
        <v>0.91114195434545076</v>
      </c>
      <c r="AV332">
        <v>26</v>
      </c>
      <c r="AX332">
        <v>330</v>
      </c>
      <c r="AY332">
        <v>113.772317</v>
      </c>
      <c r="AZ332" s="14">
        <v>0.92031986453995818</v>
      </c>
      <c r="BA332">
        <v>31.5</v>
      </c>
      <c r="BB332" s="14">
        <v>0.91772520685234826</v>
      </c>
      <c r="BC332">
        <v>26</v>
      </c>
    </row>
    <row r="333" spans="15:55" x14ac:dyDescent="0.35">
      <c r="O333">
        <v>331</v>
      </c>
      <c r="P333">
        <v>113.901419</v>
      </c>
      <c r="Q333" s="14">
        <v>0.92844434111135299</v>
      </c>
      <c r="R333">
        <v>31.463999999999999</v>
      </c>
      <c r="S333" s="14">
        <v>0.92721164613661822</v>
      </c>
      <c r="T333">
        <v>26</v>
      </c>
      <c r="V333">
        <v>331</v>
      </c>
      <c r="W333">
        <v>114.15294900000001</v>
      </c>
      <c r="X333" s="14">
        <v>0.93131844631313043</v>
      </c>
      <c r="Y333">
        <v>31.492999999999999</v>
      </c>
      <c r="Z333" s="14">
        <v>0.92960033059802816</v>
      </c>
      <c r="AA333">
        <v>26</v>
      </c>
      <c r="AC333">
        <v>331</v>
      </c>
      <c r="AD333">
        <v>113.486767</v>
      </c>
      <c r="AE333" s="14">
        <v>0.93469220262394825</v>
      </c>
      <c r="AF333">
        <v>31.305</v>
      </c>
      <c r="AG333" s="14">
        <v>0.93189057244068696</v>
      </c>
      <c r="AH333">
        <v>26</v>
      </c>
      <c r="AJ333">
        <v>331</v>
      </c>
      <c r="AK333">
        <v>112.651813</v>
      </c>
      <c r="AL333" s="14">
        <v>0.91534312537267237</v>
      </c>
      <c r="AM333">
        <v>31.123999999999999</v>
      </c>
      <c r="AN333" s="14">
        <v>0.91043117065465395</v>
      </c>
      <c r="AO333">
        <v>26</v>
      </c>
      <c r="AQ333">
        <v>331</v>
      </c>
      <c r="AR333">
        <v>111.49596099999999</v>
      </c>
      <c r="AS333" s="14">
        <v>0.91510298490650777</v>
      </c>
      <c r="AT333">
        <v>30.84</v>
      </c>
      <c r="AU333" s="14">
        <v>0.91072852375749347</v>
      </c>
      <c r="AV333">
        <v>26</v>
      </c>
      <c r="AX333">
        <v>331</v>
      </c>
      <c r="AY333">
        <v>113.775831</v>
      </c>
      <c r="AZ333" s="14">
        <v>0.92034828976754657</v>
      </c>
      <c r="BA333">
        <v>31.498000000000001</v>
      </c>
      <c r="BB333" s="14">
        <v>0.91766693858524651</v>
      </c>
      <c r="BC333">
        <v>26</v>
      </c>
    </row>
    <row r="334" spans="15:55" x14ac:dyDescent="0.35">
      <c r="O334">
        <v>332</v>
      </c>
      <c r="P334">
        <v>113.906655</v>
      </c>
      <c r="Q334" s="14">
        <v>0.92848702130456506</v>
      </c>
      <c r="R334">
        <v>31.460999999999999</v>
      </c>
      <c r="S334" s="14">
        <v>0.92712323922909179</v>
      </c>
      <c r="T334">
        <v>26</v>
      </c>
      <c r="V334">
        <v>332</v>
      </c>
      <c r="W334">
        <v>114.161953</v>
      </c>
      <c r="X334" s="14">
        <v>0.93139190557427132</v>
      </c>
      <c r="Y334">
        <v>31.492999999999999</v>
      </c>
      <c r="Z334" s="14">
        <v>0.92960033059802816</v>
      </c>
      <c r="AA334">
        <v>26</v>
      </c>
      <c r="AC334">
        <v>332</v>
      </c>
      <c r="AD334">
        <v>113.43762</v>
      </c>
      <c r="AE334" s="14">
        <v>0.93428742135387854</v>
      </c>
      <c r="AF334">
        <v>31.292999999999999</v>
      </c>
      <c r="AG334" s="14">
        <v>0.93153335516327795</v>
      </c>
      <c r="AH334">
        <v>26</v>
      </c>
      <c r="AJ334">
        <v>332</v>
      </c>
      <c r="AK334">
        <v>112.594359</v>
      </c>
      <c r="AL334" s="14">
        <v>0.91487628757819173</v>
      </c>
      <c r="AM334">
        <v>31.11</v>
      </c>
      <c r="AN334" s="14">
        <v>0.91002164628795412</v>
      </c>
      <c r="AO334">
        <v>26</v>
      </c>
      <c r="AQ334">
        <v>332</v>
      </c>
      <c r="AR334">
        <v>111.477678</v>
      </c>
      <c r="AS334" s="14">
        <v>0.91495292720286558</v>
      </c>
      <c r="AT334">
        <v>30.834</v>
      </c>
      <c r="AU334" s="14">
        <v>0.91055133921979747</v>
      </c>
      <c r="AV334">
        <v>26</v>
      </c>
      <c r="AX334">
        <v>332</v>
      </c>
      <c r="AY334">
        <v>113.77948000000001</v>
      </c>
      <c r="AZ334" s="14">
        <v>0.9203778070286367</v>
      </c>
      <c r="BA334">
        <v>31.495999999999999</v>
      </c>
      <c r="BB334" s="14">
        <v>0.91760867031814475</v>
      </c>
      <c r="BC334">
        <v>26</v>
      </c>
    </row>
    <row r="335" spans="15:55" x14ac:dyDescent="0.35">
      <c r="O335">
        <v>333</v>
      </c>
      <c r="P335">
        <v>113.847517</v>
      </c>
      <c r="Q335" s="14">
        <v>0.9280049698786329</v>
      </c>
      <c r="R335">
        <v>31.448</v>
      </c>
      <c r="S335" s="14">
        <v>0.92674014262981086</v>
      </c>
      <c r="T335">
        <v>26</v>
      </c>
      <c r="V335">
        <v>333</v>
      </c>
      <c r="W335">
        <v>114.174012</v>
      </c>
      <c r="X335" s="14">
        <v>0.93149028909605047</v>
      </c>
      <c r="Y335">
        <v>31.492000000000001</v>
      </c>
      <c r="Z335" s="14">
        <v>0.92957081291693722</v>
      </c>
      <c r="AA335">
        <v>26</v>
      </c>
      <c r="AC335">
        <v>333</v>
      </c>
      <c r="AD335">
        <v>113.440313</v>
      </c>
      <c r="AE335" s="14">
        <v>0.93430960126232265</v>
      </c>
      <c r="AF335">
        <v>31.292000000000002</v>
      </c>
      <c r="AG335" s="14">
        <v>0.93150358705682723</v>
      </c>
      <c r="AH335">
        <v>26</v>
      </c>
      <c r="AJ335">
        <v>333</v>
      </c>
      <c r="AK335">
        <v>112.542179</v>
      </c>
      <c r="AL335" s="14">
        <v>0.91445230324087845</v>
      </c>
      <c r="AM335">
        <v>31.097999999999999</v>
      </c>
      <c r="AN335" s="14">
        <v>0.90967062540221144</v>
      </c>
      <c r="AO335">
        <v>26</v>
      </c>
      <c r="AQ335">
        <v>333</v>
      </c>
      <c r="AR335">
        <v>111.47554700000001</v>
      </c>
      <c r="AS335" s="14">
        <v>0.91493543702256364</v>
      </c>
      <c r="AT335">
        <v>30.832000000000001</v>
      </c>
      <c r="AU335" s="14">
        <v>0.91049227770723207</v>
      </c>
      <c r="AV335">
        <v>26</v>
      </c>
      <c r="AX335">
        <v>333</v>
      </c>
      <c r="AY335">
        <v>113.766572</v>
      </c>
      <c r="AZ335" s="14">
        <v>0.92027339244761441</v>
      </c>
      <c r="BA335">
        <v>31.491</v>
      </c>
      <c r="BB335" s="14">
        <v>0.91746299965039046</v>
      </c>
      <c r="BC335">
        <v>26</v>
      </c>
    </row>
    <row r="336" spans="15:55" x14ac:dyDescent="0.35">
      <c r="O336">
        <v>334</v>
      </c>
      <c r="P336">
        <v>113.781975</v>
      </c>
      <c r="Q336" s="14">
        <v>0.9274707175441198</v>
      </c>
      <c r="R336">
        <v>31.431999999999999</v>
      </c>
      <c r="S336" s="14">
        <v>0.9262686391230035</v>
      </c>
      <c r="T336">
        <v>26</v>
      </c>
      <c r="V336">
        <v>334</v>
      </c>
      <c r="W336">
        <v>114.156082</v>
      </c>
      <c r="X336" s="14">
        <v>0.93134400693786989</v>
      </c>
      <c r="Y336">
        <v>31.488</v>
      </c>
      <c r="Z336" s="14">
        <v>0.92945274219257334</v>
      </c>
      <c r="AA336">
        <v>26</v>
      </c>
      <c r="AC336">
        <v>334</v>
      </c>
      <c r="AD336">
        <v>113.45384199999999</v>
      </c>
      <c r="AE336" s="14">
        <v>0.93442102791710868</v>
      </c>
      <c r="AF336">
        <v>31.292000000000002</v>
      </c>
      <c r="AG336" s="14">
        <v>0.93150358705682723</v>
      </c>
      <c r="AH336">
        <v>26</v>
      </c>
      <c r="AJ336">
        <v>334</v>
      </c>
      <c r="AK336">
        <v>112.54034</v>
      </c>
      <c r="AL336" s="14">
        <v>0.91443736059625758</v>
      </c>
      <c r="AM336">
        <v>31.094999999999999</v>
      </c>
      <c r="AN336" s="14">
        <v>0.90958287018077577</v>
      </c>
      <c r="AO336">
        <v>26</v>
      </c>
      <c r="AQ336">
        <v>334</v>
      </c>
      <c r="AR336">
        <v>111.46309100000001</v>
      </c>
      <c r="AS336" s="14">
        <v>0.91483320441541116</v>
      </c>
      <c r="AT336">
        <v>30.826000000000001</v>
      </c>
      <c r="AU336" s="14">
        <v>0.91031509316953607</v>
      </c>
      <c r="AV336">
        <v>26</v>
      </c>
      <c r="AX336">
        <v>334</v>
      </c>
      <c r="AY336">
        <v>113.718254</v>
      </c>
      <c r="AZ336" s="14">
        <v>0.9198825415237043</v>
      </c>
      <c r="BA336">
        <v>31.478999999999999</v>
      </c>
      <c r="BB336" s="14">
        <v>0.91711339004778003</v>
      </c>
      <c r="BC336">
        <v>26</v>
      </c>
    </row>
    <row r="337" spans="15:55" x14ac:dyDescent="0.35">
      <c r="O337">
        <v>335</v>
      </c>
      <c r="P337">
        <v>113.76375899999999</v>
      </c>
      <c r="Q337" s="14">
        <v>0.92732223351059162</v>
      </c>
      <c r="R337">
        <v>31.427</v>
      </c>
      <c r="S337" s="14">
        <v>0.92612129427712619</v>
      </c>
      <c r="T337">
        <v>26</v>
      </c>
      <c r="V337">
        <v>335</v>
      </c>
      <c r="W337">
        <v>114.112791</v>
      </c>
      <c r="X337" s="14">
        <v>0.93099081670307937</v>
      </c>
      <c r="Y337">
        <v>31.475999999999999</v>
      </c>
      <c r="Z337" s="14">
        <v>0.92909853001948162</v>
      </c>
      <c r="AA337">
        <v>26</v>
      </c>
      <c r="AC337">
        <v>335</v>
      </c>
      <c r="AD337">
        <v>113.445548</v>
      </c>
      <c r="AE337" s="14">
        <v>0.93435271742300008</v>
      </c>
      <c r="AF337">
        <v>31.288</v>
      </c>
      <c r="AG337" s="14">
        <v>0.93138451463102423</v>
      </c>
      <c r="AH337">
        <v>26</v>
      </c>
      <c r="AJ337">
        <v>335</v>
      </c>
      <c r="AK337">
        <v>112.537246</v>
      </c>
      <c r="AL337" s="14">
        <v>0.91441222055141946</v>
      </c>
      <c r="AM337">
        <v>31.09</v>
      </c>
      <c r="AN337" s="14">
        <v>0.90943661147838295</v>
      </c>
      <c r="AO337">
        <v>26</v>
      </c>
      <c r="AQ337">
        <v>335</v>
      </c>
      <c r="AR337">
        <v>111.412075</v>
      </c>
      <c r="AS337" s="14">
        <v>0.91441449064803093</v>
      </c>
      <c r="AT337">
        <v>30.814</v>
      </c>
      <c r="AU337" s="14">
        <v>0.90996072409414408</v>
      </c>
      <c r="AV337">
        <v>26</v>
      </c>
      <c r="AX337">
        <v>335</v>
      </c>
      <c r="AY337">
        <v>113.671997</v>
      </c>
      <c r="AZ337" s="14">
        <v>0.91950836231125133</v>
      </c>
      <c r="BA337">
        <v>31.466999999999999</v>
      </c>
      <c r="BB337" s="14">
        <v>0.9167637804451696</v>
      </c>
      <c r="BC337">
        <v>26</v>
      </c>
    </row>
    <row r="338" spans="15:55" x14ac:dyDescent="0.35">
      <c r="O338">
        <v>336</v>
      </c>
      <c r="P338">
        <v>113.79874700000001</v>
      </c>
      <c r="Q338" s="14">
        <v>0.92760743110419508</v>
      </c>
      <c r="R338">
        <v>31.433</v>
      </c>
      <c r="S338" s="14">
        <v>0.92629810809217905</v>
      </c>
      <c r="T338">
        <v>26</v>
      </c>
      <c r="V338">
        <v>336</v>
      </c>
      <c r="W338">
        <v>114.074681</v>
      </c>
      <c r="X338" s="14">
        <v>0.93067989572994714</v>
      </c>
      <c r="Y338">
        <v>31.466999999999999</v>
      </c>
      <c r="Z338" s="14">
        <v>0.92883287088966282</v>
      </c>
      <c r="AA338">
        <v>26</v>
      </c>
      <c r="AC338">
        <v>336</v>
      </c>
      <c r="AD338">
        <v>113.402412</v>
      </c>
      <c r="AE338" s="14">
        <v>0.93399744355347136</v>
      </c>
      <c r="AF338">
        <v>31.277000000000001</v>
      </c>
      <c r="AG338" s="14">
        <v>0.93105706546006606</v>
      </c>
      <c r="AH338">
        <v>26</v>
      </c>
      <c r="AJ338">
        <v>336</v>
      </c>
      <c r="AK338">
        <v>112.517499</v>
      </c>
      <c r="AL338" s="14">
        <v>0.91425176791230633</v>
      </c>
      <c r="AM338">
        <v>31.085000000000001</v>
      </c>
      <c r="AN338" s="14">
        <v>0.90929035277599024</v>
      </c>
      <c r="AO338">
        <v>26</v>
      </c>
      <c r="AQ338">
        <v>336</v>
      </c>
      <c r="AR338">
        <v>111.350572</v>
      </c>
      <c r="AS338" s="14">
        <v>0.91390970483896738</v>
      </c>
      <c r="AT338">
        <v>30.8</v>
      </c>
      <c r="AU338" s="14">
        <v>0.90954729350618668</v>
      </c>
      <c r="AV338">
        <v>26</v>
      </c>
      <c r="AX338">
        <v>336</v>
      </c>
      <c r="AY338">
        <v>113.665216</v>
      </c>
      <c r="AZ338" s="14">
        <v>0.91945350987292529</v>
      </c>
      <c r="BA338">
        <v>31.463999999999999</v>
      </c>
      <c r="BB338" s="14">
        <v>0.91667637804451696</v>
      </c>
      <c r="BC338">
        <v>26</v>
      </c>
    </row>
    <row r="339" spans="15:55" x14ac:dyDescent="0.35">
      <c r="O339">
        <v>337</v>
      </c>
      <c r="P339">
        <v>113.801147</v>
      </c>
      <c r="Q339" s="14">
        <v>0.9276269942179669</v>
      </c>
      <c r="R339">
        <v>31.43</v>
      </c>
      <c r="S339" s="14">
        <v>0.92620970118465262</v>
      </c>
      <c r="T339">
        <v>26</v>
      </c>
      <c r="V339">
        <v>337</v>
      </c>
      <c r="W339">
        <v>114.068685</v>
      </c>
      <c r="X339" s="14">
        <v>0.93063097727928068</v>
      </c>
      <c r="Y339">
        <v>31.463999999999999</v>
      </c>
      <c r="Z339" s="14">
        <v>0.92874431784639</v>
      </c>
      <c r="AA339">
        <v>26</v>
      </c>
      <c r="AC339">
        <v>337</v>
      </c>
      <c r="AD339">
        <v>113.355154</v>
      </c>
      <c r="AE339" s="14">
        <v>0.9336082203402345</v>
      </c>
      <c r="AF339">
        <v>31.265999999999998</v>
      </c>
      <c r="AG339" s="14">
        <v>0.93072961628910766</v>
      </c>
      <c r="AH339">
        <v>26</v>
      </c>
      <c r="AJ339">
        <v>337</v>
      </c>
      <c r="AK339">
        <v>112.463167</v>
      </c>
      <c r="AL339" s="14">
        <v>0.91381029767438171</v>
      </c>
      <c r="AM339">
        <v>31.07</v>
      </c>
      <c r="AN339" s="14">
        <v>0.90885157666881178</v>
      </c>
      <c r="AO339">
        <v>26</v>
      </c>
      <c r="AQ339">
        <v>337</v>
      </c>
      <c r="AR339">
        <v>111.323656</v>
      </c>
      <c r="AS339" s="14">
        <v>0.91368879179672946</v>
      </c>
      <c r="AT339">
        <v>30.792000000000002</v>
      </c>
      <c r="AU339" s="14">
        <v>0.90931104745592539</v>
      </c>
      <c r="AV339">
        <v>26</v>
      </c>
      <c r="AX339">
        <v>337</v>
      </c>
      <c r="AY339">
        <v>113.683682</v>
      </c>
      <c r="AZ339" s="14">
        <v>0.9196028838776632</v>
      </c>
      <c r="BA339">
        <v>31.463999999999999</v>
      </c>
      <c r="BB339" s="14">
        <v>0.91667637804451696</v>
      </c>
      <c r="BC339">
        <v>26</v>
      </c>
    </row>
    <row r="340" spans="15:55" x14ac:dyDescent="0.35">
      <c r="O340">
        <v>338</v>
      </c>
      <c r="P340">
        <v>113.763621</v>
      </c>
      <c r="Q340" s="14">
        <v>0.92732110863154982</v>
      </c>
      <c r="R340">
        <v>31.420999999999999</v>
      </c>
      <c r="S340" s="14">
        <v>0.92594448046207345</v>
      </c>
      <c r="T340">
        <v>26</v>
      </c>
      <c r="V340">
        <v>338</v>
      </c>
      <c r="W340">
        <v>114.083901</v>
      </c>
      <c r="X340" s="14">
        <v>0.93075511723013815</v>
      </c>
      <c r="Y340">
        <v>31.463999999999999</v>
      </c>
      <c r="Z340" s="14">
        <v>0.92874431784639</v>
      </c>
      <c r="AA340">
        <v>26</v>
      </c>
      <c r="AC340">
        <v>338</v>
      </c>
      <c r="AD340">
        <v>113.344409</v>
      </c>
      <c r="AE340" s="14">
        <v>0.93351972308207232</v>
      </c>
      <c r="AF340">
        <v>31.262</v>
      </c>
      <c r="AG340" s="14">
        <v>0.93061054386330477</v>
      </c>
      <c r="AH340">
        <v>26</v>
      </c>
      <c r="AJ340">
        <v>338</v>
      </c>
      <c r="AK340">
        <v>112.39157400000001</v>
      </c>
      <c r="AL340" s="14">
        <v>0.91322857458773421</v>
      </c>
      <c r="AM340">
        <v>31.053999999999998</v>
      </c>
      <c r="AN340" s="14">
        <v>0.9083835488211548</v>
      </c>
      <c r="AO340">
        <v>26</v>
      </c>
      <c r="AQ340">
        <v>338</v>
      </c>
      <c r="AR340">
        <v>111.32887599999999</v>
      </c>
      <c r="AS340" s="14">
        <v>0.91373163494134535</v>
      </c>
      <c r="AT340">
        <v>30.79</v>
      </c>
      <c r="AU340" s="14">
        <v>0.90925198594335999</v>
      </c>
      <c r="AV340">
        <v>26</v>
      </c>
      <c r="AX340">
        <v>338</v>
      </c>
      <c r="AY340">
        <v>113.652671</v>
      </c>
      <c r="AZ340" s="14">
        <v>0.91935203164865165</v>
      </c>
      <c r="BA340">
        <v>31.456</v>
      </c>
      <c r="BB340" s="14">
        <v>0.91644330497611004</v>
      </c>
      <c r="BC340">
        <v>26</v>
      </c>
    </row>
    <row r="341" spans="15:55" x14ac:dyDescent="0.35">
      <c r="O341">
        <v>339</v>
      </c>
      <c r="P341">
        <v>113.704869</v>
      </c>
      <c r="Q341" s="14">
        <v>0.926842203606416</v>
      </c>
      <c r="R341">
        <v>31.405999999999999</v>
      </c>
      <c r="S341" s="14">
        <v>0.92550244592444164</v>
      </c>
      <c r="T341">
        <v>26</v>
      </c>
      <c r="V341">
        <v>339</v>
      </c>
      <c r="W341">
        <v>114.058559</v>
      </c>
      <c r="X341" s="14">
        <v>0.93054836416529652</v>
      </c>
      <c r="Y341">
        <v>31.457000000000001</v>
      </c>
      <c r="Z341" s="14">
        <v>0.9285376940787532</v>
      </c>
      <c r="AA341">
        <v>26</v>
      </c>
      <c r="AC341">
        <v>339</v>
      </c>
      <c r="AD341">
        <v>113.35787000000001</v>
      </c>
      <c r="AE341" s="14">
        <v>0.93363058967975698</v>
      </c>
      <c r="AF341">
        <v>31.262</v>
      </c>
      <c r="AG341" s="14">
        <v>0.93061054386330477</v>
      </c>
      <c r="AH341">
        <v>26</v>
      </c>
      <c r="AJ341">
        <v>339</v>
      </c>
      <c r="AK341">
        <v>112.387022</v>
      </c>
      <c r="AL341" s="14">
        <v>0.91319158768272368</v>
      </c>
      <c r="AM341">
        <v>31.05</v>
      </c>
      <c r="AN341" s="14">
        <v>0.90826654185924061</v>
      </c>
      <c r="AO341">
        <v>26</v>
      </c>
      <c r="AQ341">
        <v>339</v>
      </c>
      <c r="AR341">
        <v>111.325329</v>
      </c>
      <c r="AS341" s="14">
        <v>0.91370252294250387</v>
      </c>
      <c r="AT341">
        <v>30.786999999999999</v>
      </c>
      <c r="AU341" s="14">
        <v>0.90916339367451193</v>
      </c>
      <c r="AV341">
        <v>26</v>
      </c>
      <c r="AX341">
        <v>339</v>
      </c>
      <c r="AY341">
        <v>113.595265</v>
      </c>
      <c r="AZ341" s="14">
        <v>0.91888766664724464</v>
      </c>
      <c r="BA341">
        <v>31.442</v>
      </c>
      <c r="BB341" s="14">
        <v>0.91603542710639796</v>
      </c>
      <c r="BC341">
        <v>26</v>
      </c>
    </row>
    <row r="342" spans="15:55" x14ac:dyDescent="0.35">
      <c r="O342">
        <v>340</v>
      </c>
      <c r="P342">
        <v>113.68222900000001</v>
      </c>
      <c r="Q342" s="14">
        <v>0.9266576582331687</v>
      </c>
      <c r="R342">
        <v>31.401</v>
      </c>
      <c r="S342" s="14">
        <v>0.92535510107856433</v>
      </c>
      <c r="T342">
        <v>26</v>
      </c>
      <c r="V342">
        <v>340</v>
      </c>
      <c r="W342">
        <v>114.002482</v>
      </c>
      <c r="X342" s="14">
        <v>0.93009085916896128</v>
      </c>
      <c r="Y342">
        <v>31.443999999999999</v>
      </c>
      <c r="Z342" s="14">
        <v>0.92815396422457053</v>
      </c>
      <c r="AA342">
        <v>26</v>
      </c>
      <c r="AC342">
        <v>340</v>
      </c>
      <c r="AD342">
        <v>113.34371899999999</v>
      </c>
      <c r="AE342" s="14">
        <v>0.93351404014971939</v>
      </c>
      <c r="AF342">
        <v>31.257000000000001</v>
      </c>
      <c r="AG342" s="14">
        <v>0.93046170333105105</v>
      </c>
      <c r="AH342">
        <v>26</v>
      </c>
      <c r="AJ342">
        <v>340</v>
      </c>
      <c r="AK342">
        <v>112.391632</v>
      </c>
      <c r="AL342" s="14">
        <v>0.91322904586200715</v>
      </c>
      <c r="AM342">
        <v>31.05</v>
      </c>
      <c r="AN342" s="14">
        <v>0.90826654185924061</v>
      </c>
      <c r="AO342">
        <v>26</v>
      </c>
      <c r="AQ342">
        <v>340</v>
      </c>
      <c r="AR342">
        <v>111.294231</v>
      </c>
      <c r="AS342" s="14">
        <v>0.91344728613957948</v>
      </c>
      <c r="AT342">
        <v>30.777000000000001</v>
      </c>
      <c r="AU342" s="14">
        <v>0.90886808611168535</v>
      </c>
      <c r="AV342">
        <v>26</v>
      </c>
      <c r="AX342">
        <v>340</v>
      </c>
      <c r="AY342">
        <v>113.538827</v>
      </c>
      <c r="AZ342" s="14">
        <v>0.91843113193050063</v>
      </c>
      <c r="BA342">
        <v>31.428000000000001</v>
      </c>
      <c r="BB342" s="14">
        <v>0.91562754923668577</v>
      </c>
      <c r="BC342">
        <v>26</v>
      </c>
    </row>
    <row r="343" spans="15:55" x14ac:dyDescent="0.35">
      <c r="O343">
        <v>341</v>
      </c>
      <c r="P343">
        <v>113.70849800000001</v>
      </c>
      <c r="Q343" s="14">
        <v>0.92687178466469855</v>
      </c>
      <c r="R343">
        <v>31.405000000000001</v>
      </c>
      <c r="S343" s="14">
        <v>0.9254729769552662</v>
      </c>
      <c r="T343">
        <v>26</v>
      </c>
      <c r="V343">
        <v>341</v>
      </c>
      <c r="W343">
        <v>113.947879</v>
      </c>
      <c r="X343" s="14">
        <v>0.92964537982243955</v>
      </c>
      <c r="Y343">
        <v>31.431000000000001</v>
      </c>
      <c r="Z343" s="14">
        <v>0.92777023437038786</v>
      </c>
      <c r="AA343">
        <v>26</v>
      </c>
      <c r="AC343">
        <v>341</v>
      </c>
      <c r="AD343">
        <v>113.278013</v>
      </c>
      <c r="AE343" s="14">
        <v>0.93297287673931395</v>
      </c>
      <c r="AF343">
        <v>31.242000000000001</v>
      </c>
      <c r="AG343" s="14">
        <v>0.93001518173428976</v>
      </c>
      <c r="AH343">
        <v>26</v>
      </c>
      <c r="AJ343">
        <v>341</v>
      </c>
      <c r="AK343">
        <v>112.375826</v>
      </c>
      <c r="AL343" s="14">
        <v>0.91310061549720123</v>
      </c>
      <c r="AM343">
        <v>31.042999999999999</v>
      </c>
      <c r="AN343" s="14">
        <v>0.90806177967589075</v>
      </c>
      <c r="AO343">
        <v>26</v>
      </c>
      <c r="AQ343">
        <v>341</v>
      </c>
      <c r="AR343">
        <v>111.252554</v>
      </c>
      <c r="AS343" s="14">
        <v>0.91310522220506674</v>
      </c>
      <c r="AT343">
        <v>30.765999999999998</v>
      </c>
      <c r="AU343" s="14">
        <v>0.90854324779257589</v>
      </c>
      <c r="AV343">
        <v>26</v>
      </c>
      <c r="AX343">
        <v>341</v>
      </c>
      <c r="AY343">
        <v>113.546334</v>
      </c>
      <c r="AZ343" s="14">
        <v>0.91849185708232384</v>
      </c>
      <c r="BA343">
        <v>31.428000000000001</v>
      </c>
      <c r="BB343" s="14">
        <v>0.91562754923668577</v>
      </c>
      <c r="BC343">
        <v>26</v>
      </c>
    </row>
    <row r="344" spans="15:55" x14ac:dyDescent="0.35">
      <c r="O344">
        <v>342</v>
      </c>
      <c r="P344">
        <v>113.71843800000001</v>
      </c>
      <c r="Q344" s="14">
        <v>0.92695280856090345</v>
      </c>
      <c r="R344">
        <v>31.402999999999999</v>
      </c>
      <c r="S344" s="14">
        <v>0.92541403901691521</v>
      </c>
      <c r="T344">
        <v>26</v>
      </c>
      <c r="V344">
        <v>342</v>
      </c>
      <c r="W344">
        <v>113.957283</v>
      </c>
      <c r="X344" s="14">
        <v>0.92972210248922882</v>
      </c>
      <c r="Y344">
        <v>31.431000000000001</v>
      </c>
      <c r="Z344" s="14">
        <v>0.92777023437038786</v>
      </c>
      <c r="AA344">
        <v>26</v>
      </c>
      <c r="AC344">
        <v>342</v>
      </c>
      <c r="AD344">
        <v>113.229671</v>
      </c>
      <c r="AE344" s="14">
        <v>0.93257472555698928</v>
      </c>
      <c r="AF344">
        <v>31.231000000000002</v>
      </c>
      <c r="AG344" s="14">
        <v>0.92968773256333159</v>
      </c>
      <c r="AH344">
        <v>26</v>
      </c>
      <c r="AJ344">
        <v>342</v>
      </c>
      <c r="AK344">
        <v>112.329491</v>
      </c>
      <c r="AL344" s="14">
        <v>0.91272412423101856</v>
      </c>
      <c r="AM344">
        <v>31.030999999999999</v>
      </c>
      <c r="AN344" s="14">
        <v>0.90771075879014795</v>
      </c>
      <c r="AO344">
        <v>26</v>
      </c>
      <c r="AQ344">
        <v>342</v>
      </c>
      <c r="AR344">
        <v>111.21470100000001</v>
      </c>
      <c r="AS344" s="14">
        <v>0.91279454374660973</v>
      </c>
      <c r="AT344">
        <v>30.757000000000001</v>
      </c>
      <c r="AU344" s="14">
        <v>0.90827747098603195</v>
      </c>
      <c r="AV344">
        <v>26</v>
      </c>
      <c r="AX344">
        <v>342</v>
      </c>
      <c r="AY344">
        <v>113.56165799999999</v>
      </c>
      <c r="AZ344" s="14">
        <v>0.91861581501845524</v>
      </c>
      <c r="BA344">
        <v>31.428000000000001</v>
      </c>
      <c r="BB344" s="14">
        <v>0.91562754923668577</v>
      </c>
      <c r="BC344">
        <v>26</v>
      </c>
    </row>
    <row r="345" spans="15:55" x14ac:dyDescent="0.35">
      <c r="O345">
        <v>343</v>
      </c>
      <c r="P345">
        <v>113.661501</v>
      </c>
      <c r="Q345" s="14">
        <v>0.92648869814055945</v>
      </c>
      <c r="R345">
        <v>31.39</v>
      </c>
      <c r="S345" s="14">
        <v>0.92503094241763428</v>
      </c>
      <c r="T345">
        <v>26</v>
      </c>
      <c r="V345">
        <v>343</v>
      </c>
      <c r="W345">
        <v>113.974239</v>
      </c>
      <c r="X345" s="14">
        <v>0.92986043825465592</v>
      </c>
      <c r="Y345">
        <v>31.431999999999999</v>
      </c>
      <c r="Z345" s="14">
        <v>0.9277997520514788</v>
      </c>
      <c r="AA345">
        <v>26</v>
      </c>
      <c r="AC345">
        <v>343</v>
      </c>
      <c r="AD345">
        <v>113.22041299999999</v>
      </c>
      <c r="AE345" s="14">
        <v>0.93249847542985431</v>
      </c>
      <c r="AF345">
        <v>31.227</v>
      </c>
      <c r="AG345" s="14">
        <v>0.92956866013752859</v>
      </c>
      <c r="AH345">
        <v>26</v>
      </c>
      <c r="AJ345">
        <v>343</v>
      </c>
      <c r="AK345">
        <v>112.284093</v>
      </c>
      <c r="AL345" s="14">
        <v>0.91235524648197008</v>
      </c>
      <c r="AM345">
        <v>31.02</v>
      </c>
      <c r="AN345" s="14">
        <v>0.9073889896448839</v>
      </c>
      <c r="AO345">
        <v>26</v>
      </c>
      <c r="AQ345">
        <v>343</v>
      </c>
      <c r="AR345">
        <v>111.217609</v>
      </c>
      <c r="AS345" s="14">
        <v>0.91281841115361018</v>
      </c>
      <c r="AT345">
        <v>30.754000000000001</v>
      </c>
      <c r="AU345" s="14">
        <v>0.90818887871718401</v>
      </c>
      <c r="AV345">
        <v>26</v>
      </c>
      <c r="AX345">
        <v>343</v>
      </c>
      <c r="AY345">
        <v>113.553465</v>
      </c>
      <c r="AZ345" s="14">
        <v>0.91854954071861683</v>
      </c>
      <c r="BA345">
        <v>31.423999999999999</v>
      </c>
      <c r="BB345" s="14">
        <v>0.91551101270248225</v>
      </c>
      <c r="BC345">
        <v>26</v>
      </c>
    </row>
    <row r="346" spans="15:55" x14ac:dyDescent="0.35">
      <c r="O346">
        <v>344</v>
      </c>
      <c r="P346">
        <v>113.591746</v>
      </c>
      <c r="Q346" s="14">
        <v>0.92592010439007932</v>
      </c>
      <c r="R346">
        <v>31.373999999999999</v>
      </c>
      <c r="S346" s="14">
        <v>0.92455943891082693</v>
      </c>
      <c r="T346">
        <v>26</v>
      </c>
      <c r="V346">
        <v>344</v>
      </c>
      <c r="W346">
        <v>113.96872</v>
      </c>
      <c r="X346" s="14">
        <v>0.92981541141522495</v>
      </c>
      <c r="Y346">
        <v>31.428999999999998</v>
      </c>
      <c r="Z346" s="14">
        <v>0.92771119900820587</v>
      </c>
      <c r="AA346">
        <v>26</v>
      </c>
      <c r="AC346">
        <v>344</v>
      </c>
      <c r="AD346">
        <v>113.249456</v>
      </c>
      <c r="AE346" s="14">
        <v>0.93273767746510838</v>
      </c>
      <c r="AF346">
        <v>31.23</v>
      </c>
      <c r="AG346" s="14">
        <v>0.92965796445688076</v>
      </c>
      <c r="AH346">
        <v>26</v>
      </c>
      <c r="AJ346">
        <v>344</v>
      </c>
      <c r="AK346">
        <v>112.259243</v>
      </c>
      <c r="AL346" s="14">
        <v>0.91215332983225306</v>
      </c>
      <c r="AM346">
        <v>31.013000000000002</v>
      </c>
      <c r="AN346" s="14">
        <v>0.90718422746153404</v>
      </c>
      <c r="AO346">
        <v>26</v>
      </c>
      <c r="AQ346">
        <v>344</v>
      </c>
      <c r="AR346">
        <v>111.230772</v>
      </c>
      <c r="AS346" s="14">
        <v>0.9129264464625334</v>
      </c>
      <c r="AT346">
        <v>30.754000000000001</v>
      </c>
      <c r="AU346" s="14">
        <v>0.90818887871718401</v>
      </c>
      <c r="AV346">
        <v>26</v>
      </c>
      <c r="AX346">
        <v>344</v>
      </c>
      <c r="AY346">
        <v>113.499985</v>
      </c>
      <c r="AZ346" s="14">
        <v>0.91811693366926228</v>
      </c>
      <c r="BA346">
        <v>31.41</v>
      </c>
      <c r="BB346" s="14">
        <v>0.91510313483277017</v>
      </c>
      <c r="BC346">
        <v>26</v>
      </c>
    </row>
    <row r="347" spans="15:55" x14ac:dyDescent="0.35">
      <c r="O347">
        <v>345</v>
      </c>
      <c r="P347">
        <v>113.54286399999999</v>
      </c>
      <c r="Q347" s="14">
        <v>0.92552165267033193</v>
      </c>
      <c r="R347">
        <v>31.363</v>
      </c>
      <c r="S347" s="14">
        <v>0.92423528024989687</v>
      </c>
      <c r="T347">
        <v>26</v>
      </c>
      <c r="V347">
        <v>345</v>
      </c>
      <c r="W347">
        <v>113.92892399999999</v>
      </c>
      <c r="X347" s="14">
        <v>0.92949073518728553</v>
      </c>
      <c r="Y347">
        <v>31.417999999999999</v>
      </c>
      <c r="Z347" s="14">
        <v>0.92738650451620519</v>
      </c>
      <c r="AA347">
        <v>26</v>
      </c>
      <c r="AC347">
        <v>345</v>
      </c>
      <c r="AD347">
        <v>113.252561</v>
      </c>
      <c r="AE347" s="14">
        <v>0.93276325066069654</v>
      </c>
      <c r="AF347">
        <v>31.227</v>
      </c>
      <c r="AG347" s="14">
        <v>0.92956866013752859</v>
      </c>
      <c r="AH347">
        <v>26</v>
      </c>
      <c r="AJ347">
        <v>345</v>
      </c>
      <c r="AK347">
        <v>112.263972</v>
      </c>
      <c r="AL347" s="14">
        <v>0.91219175493633797</v>
      </c>
      <c r="AM347">
        <v>31.012</v>
      </c>
      <c r="AN347" s="14">
        <v>0.90715497572105541</v>
      </c>
      <c r="AO347">
        <v>26</v>
      </c>
      <c r="AQ347">
        <v>345</v>
      </c>
      <c r="AR347">
        <v>111.198808</v>
      </c>
      <c r="AS347" s="14">
        <v>0.91266410196550229</v>
      </c>
      <c r="AT347">
        <v>30.745000000000001</v>
      </c>
      <c r="AU347" s="14">
        <v>0.90792310191063996</v>
      </c>
      <c r="AV347">
        <v>26</v>
      </c>
      <c r="AX347">
        <v>345</v>
      </c>
      <c r="AY347">
        <v>113.44651399999999</v>
      </c>
      <c r="AZ347" s="14">
        <v>0.91768439942214119</v>
      </c>
      <c r="BA347">
        <v>31.398</v>
      </c>
      <c r="BB347" s="14">
        <v>0.91475352523015974</v>
      </c>
      <c r="BC347">
        <v>26</v>
      </c>
    </row>
    <row r="348" spans="15:55" x14ac:dyDescent="0.35">
      <c r="O348">
        <v>346</v>
      </c>
      <c r="P348">
        <v>113.52788200000001</v>
      </c>
      <c r="Q348" s="14">
        <v>0.92539952993261154</v>
      </c>
      <c r="R348">
        <v>31.356999999999999</v>
      </c>
      <c r="S348" s="14">
        <v>0.92405846643484413</v>
      </c>
      <c r="T348">
        <v>26</v>
      </c>
      <c r="V348">
        <v>346</v>
      </c>
      <c r="W348">
        <v>113.874771</v>
      </c>
      <c r="X348" s="14">
        <v>0.92904892717211807</v>
      </c>
      <c r="Y348">
        <v>31.405999999999999</v>
      </c>
      <c r="Z348" s="14">
        <v>0.92703229234311346</v>
      </c>
      <c r="AA348">
        <v>26</v>
      </c>
      <c r="AC348">
        <v>346</v>
      </c>
      <c r="AD348">
        <v>113.214709</v>
      </c>
      <c r="AE348" s="14">
        <v>0.93245149652240367</v>
      </c>
      <c r="AF348">
        <v>31.219000000000001</v>
      </c>
      <c r="AG348" s="14">
        <v>0.92933051528592259</v>
      </c>
      <c r="AH348">
        <v>26</v>
      </c>
      <c r="AJ348">
        <v>346</v>
      </c>
      <c r="AK348">
        <v>112.27502200000001</v>
      </c>
      <c r="AL348" s="14">
        <v>0.91228154081075952</v>
      </c>
      <c r="AM348">
        <v>31.01</v>
      </c>
      <c r="AN348" s="14">
        <v>0.90709647224009837</v>
      </c>
      <c r="AO348">
        <v>26</v>
      </c>
      <c r="AQ348">
        <v>346</v>
      </c>
      <c r="AR348">
        <v>111.13751600000001</v>
      </c>
      <c r="AS348" s="14">
        <v>0.9121610479387211</v>
      </c>
      <c r="AT348">
        <v>30.73</v>
      </c>
      <c r="AU348" s="14">
        <v>0.90748014056639992</v>
      </c>
      <c r="AV348">
        <v>26</v>
      </c>
      <c r="AX348">
        <v>346</v>
      </c>
      <c r="AY348">
        <v>113.43793100000001</v>
      </c>
      <c r="AZ348" s="14">
        <v>0.91761497035885387</v>
      </c>
      <c r="BA348">
        <v>31.393999999999998</v>
      </c>
      <c r="BB348" s="14">
        <v>0.91463698869595622</v>
      </c>
      <c r="BC348">
        <v>26</v>
      </c>
    </row>
    <row r="349" spans="15:55" x14ac:dyDescent="0.35">
      <c r="O349">
        <v>347</v>
      </c>
      <c r="P349">
        <v>113.50911499999999</v>
      </c>
      <c r="Q349" s="14">
        <v>0.92524655453421334</v>
      </c>
      <c r="R349">
        <v>31.352</v>
      </c>
      <c r="S349" s="14">
        <v>0.92391112158896693</v>
      </c>
      <c r="T349">
        <v>26</v>
      </c>
      <c r="V349">
        <v>347</v>
      </c>
      <c r="W349">
        <v>113.865246</v>
      </c>
      <c r="X349" s="14">
        <v>0.92897121732512034</v>
      </c>
      <c r="Y349">
        <v>31.402999999999999</v>
      </c>
      <c r="Z349" s="14">
        <v>0.92694373929984053</v>
      </c>
      <c r="AA349">
        <v>26</v>
      </c>
      <c r="AC349">
        <v>347</v>
      </c>
      <c r="AD349">
        <v>113.152736</v>
      </c>
      <c r="AE349" s="14">
        <v>0.93194107859964082</v>
      </c>
      <c r="AF349">
        <v>31.204999999999998</v>
      </c>
      <c r="AG349" s="14">
        <v>0.92891376179561203</v>
      </c>
      <c r="AH349">
        <v>26</v>
      </c>
      <c r="AJ349">
        <v>347</v>
      </c>
      <c r="AK349">
        <v>112.229078</v>
      </c>
      <c r="AL349" s="14">
        <v>0.91190822658321025</v>
      </c>
      <c r="AM349">
        <v>30.998999999999999</v>
      </c>
      <c r="AN349" s="14">
        <v>0.9067747030948341</v>
      </c>
      <c r="AO349">
        <v>26</v>
      </c>
      <c r="AQ349">
        <v>347</v>
      </c>
      <c r="AR349">
        <v>111.091347</v>
      </c>
      <c r="AS349" s="14">
        <v>0.9117821159188414</v>
      </c>
      <c r="AT349">
        <v>30.719000000000001</v>
      </c>
      <c r="AU349" s="14">
        <v>0.90715530224729057</v>
      </c>
      <c r="AV349">
        <v>26</v>
      </c>
      <c r="AX349">
        <v>347</v>
      </c>
      <c r="AY349">
        <v>113.45308900000001</v>
      </c>
      <c r="AZ349" s="14">
        <v>0.91773758549823525</v>
      </c>
      <c r="BA349">
        <v>31.393000000000001</v>
      </c>
      <c r="BB349" s="14">
        <v>0.91460785456240534</v>
      </c>
      <c r="BC349">
        <v>26</v>
      </c>
    </row>
    <row r="350" spans="15:55" x14ac:dyDescent="0.35">
      <c r="O350">
        <v>348</v>
      </c>
      <c r="P350">
        <v>113.47196099999999</v>
      </c>
      <c r="Q350" s="14">
        <v>0.92494370123043101</v>
      </c>
      <c r="R350">
        <v>31.341999999999999</v>
      </c>
      <c r="S350" s="14">
        <v>0.92361643189721232</v>
      </c>
      <c r="T350">
        <v>26</v>
      </c>
      <c r="V350">
        <v>348</v>
      </c>
      <c r="W350">
        <v>113.887158</v>
      </c>
      <c r="X350" s="14">
        <v>0.92914998668652882</v>
      </c>
      <c r="Y350">
        <v>31.404</v>
      </c>
      <c r="Z350" s="14">
        <v>0.92697325698093158</v>
      </c>
      <c r="AA350">
        <v>26</v>
      </c>
      <c r="AC350">
        <v>348</v>
      </c>
      <c r="AD350">
        <v>113.12672999999999</v>
      </c>
      <c r="AE350" s="14">
        <v>0.93172688970287332</v>
      </c>
      <c r="AF350">
        <v>31.196999999999999</v>
      </c>
      <c r="AG350" s="14">
        <v>0.92867561694400602</v>
      </c>
      <c r="AH350">
        <v>26</v>
      </c>
      <c r="AJ350">
        <v>348</v>
      </c>
      <c r="AK350">
        <v>112.158833</v>
      </c>
      <c r="AL350" s="14">
        <v>0.9113374565607002</v>
      </c>
      <c r="AM350">
        <v>30.981999999999999</v>
      </c>
      <c r="AN350" s="14">
        <v>0.9062774235066986</v>
      </c>
      <c r="AO350">
        <v>26</v>
      </c>
      <c r="AQ350">
        <v>348</v>
      </c>
      <c r="AR350">
        <v>111.107947</v>
      </c>
      <c r="AS350" s="14">
        <v>0.91191836040171959</v>
      </c>
      <c r="AT350">
        <v>30.721</v>
      </c>
      <c r="AU350" s="14">
        <v>0.90721436375985587</v>
      </c>
      <c r="AV350">
        <v>26</v>
      </c>
      <c r="AX350">
        <v>348</v>
      </c>
      <c r="AY350">
        <v>113.436176</v>
      </c>
      <c r="AZ350" s="14">
        <v>0.91760077392333372</v>
      </c>
      <c r="BA350">
        <v>31.388000000000002</v>
      </c>
      <c r="BB350" s="14">
        <v>0.91446218389465106</v>
      </c>
      <c r="BC350">
        <v>26</v>
      </c>
    </row>
    <row r="351" spans="15:55" x14ac:dyDescent="0.35">
      <c r="O351">
        <v>349</v>
      </c>
      <c r="P351">
        <v>113.41927099999999</v>
      </c>
      <c r="Q351" s="14">
        <v>0.92451420937016582</v>
      </c>
      <c r="R351">
        <v>31.329000000000001</v>
      </c>
      <c r="S351" s="14">
        <v>0.92323333529793139</v>
      </c>
      <c r="T351">
        <v>26</v>
      </c>
      <c r="V351">
        <v>349</v>
      </c>
      <c r="W351">
        <v>113.878294</v>
      </c>
      <c r="X351" s="14">
        <v>0.9290776696173646</v>
      </c>
      <c r="Y351">
        <v>31.4</v>
      </c>
      <c r="Z351" s="14">
        <v>0.9268551862565676</v>
      </c>
      <c r="AA351">
        <v>26</v>
      </c>
      <c r="AC351">
        <v>349</v>
      </c>
      <c r="AD351">
        <v>113.149361</v>
      </c>
      <c r="AE351" s="14">
        <v>0.93191328164791465</v>
      </c>
      <c r="AF351">
        <v>31.199000000000002</v>
      </c>
      <c r="AG351" s="14">
        <v>0.92873515315690769</v>
      </c>
      <c r="AH351">
        <v>26</v>
      </c>
      <c r="AJ351">
        <v>349</v>
      </c>
      <c r="AK351">
        <v>112.128888</v>
      </c>
      <c r="AL351" s="14">
        <v>0.91109414090372731</v>
      </c>
      <c r="AM351">
        <v>30.975000000000001</v>
      </c>
      <c r="AN351" s="14">
        <v>0.90607266132334874</v>
      </c>
      <c r="AO351">
        <v>26</v>
      </c>
      <c r="AQ351">
        <v>349</v>
      </c>
      <c r="AR351">
        <v>111.113212</v>
      </c>
      <c r="AS351" s="14">
        <v>0.9119615728837891</v>
      </c>
      <c r="AT351">
        <v>30.716999999999999</v>
      </c>
      <c r="AU351" s="14">
        <v>0.90709624073472517</v>
      </c>
      <c r="AV351">
        <v>26</v>
      </c>
      <c r="AX351">
        <v>349</v>
      </c>
      <c r="AY351">
        <v>113.37702299999999</v>
      </c>
      <c r="AZ351" s="14">
        <v>0.9171222771995029</v>
      </c>
      <c r="BA351">
        <v>31.373999999999999</v>
      </c>
      <c r="BB351" s="14">
        <v>0.91405430602493887</v>
      </c>
      <c r="BC351">
        <v>26</v>
      </c>
    </row>
    <row r="352" spans="15:55" x14ac:dyDescent="0.35">
      <c r="O352">
        <v>350</v>
      </c>
      <c r="P352">
        <v>113.36342999999999</v>
      </c>
      <c r="Q352" s="14">
        <v>0.9240590327717777</v>
      </c>
      <c r="R352">
        <v>31.315999999999999</v>
      </c>
      <c r="S352" s="14">
        <v>0.92285023869865035</v>
      </c>
      <c r="T352">
        <v>26</v>
      </c>
      <c r="V352">
        <v>350</v>
      </c>
      <c r="W352">
        <v>113.81645399999999</v>
      </c>
      <c r="X352" s="14">
        <v>0.92857314710415295</v>
      </c>
      <c r="Y352">
        <v>31.385000000000002</v>
      </c>
      <c r="Z352" s="14">
        <v>0.92641242104020316</v>
      </c>
      <c r="AA352">
        <v>26</v>
      </c>
      <c r="AC352">
        <v>350</v>
      </c>
      <c r="AD352">
        <v>113.16364400000001</v>
      </c>
      <c r="AE352" s="14">
        <v>0.93203091834761975</v>
      </c>
      <c r="AF352">
        <v>31.199000000000002</v>
      </c>
      <c r="AG352" s="14">
        <v>0.92873515315690769</v>
      </c>
      <c r="AH352">
        <v>26</v>
      </c>
      <c r="AJ352">
        <v>350</v>
      </c>
      <c r="AK352">
        <v>112.159779</v>
      </c>
      <c r="AL352" s="14">
        <v>0.91134514320660087</v>
      </c>
      <c r="AM352">
        <v>30.977</v>
      </c>
      <c r="AN352" s="14">
        <v>0.90613116480430589</v>
      </c>
      <c r="AO352">
        <v>26</v>
      </c>
      <c r="AQ352">
        <v>350</v>
      </c>
      <c r="AR352">
        <v>111.089116</v>
      </c>
      <c r="AS352" s="14">
        <v>0.91176380498864262</v>
      </c>
      <c r="AT352">
        <v>30.710999999999999</v>
      </c>
      <c r="AU352" s="14">
        <v>0.90691905619702917</v>
      </c>
      <c r="AV352">
        <v>26</v>
      </c>
      <c r="AX352">
        <v>350</v>
      </c>
      <c r="AY352">
        <v>113.305038</v>
      </c>
      <c r="AZ352" s="14">
        <v>0.91653998066906561</v>
      </c>
      <c r="BA352">
        <v>31.356999999999999</v>
      </c>
      <c r="BB352" s="14">
        <v>0.91355902575457404</v>
      </c>
      <c r="BC352">
        <v>26</v>
      </c>
    </row>
    <row r="353" spans="15:55" x14ac:dyDescent="0.35">
      <c r="O353">
        <v>351</v>
      </c>
      <c r="P353">
        <v>113.34218300000001</v>
      </c>
      <c r="Q353" s="14">
        <v>0.92388584215581537</v>
      </c>
      <c r="R353">
        <v>31.31</v>
      </c>
      <c r="S353" s="14">
        <v>0.9226734248835976</v>
      </c>
      <c r="T353">
        <v>26</v>
      </c>
      <c r="V353">
        <v>351</v>
      </c>
      <c r="W353">
        <v>113.753047</v>
      </c>
      <c r="X353" s="14">
        <v>0.92805584019931442</v>
      </c>
      <c r="Y353">
        <v>31.372</v>
      </c>
      <c r="Z353" s="14">
        <v>0.92602869118602038</v>
      </c>
      <c r="AA353">
        <v>26</v>
      </c>
      <c r="AC353">
        <v>351</v>
      </c>
      <c r="AD353">
        <v>113.10329299999999</v>
      </c>
      <c r="AE353" s="14">
        <v>0.93153385943395306</v>
      </c>
      <c r="AF353">
        <v>31.186</v>
      </c>
      <c r="AG353" s="14">
        <v>0.92834816777304785</v>
      </c>
      <c r="AH353">
        <v>26</v>
      </c>
      <c r="AJ353">
        <v>351</v>
      </c>
      <c r="AK353">
        <v>112.16346900000001</v>
      </c>
      <c r="AL353" s="14">
        <v>0.91137512600086479</v>
      </c>
      <c r="AM353">
        <v>30.975999999999999</v>
      </c>
      <c r="AN353" s="14">
        <v>0.90610191306382726</v>
      </c>
      <c r="AO353">
        <v>26</v>
      </c>
      <c r="AQ353">
        <v>351</v>
      </c>
      <c r="AR353">
        <v>111.026793</v>
      </c>
      <c r="AS353" s="14">
        <v>0.91125228903042477</v>
      </c>
      <c r="AT353">
        <v>30.696999999999999</v>
      </c>
      <c r="AU353" s="14">
        <v>0.90650562560907189</v>
      </c>
      <c r="AV353">
        <v>26</v>
      </c>
      <c r="AX353">
        <v>351</v>
      </c>
      <c r="AY353">
        <v>113.269786</v>
      </c>
      <c r="AZ353" s="14">
        <v>0.91625482240983136</v>
      </c>
      <c r="BA353">
        <v>31.349</v>
      </c>
      <c r="BB353" s="14">
        <v>0.91332595268616712</v>
      </c>
      <c r="BC353">
        <v>26</v>
      </c>
    </row>
    <row r="354" spans="15:55" x14ac:dyDescent="0.35">
      <c r="O354">
        <v>352</v>
      </c>
      <c r="P354">
        <v>113.34576800000001</v>
      </c>
      <c r="Q354" s="14">
        <v>0.92391506455701211</v>
      </c>
      <c r="R354">
        <v>31.309000000000001</v>
      </c>
      <c r="S354" s="14">
        <v>0.92264395591442216</v>
      </c>
      <c r="T354">
        <v>26</v>
      </c>
      <c r="V354">
        <v>352</v>
      </c>
      <c r="W354">
        <v>113.708044</v>
      </c>
      <c r="X354" s="14">
        <v>0.92768868258834969</v>
      </c>
      <c r="Y354">
        <v>31.36</v>
      </c>
      <c r="Z354" s="14">
        <v>0.92567447901292876</v>
      </c>
      <c r="AA354">
        <v>26</v>
      </c>
      <c r="AC354">
        <v>352</v>
      </c>
      <c r="AD354">
        <v>113.034916</v>
      </c>
      <c r="AE354" s="14">
        <v>0.93097069731004822</v>
      </c>
      <c r="AF354">
        <v>31.17</v>
      </c>
      <c r="AG354" s="14">
        <v>0.92787187806983595</v>
      </c>
      <c r="AH354">
        <v>26</v>
      </c>
      <c r="AJ354">
        <v>352</v>
      </c>
      <c r="AK354">
        <v>112.119349</v>
      </c>
      <c r="AL354" s="14">
        <v>0.91101663253665888</v>
      </c>
      <c r="AM354">
        <v>30.963000000000001</v>
      </c>
      <c r="AN354" s="14">
        <v>0.90572164043760606</v>
      </c>
      <c r="AO354">
        <v>26</v>
      </c>
      <c r="AQ354">
        <v>352</v>
      </c>
      <c r="AR354">
        <v>110.97859099999999</v>
      </c>
      <c r="AS354" s="14">
        <v>0.91085667116514202</v>
      </c>
      <c r="AT354">
        <v>30.684000000000001</v>
      </c>
      <c r="AU354" s="14">
        <v>0.90612172577739725</v>
      </c>
      <c r="AV354">
        <v>26</v>
      </c>
      <c r="AX354">
        <v>352</v>
      </c>
      <c r="AY354">
        <v>113.248876</v>
      </c>
      <c r="AZ354" s="14">
        <v>0.91608567855414702</v>
      </c>
      <c r="BA354">
        <v>31.341999999999999</v>
      </c>
      <c r="BB354" s="14">
        <v>0.91312201375131108</v>
      </c>
      <c r="BC354">
        <v>26</v>
      </c>
    </row>
    <row r="355" spans="15:55" x14ac:dyDescent="0.35">
      <c r="O355">
        <v>353</v>
      </c>
      <c r="P355">
        <v>113.335447</v>
      </c>
      <c r="Q355" s="14">
        <v>0.92383093501649582</v>
      </c>
      <c r="R355">
        <v>31.303999999999998</v>
      </c>
      <c r="S355" s="14">
        <v>0.92249661106854486</v>
      </c>
      <c r="T355">
        <v>26</v>
      </c>
      <c r="V355">
        <v>353</v>
      </c>
      <c r="W355">
        <v>113.69995</v>
      </c>
      <c r="X355" s="14">
        <v>0.92762264757505841</v>
      </c>
      <c r="Y355">
        <v>31.356000000000002</v>
      </c>
      <c r="Z355" s="14">
        <v>0.92555640828856489</v>
      </c>
      <c r="AA355">
        <v>26</v>
      </c>
      <c r="AC355">
        <v>353</v>
      </c>
      <c r="AD355">
        <v>112.984272</v>
      </c>
      <c r="AE355" s="14">
        <v>0.930553586547613</v>
      </c>
      <c r="AF355">
        <v>31.158999999999999</v>
      </c>
      <c r="AG355" s="14">
        <v>0.92754442889887756</v>
      </c>
      <c r="AH355">
        <v>26</v>
      </c>
      <c r="AJ355">
        <v>353</v>
      </c>
      <c r="AK355">
        <v>112.055604</v>
      </c>
      <c r="AL355" s="14">
        <v>0.91049867773439674</v>
      </c>
      <c r="AM355">
        <v>30.949000000000002</v>
      </c>
      <c r="AN355" s="14">
        <v>0.90531211607090623</v>
      </c>
      <c r="AO355">
        <v>26</v>
      </c>
      <c r="AQ355">
        <v>353</v>
      </c>
      <c r="AR355">
        <v>110.978797</v>
      </c>
      <c r="AS355" s="14">
        <v>0.91085836190992964</v>
      </c>
      <c r="AT355">
        <v>30.683</v>
      </c>
      <c r="AU355" s="14">
        <v>0.90609219502111449</v>
      </c>
      <c r="AV355">
        <v>26</v>
      </c>
      <c r="AX355">
        <v>353</v>
      </c>
      <c r="AY355">
        <v>113.235956</v>
      </c>
      <c r="AZ355" s="14">
        <v>0.91598116690348019</v>
      </c>
      <c r="BA355">
        <v>31.337</v>
      </c>
      <c r="BB355" s="14">
        <v>0.91297634308355669</v>
      </c>
      <c r="BC355">
        <v>26</v>
      </c>
    </row>
    <row r="356" spans="15:55" x14ac:dyDescent="0.35">
      <c r="O356">
        <v>354</v>
      </c>
      <c r="P356">
        <v>113.31348199999999</v>
      </c>
      <c r="Q356" s="14">
        <v>0.92365189176899676</v>
      </c>
      <c r="R356">
        <v>31.297999999999998</v>
      </c>
      <c r="S356" s="14">
        <v>0.92231979725349211</v>
      </c>
      <c r="T356">
        <v>26</v>
      </c>
      <c r="V356">
        <v>354</v>
      </c>
      <c r="W356">
        <v>113.68263899999999</v>
      </c>
      <c r="X356" s="14">
        <v>0.92748141553711838</v>
      </c>
      <c r="Y356">
        <v>31.350999999999999</v>
      </c>
      <c r="Z356" s="14">
        <v>0.92540881988310997</v>
      </c>
      <c r="AA356">
        <v>26</v>
      </c>
      <c r="AC356">
        <v>354</v>
      </c>
      <c r="AD356">
        <v>112.962176</v>
      </c>
      <c r="AE356" s="14">
        <v>0.93037160093417859</v>
      </c>
      <c r="AF356">
        <v>31.152999999999999</v>
      </c>
      <c r="AG356" s="14">
        <v>0.92736582026017311</v>
      </c>
      <c r="AH356">
        <v>26</v>
      </c>
      <c r="AJ356">
        <v>354</v>
      </c>
      <c r="AK356">
        <v>112.015901</v>
      </c>
      <c r="AL356" s="14">
        <v>0.91017607424370395</v>
      </c>
      <c r="AM356">
        <v>30.94</v>
      </c>
      <c r="AN356" s="14">
        <v>0.90504885040659921</v>
      </c>
      <c r="AO356">
        <v>26</v>
      </c>
      <c r="AQ356">
        <v>354</v>
      </c>
      <c r="AR356">
        <v>110.998178</v>
      </c>
      <c r="AS356" s="14">
        <v>0.9110174314474393</v>
      </c>
      <c r="AT356">
        <v>30.681999999999999</v>
      </c>
      <c r="AU356" s="14">
        <v>0.90606266426483184</v>
      </c>
      <c r="AV356">
        <v>26</v>
      </c>
      <c r="AX356">
        <v>354</v>
      </c>
      <c r="AY356">
        <v>113.182653</v>
      </c>
      <c r="AZ356" s="14">
        <v>0.91554999163138329</v>
      </c>
      <c r="BA356">
        <v>31.324000000000002</v>
      </c>
      <c r="BB356" s="14">
        <v>0.91259759934739548</v>
      </c>
      <c r="BC356">
        <v>26</v>
      </c>
    </row>
    <row r="357" spans="15:55" x14ac:dyDescent="0.35">
      <c r="O357">
        <v>355</v>
      </c>
      <c r="P357">
        <v>113.28242899999999</v>
      </c>
      <c r="Q357" s="14">
        <v>0.92339876953068178</v>
      </c>
      <c r="R357">
        <v>31.29</v>
      </c>
      <c r="S357" s="14">
        <v>0.92208404550008849</v>
      </c>
      <c r="T357">
        <v>26</v>
      </c>
      <c r="V357">
        <v>355</v>
      </c>
      <c r="W357">
        <v>113.641448</v>
      </c>
      <c r="X357" s="14">
        <v>0.92714535818198085</v>
      </c>
      <c r="Y357">
        <v>31.341000000000001</v>
      </c>
      <c r="Z357" s="14">
        <v>0.92511364307220023</v>
      </c>
      <c r="AA357">
        <v>26</v>
      </c>
      <c r="AC357">
        <v>355</v>
      </c>
      <c r="AD357">
        <v>112.948064</v>
      </c>
      <c r="AE357" s="14">
        <v>0.930255372613361</v>
      </c>
      <c r="AF357">
        <v>31.146999999999998</v>
      </c>
      <c r="AG357" s="14">
        <v>0.92718721162146867</v>
      </c>
      <c r="AH357">
        <v>26</v>
      </c>
      <c r="AJ357">
        <v>355</v>
      </c>
      <c r="AK357">
        <v>112.02858999999999</v>
      </c>
      <c r="AL357" s="14">
        <v>0.91027917767904631</v>
      </c>
      <c r="AM357">
        <v>30.937999999999999</v>
      </c>
      <c r="AN357" s="14">
        <v>0.90499034692564206</v>
      </c>
      <c r="AO357">
        <v>26</v>
      </c>
      <c r="AQ357">
        <v>355</v>
      </c>
      <c r="AR357">
        <v>110.98167100000001</v>
      </c>
      <c r="AS357" s="14">
        <v>0.91088195026196528</v>
      </c>
      <c r="AT357">
        <v>30.677</v>
      </c>
      <c r="AU357" s="14">
        <v>0.90591501048341849</v>
      </c>
      <c r="AV357">
        <v>26</v>
      </c>
      <c r="AX357">
        <v>355</v>
      </c>
      <c r="AY357">
        <v>113.142005</v>
      </c>
      <c r="AZ357" s="14">
        <v>0.91522118438863531</v>
      </c>
      <c r="BA357">
        <v>31.312999999999999</v>
      </c>
      <c r="BB357" s="14">
        <v>0.91227712387833593</v>
      </c>
      <c r="BC357">
        <v>26</v>
      </c>
    </row>
    <row r="358" spans="15:55" x14ac:dyDescent="0.35">
      <c r="O358">
        <v>356</v>
      </c>
      <c r="P358">
        <v>113.294348</v>
      </c>
      <c r="Q358" s="14">
        <v>0.92349592484445109</v>
      </c>
      <c r="R358">
        <v>31.291</v>
      </c>
      <c r="S358" s="14">
        <v>0.92211351446926393</v>
      </c>
      <c r="T358">
        <v>26</v>
      </c>
      <c r="V358">
        <v>356</v>
      </c>
      <c r="W358">
        <v>113.587836</v>
      </c>
      <c r="X358" s="14">
        <v>0.92670796392295263</v>
      </c>
      <c r="Y358">
        <v>31.327999999999999</v>
      </c>
      <c r="Z358" s="14">
        <v>0.92472991321801756</v>
      </c>
      <c r="AA358">
        <v>26</v>
      </c>
      <c r="AC358">
        <v>356</v>
      </c>
      <c r="AD358">
        <v>112.91963200000001</v>
      </c>
      <c r="AE358" s="14">
        <v>0.93002120285588608</v>
      </c>
      <c r="AF358">
        <v>31.138999999999999</v>
      </c>
      <c r="AG358" s="14">
        <v>0.92694906676986266</v>
      </c>
      <c r="AH358">
        <v>26</v>
      </c>
      <c r="AJ358">
        <v>356</v>
      </c>
      <c r="AK358">
        <v>112.04968100000001</v>
      </c>
      <c r="AL358" s="14">
        <v>0.91045055088062321</v>
      </c>
      <c r="AM358">
        <v>30.940999999999999</v>
      </c>
      <c r="AN358" s="14">
        <v>0.90507810214707773</v>
      </c>
      <c r="AO358">
        <v>26</v>
      </c>
      <c r="AQ358">
        <v>356</v>
      </c>
      <c r="AR358">
        <v>110.916653</v>
      </c>
      <c r="AS358" s="14">
        <v>0.91034831509402714</v>
      </c>
      <c r="AT358">
        <v>30.661000000000001</v>
      </c>
      <c r="AU358" s="14">
        <v>0.9054425183828958</v>
      </c>
      <c r="AV358">
        <v>26</v>
      </c>
      <c r="AX358">
        <v>356</v>
      </c>
      <c r="AY358">
        <v>113.069157</v>
      </c>
      <c r="AZ358" s="14">
        <v>0.91463190693292518</v>
      </c>
      <c r="BA358">
        <v>31.297000000000001</v>
      </c>
      <c r="BB358" s="14">
        <v>0.91181097774152209</v>
      </c>
      <c r="BC358">
        <v>26</v>
      </c>
    </row>
    <row r="359" spans="15:55" x14ac:dyDescent="0.35">
      <c r="O359">
        <v>357</v>
      </c>
      <c r="P359">
        <v>113.30638999999999</v>
      </c>
      <c r="Q359" s="14">
        <v>0.92359408276780108</v>
      </c>
      <c r="R359">
        <v>31.292000000000002</v>
      </c>
      <c r="S359" s="14">
        <v>0.92214298343843948</v>
      </c>
      <c r="T359">
        <v>26</v>
      </c>
      <c r="V359">
        <v>357</v>
      </c>
      <c r="W359">
        <v>113.532139</v>
      </c>
      <c r="X359" s="14">
        <v>0.92625355916198326</v>
      </c>
      <c r="Y359">
        <v>31.315000000000001</v>
      </c>
      <c r="Z359" s="14">
        <v>0.92434618336383501</v>
      </c>
      <c r="AA359">
        <v>26</v>
      </c>
      <c r="AC359">
        <v>357</v>
      </c>
      <c r="AD359">
        <v>112.86315</v>
      </c>
      <c r="AE359" s="14">
        <v>0.92955600954406492</v>
      </c>
      <c r="AF359">
        <v>31.126000000000001</v>
      </c>
      <c r="AG359" s="14">
        <v>0.92656208138600293</v>
      </c>
      <c r="AH359">
        <v>26</v>
      </c>
      <c r="AJ359">
        <v>357</v>
      </c>
      <c r="AK359">
        <v>112.005436</v>
      </c>
      <c r="AL359" s="14">
        <v>0.91009104173910482</v>
      </c>
      <c r="AM359">
        <v>30.927</v>
      </c>
      <c r="AN359" s="14">
        <v>0.9046685777803779</v>
      </c>
      <c r="AO359">
        <v>26</v>
      </c>
      <c r="AQ359">
        <v>357</v>
      </c>
      <c r="AR359">
        <v>110.843737</v>
      </c>
      <c r="AS359" s="14">
        <v>0.90974985709923539</v>
      </c>
      <c r="AT359">
        <v>30.645</v>
      </c>
      <c r="AU359" s="14">
        <v>0.90497002628237311</v>
      </c>
      <c r="AV359">
        <v>26</v>
      </c>
      <c r="AX359">
        <v>357</v>
      </c>
      <c r="AY359">
        <v>113.070173</v>
      </c>
      <c r="AZ359" s="14">
        <v>0.91464012549616647</v>
      </c>
      <c r="BA359">
        <v>31.294</v>
      </c>
      <c r="BB359" s="14">
        <v>0.91172357534086945</v>
      </c>
      <c r="BC359">
        <v>26</v>
      </c>
    </row>
    <row r="360" spans="15:55" x14ac:dyDescent="0.35">
      <c r="O360">
        <v>358</v>
      </c>
      <c r="P360">
        <v>113.269046</v>
      </c>
      <c r="Q360" s="14">
        <v>0.92328968071751183</v>
      </c>
      <c r="R360">
        <v>31.280999999999999</v>
      </c>
      <c r="S360" s="14">
        <v>0.92181882477750932</v>
      </c>
      <c r="T360">
        <v>26</v>
      </c>
      <c r="V360">
        <v>358</v>
      </c>
      <c r="W360">
        <v>113.525217</v>
      </c>
      <c r="X360" s="14">
        <v>0.92619708592724115</v>
      </c>
      <c r="Y360">
        <v>31.312000000000001</v>
      </c>
      <c r="Z360" s="14">
        <v>0.92425763032056207</v>
      </c>
      <c r="AA360">
        <v>26</v>
      </c>
      <c r="AC360">
        <v>358</v>
      </c>
      <c r="AD360">
        <v>112.80708300000001</v>
      </c>
      <c r="AE360" s="14">
        <v>0.92909423422778936</v>
      </c>
      <c r="AF360">
        <v>31.111999999999998</v>
      </c>
      <c r="AG360" s="14">
        <v>0.92614532789569237</v>
      </c>
      <c r="AH360">
        <v>26</v>
      </c>
      <c r="AJ360">
        <v>358</v>
      </c>
      <c r="AK360">
        <v>111.933626</v>
      </c>
      <c r="AL360" s="14">
        <v>0.90950755543664286</v>
      </c>
      <c r="AM360">
        <v>30.911999999999999</v>
      </c>
      <c r="AN360" s="14">
        <v>0.90422980167319955</v>
      </c>
      <c r="AO360">
        <v>26</v>
      </c>
      <c r="AQ360">
        <v>358</v>
      </c>
      <c r="AR360">
        <v>110.801637</v>
      </c>
      <c r="AS360" s="14">
        <v>0.90940432139265892</v>
      </c>
      <c r="AT360">
        <v>30.635000000000002</v>
      </c>
      <c r="AU360" s="14">
        <v>0.90467471871954641</v>
      </c>
      <c r="AV360">
        <v>26</v>
      </c>
      <c r="AX360">
        <v>358</v>
      </c>
      <c r="AY360">
        <v>113.06159700000001</v>
      </c>
      <c r="AZ360" s="14">
        <v>0.91457075305683844</v>
      </c>
      <c r="BA360">
        <v>31.29</v>
      </c>
      <c r="BB360" s="14">
        <v>0.91160703880666594</v>
      </c>
      <c r="BC360">
        <v>26</v>
      </c>
    </row>
    <row r="361" spans="15:55" x14ac:dyDescent="0.35">
      <c r="O361">
        <v>359</v>
      </c>
      <c r="P361">
        <v>113.223641</v>
      </c>
      <c r="Q361" s="14">
        <v>0.92291957105884137</v>
      </c>
      <c r="R361">
        <v>31.27</v>
      </c>
      <c r="S361" s="14">
        <v>0.92149466611657926</v>
      </c>
      <c r="T361">
        <v>26</v>
      </c>
      <c r="V361">
        <v>359</v>
      </c>
      <c r="W361">
        <v>113.521519</v>
      </c>
      <c r="X361" s="14">
        <v>0.92616691574202348</v>
      </c>
      <c r="Y361">
        <v>31.308</v>
      </c>
      <c r="Z361" s="14">
        <v>0.92413955959619809</v>
      </c>
      <c r="AA361">
        <v>26</v>
      </c>
      <c r="AC361">
        <v>359</v>
      </c>
      <c r="AD361">
        <v>112.777973</v>
      </c>
      <c r="AE361" s="14">
        <v>0.92885448037156759</v>
      </c>
      <c r="AF361">
        <v>31.106000000000002</v>
      </c>
      <c r="AG361" s="14">
        <v>0.92596671925698804</v>
      </c>
      <c r="AH361">
        <v>26</v>
      </c>
      <c r="AJ361">
        <v>359</v>
      </c>
      <c r="AK361">
        <v>111.863828</v>
      </c>
      <c r="AL361" s="14">
        <v>0.90894041747620213</v>
      </c>
      <c r="AM361">
        <v>30.895</v>
      </c>
      <c r="AN361" s="14">
        <v>0.90373252208506405</v>
      </c>
      <c r="AO361">
        <v>26</v>
      </c>
      <c r="AQ361">
        <v>359</v>
      </c>
      <c r="AR361">
        <v>110.774331</v>
      </c>
      <c r="AS361" s="14">
        <v>0.90918020742582328</v>
      </c>
      <c r="AT361">
        <v>30.628</v>
      </c>
      <c r="AU361" s="14">
        <v>0.90446800342556777</v>
      </c>
      <c r="AV361">
        <v>26</v>
      </c>
      <c r="AX361">
        <v>359</v>
      </c>
      <c r="AY361">
        <v>113.050068</v>
      </c>
      <c r="AZ361" s="14">
        <v>0.91447749339580608</v>
      </c>
      <c r="BA361">
        <v>31.286000000000001</v>
      </c>
      <c r="BB361" s="14">
        <v>0.91149050227246253</v>
      </c>
      <c r="BC361">
        <v>26</v>
      </c>
    </row>
    <row r="362" spans="15:55" x14ac:dyDescent="0.35">
      <c r="O362">
        <v>360</v>
      </c>
      <c r="P362">
        <v>113.15794699999999</v>
      </c>
      <c r="Q362" s="14">
        <v>0.92238407972712255</v>
      </c>
      <c r="R362">
        <v>31.254999999999999</v>
      </c>
      <c r="S362" s="14">
        <v>0.92105263157894746</v>
      </c>
      <c r="T362">
        <v>26</v>
      </c>
      <c r="V362">
        <v>360</v>
      </c>
      <c r="W362">
        <v>113.51039400000001</v>
      </c>
      <c r="X362" s="14">
        <v>0.92607615227243301</v>
      </c>
      <c r="Y362">
        <v>31.305</v>
      </c>
      <c r="Z362" s="14">
        <v>0.92405100655292516</v>
      </c>
      <c r="AA362">
        <v>26</v>
      </c>
      <c r="AC362">
        <v>360</v>
      </c>
      <c r="AD362">
        <v>112.79025900000001</v>
      </c>
      <c r="AE362" s="14">
        <v>0.92895566951198472</v>
      </c>
      <c r="AF362">
        <v>31.105</v>
      </c>
      <c r="AG362" s="14">
        <v>0.9259369511505372</v>
      </c>
      <c r="AH362">
        <v>26</v>
      </c>
      <c r="AJ362">
        <v>360</v>
      </c>
      <c r="AK362">
        <v>111.825779</v>
      </c>
      <c r="AL362" s="14">
        <v>0.90863125342770779</v>
      </c>
      <c r="AM362">
        <v>30.885999999999999</v>
      </c>
      <c r="AN362" s="14">
        <v>0.90346925642075704</v>
      </c>
      <c r="AO362">
        <v>26</v>
      </c>
      <c r="AQ362">
        <v>360</v>
      </c>
      <c r="AR362">
        <v>110.759021</v>
      </c>
      <c r="AS362" s="14">
        <v>0.90905455061661455</v>
      </c>
      <c r="AT362">
        <v>30.622</v>
      </c>
      <c r="AU362" s="14">
        <v>0.90429081888787177</v>
      </c>
      <c r="AV362">
        <v>26</v>
      </c>
      <c r="AX362">
        <v>360</v>
      </c>
      <c r="AY362">
        <v>113.018744</v>
      </c>
      <c r="AZ362" s="14">
        <v>0.91422410926689845</v>
      </c>
      <c r="BA362">
        <v>31.277000000000001</v>
      </c>
      <c r="BB362" s="14">
        <v>0.91122829507050473</v>
      </c>
      <c r="BC362">
        <v>26</v>
      </c>
    </row>
    <row r="363" spans="15:55" x14ac:dyDescent="0.35">
      <c r="O363">
        <v>361</v>
      </c>
      <c r="P363">
        <v>113.15480599999999</v>
      </c>
      <c r="Q363" s="14">
        <v>0.92235847650197367</v>
      </c>
      <c r="R363">
        <v>31.253</v>
      </c>
      <c r="S363" s="14">
        <v>0.92099369364059658</v>
      </c>
      <c r="T363">
        <v>26</v>
      </c>
      <c r="V363">
        <v>361</v>
      </c>
      <c r="W363">
        <v>113.486445</v>
      </c>
      <c r="X363" s="14">
        <v>0.9258807640177612</v>
      </c>
      <c r="Y363">
        <v>31.297999999999998</v>
      </c>
      <c r="Z363" s="14">
        <v>0.92384438278528835</v>
      </c>
      <c r="AA363">
        <v>26</v>
      </c>
      <c r="AC363">
        <v>361</v>
      </c>
      <c r="AD363">
        <v>112.775471</v>
      </c>
      <c r="AE363" s="14">
        <v>0.92883387356468794</v>
      </c>
      <c r="AF363">
        <v>31.1</v>
      </c>
      <c r="AG363" s="14">
        <v>0.92578811061828348</v>
      </c>
      <c r="AH363">
        <v>26</v>
      </c>
      <c r="AJ363">
        <v>361</v>
      </c>
      <c r="AK363">
        <v>111.803375</v>
      </c>
      <c r="AL363" s="14">
        <v>0.90844921155164104</v>
      </c>
      <c r="AM363">
        <v>30.879000000000001</v>
      </c>
      <c r="AN363" s="14">
        <v>0.90326449423740718</v>
      </c>
      <c r="AO363">
        <v>26</v>
      </c>
      <c r="AQ363">
        <v>361</v>
      </c>
      <c r="AR363">
        <v>110.71701400000001</v>
      </c>
      <c r="AS363" s="14">
        <v>0.90870977820744214</v>
      </c>
      <c r="AT363">
        <v>30.61</v>
      </c>
      <c r="AU363" s="14">
        <v>0.90393644981247967</v>
      </c>
      <c r="AV363">
        <v>26</v>
      </c>
      <c r="AX363">
        <v>361</v>
      </c>
      <c r="AY363">
        <v>112.99045599999999</v>
      </c>
      <c r="AZ363" s="14">
        <v>0.91399528375807004</v>
      </c>
      <c r="BA363">
        <v>31.268999999999998</v>
      </c>
      <c r="BB363" s="14">
        <v>0.9109952220020977</v>
      </c>
      <c r="BC363">
        <v>26</v>
      </c>
    </row>
    <row r="364" spans="15:55" x14ac:dyDescent="0.35">
      <c r="O364">
        <v>362</v>
      </c>
      <c r="P364">
        <v>113.15439600000001</v>
      </c>
      <c r="Q364" s="14">
        <v>0.92235513447003781</v>
      </c>
      <c r="R364">
        <v>31.251000000000001</v>
      </c>
      <c r="S364" s="14">
        <v>0.92093475570224559</v>
      </c>
      <c r="T364">
        <v>26</v>
      </c>
      <c r="V364">
        <v>362</v>
      </c>
      <c r="W364">
        <v>113.459909</v>
      </c>
      <c r="X364" s="14">
        <v>0.9256642696870595</v>
      </c>
      <c r="Y364">
        <v>31.29</v>
      </c>
      <c r="Z364" s="14">
        <v>0.92360824133656061</v>
      </c>
      <c r="AA364">
        <v>26</v>
      </c>
      <c r="AC364">
        <v>362</v>
      </c>
      <c r="AD364">
        <v>112.753131</v>
      </c>
      <c r="AE364" s="14">
        <v>0.92864987833459545</v>
      </c>
      <c r="AF364">
        <v>31.094000000000001</v>
      </c>
      <c r="AG364" s="14">
        <v>0.92560950197957903</v>
      </c>
      <c r="AH364">
        <v>26</v>
      </c>
      <c r="AJ364">
        <v>362</v>
      </c>
      <c r="AK364">
        <v>111.77991299999999</v>
      </c>
      <c r="AL364" s="14">
        <v>0.90825857298280144</v>
      </c>
      <c r="AM364">
        <v>30.870999999999999</v>
      </c>
      <c r="AN364" s="14">
        <v>0.90303048031357858</v>
      </c>
      <c r="AO364">
        <v>26</v>
      </c>
      <c r="AQ364">
        <v>362</v>
      </c>
      <c r="AR364">
        <v>110.683762</v>
      </c>
      <c r="AS364" s="14">
        <v>0.90843686245173949</v>
      </c>
      <c r="AT364">
        <v>30.602</v>
      </c>
      <c r="AU364" s="14">
        <v>0.90370020376221838</v>
      </c>
      <c r="AV364">
        <v>26</v>
      </c>
      <c r="AX364">
        <v>362</v>
      </c>
      <c r="AY364">
        <v>112.998107</v>
      </c>
      <c r="AZ364" s="14">
        <v>0.91405717374562834</v>
      </c>
      <c r="BA364">
        <v>31.268999999999998</v>
      </c>
      <c r="BB364" s="14">
        <v>0.9109952220020977</v>
      </c>
      <c r="BC364">
        <v>26</v>
      </c>
    </row>
    <row r="365" spans="15:55" x14ac:dyDescent="0.35">
      <c r="O365">
        <v>363</v>
      </c>
      <c r="P365">
        <v>113.104214</v>
      </c>
      <c r="Q365" s="14">
        <v>0.92194608606366402</v>
      </c>
      <c r="R365">
        <v>31.238</v>
      </c>
      <c r="S365" s="14">
        <v>0.92055165910296466</v>
      </c>
      <c r="T365">
        <v>26</v>
      </c>
      <c r="V365">
        <v>363</v>
      </c>
      <c r="W365">
        <v>113.4718</v>
      </c>
      <c r="X365" s="14">
        <v>0.92576128257846646</v>
      </c>
      <c r="Y365">
        <v>31.291</v>
      </c>
      <c r="Z365" s="14">
        <v>0.92363775901765155</v>
      </c>
      <c r="AA365">
        <v>26</v>
      </c>
      <c r="AC365">
        <v>363</v>
      </c>
      <c r="AD365">
        <v>112.724475</v>
      </c>
      <c r="AE365" s="14">
        <v>0.92841386368313927</v>
      </c>
      <c r="AF365">
        <v>31.085999999999999</v>
      </c>
      <c r="AG365" s="14">
        <v>0.92537135712797292</v>
      </c>
      <c r="AH365">
        <v>26</v>
      </c>
      <c r="AJ365">
        <v>363</v>
      </c>
      <c r="AK365">
        <v>111.73306700000001</v>
      </c>
      <c r="AL365" s="14">
        <v>0.90787792962776559</v>
      </c>
      <c r="AM365">
        <v>30.86</v>
      </c>
      <c r="AN365" s="14">
        <v>0.90270871116831453</v>
      </c>
      <c r="AO365">
        <v>26</v>
      </c>
      <c r="AQ365">
        <v>363</v>
      </c>
      <c r="AR365">
        <v>110.618537</v>
      </c>
      <c r="AS365" s="14">
        <v>0.90790152833151494</v>
      </c>
      <c r="AT365">
        <v>30.585999999999999</v>
      </c>
      <c r="AU365" s="14">
        <v>0.90322771166169558</v>
      </c>
      <c r="AV365">
        <v>26</v>
      </c>
      <c r="AX365">
        <v>363</v>
      </c>
      <c r="AY365">
        <v>113.00553499999999</v>
      </c>
      <c r="AZ365" s="14">
        <v>0.91411725985562453</v>
      </c>
      <c r="BA365">
        <v>31.266999999999999</v>
      </c>
      <c r="BB365" s="14">
        <v>0.91093695373499595</v>
      </c>
      <c r="BC365">
        <v>26</v>
      </c>
    </row>
    <row r="366" spans="15:55" x14ac:dyDescent="0.35">
      <c r="O366">
        <v>364</v>
      </c>
      <c r="P366">
        <v>113.049565</v>
      </c>
      <c r="Q366" s="14">
        <v>0.9215006258117826</v>
      </c>
      <c r="R366">
        <v>31.224</v>
      </c>
      <c r="S366" s="14">
        <v>0.92013909353450829</v>
      </c>
      <c r="T366">
        <v>26</v>
      </c>
      <c r="V366">
        <v>364</v>
      </c>
      <c r="W366">
        <v>113.479292</v>
      </c>
      <c r="X366" s="14">
        <v>0.92582240616625722</v>
      </c>
      <c r="Y366">
        <v>31.289000000000001</v>
      </c>
      <c r="Z366" s="14">
        <v>0.92357872365546967</v>
      </c>
      <c r="AA366">
        <v>26</v>
      </c>
      <c r="AC366">
        <v>364</v>
      </c>
      <c r="AD366">
        <v>112.724163</v>
      </c>
      <c r="AE366" s="14">
        <v>0.92841129400937972</v>
      </c>
      <c r="AF366">
        <v>31.084</v>
      </c>
      <c r="AG366" s="14">
        <v>0.92531182091507147</v>
      </c>
      <c r="AH366">
        <v>26</v>
      </c>
      <c r="AJ366">
        <v>364</v>
      </c>
      <c r="AK366">
        <v>111.68309000000001</v>
      </c>
      <c r="AL366" s="14">
        <v>0.90747184558740701</v>
      </c>
      <c r="AM366">
        <v>30.847000000000001</v>
      </c>
      <c r="AN366" s="14">
        <v>0.90232843854209333</v>
      </c>
      <c r="AO366">
        <v>26</v>
      </c>
      <c r="AQ366">
        <v>364</v>
      </c>
      <c r="AR366">
        <v>110.601772</v>
      </c>
      <c r="AS366" s="14">
        <v>0.90776392961130692</v>
      </c>
      <c r="AT366">
        <v>30.579000000000001</v>
      </c>
      <c r="AU366" s="14">
        <v>0.90302099636771704</v>
      </c>
      <c r="AV366">
        <v>26</v>
      </c>
      <c r="AX366">
        <v>364</v>
      </c>
      <c r="AY366">
        <v>112.95345</v>
      </c>
      <c r="AZ366" s="14">
        <v>0.91369593715245279</v>
      </c>
      <c r="BA366">
        <v>31.254999999999999</v>
      </c>
      <c r="BB366" s="14">
        <v>0.91058734413238551</v>
      </c>
      <c r="BC366">
        <v>26</v>
      </c>
    </row>
    <row r="367" spans="15:55" x14ac:dyDescent="0.35">
      <c r="O367">
        <v>365</v>
      </c>
      <c r="P367">
        <v>113.004029</v>
      </c>
      <c r="Q367" s="14">
        <v>0.92112944833315225</v>
      </c>
      <c r="R367">
        <v>31.215</v>
      </c>
      <c r="S367" s="14">
        <v>0.91987387281192912</v>
      </c>
      <c r="T367">
        <v>26</v>
      </c>
      <c r="V367">
        <v>365</v>
      </c>
      <c r="W367">
        <v>113.44148199999999</v>
      </c>
      <c r="X367" s="14">
        <v>0.92551393274736105</v>
      </c>
      <c r="Y367">
        <v>31.28</v>
      </c>
      <c r="Z367" s="14">
        <v>0.92331306452565087</v>
      </c>
      <c r="AA367">
        <v>26</v>
      </c>
      <c r="AC367">
        <v>365</v>
      </c>
      <c r="AD367">
        <v>112.738781</v>
      </c>
      <c r="AE367" s="14">
        <v>0.92853168981392276</v>
      </c>
      <c r="AF367">
        <v>31.084</v>
      </c>
      <c r="AG367" s="14">
        <v>0.92531182091507147</v>
      </c>
      <c r="AH367">
        <v>26</v>
      </c>
      <c r="AJ367">
        <v>365</v>
      </c>
      <c r="AK367">
        <v>111.62061199999999</v>
      </c>
      <c r="AL367" s="14">
        <v>0.90696418569038395</v>
      </c>
      <c r="AM367">
        <v>30.832999999999998</v>
      </c>
      <c r="AN367" s="14">
        <v>0.90191891417539338</v>
      </c>
      <c r="AO367">
        <v>26</v>
      </c>
      <c r="AQ367">
        <v>365</v>
      </c>
      <c r="AR367">
        <v>110.600404</v>
      </c>
      <c r="AS367" s="14">
        <v>0.90775270175271794</v>
      </c>
      <c r="AT367">
        <v>30.577999999999999</v>
      </c>
      <c r="AU367" s="14">
        <v>0.90299146561143429</v>
      </c>
      <c r="AV367">
        <v>26</v>
      </c>
      <c r="AX367">
        <v>365</v>
      </c>
      <c r="AY367">
        <v>112.911575</v>
      </c>
      <c r="AZ367" s="14">
        <v>0.9133572045385463</v>
      </c>
      <c r="BA367">
        <v>31.242999999999999</v>
      </c>
      <c r="BB367" s="14">
        <v>0.91023773452977508</v>
      </c>
      <c r="BC367">
        <v>26</v>
      </c>
    </row>
    <row r="368" spans="15:55" x14ac:dyDescent="0.35">
      <c r="O368">
        <v>366</v>
      </c>
      <c r="P368">
        <v>112.99358100000001</v>
      </c>
      <c r="Q368" s="14">
        <v>0.92104428357786561</v>
      </c>
      <c r="R368">
        <v>31.21</v>
      </c>
      <c r="S368" s="14">
        <v>0.91972652796605181</v>
      </c>
      <c r="T368">
        <v>26</v>
      </c>
      <c r="V368">
        <v>366</v>
      </c>
      <c r="W368">
        <v>113.402366</v>
      </c>
      <c r="X368" s="14">
        <v>0.92519480430902368</v>
      </c>
      <c r="Y368">
        <v>31.271000000000001</v>
      </c>
      <c r="Z368" s="14">
        <v>0.92304740539583208</v>
      </c>
      <c r="AA368">
        <v>26</v>
      </c>
      <c r="AC368">
        <v>366</v>
      </c>
      <c r="AD368">
        <v>112.72295800000001</v>
      </c>
      <c r="AE368" s="14">
        <v>0.92840136946809682</v>
      </c>
      <c r="AF368">
        <v>31.079000000000001</v>
      </c>
      <c r="AG368" s="14">
        <v>0.92516298038281775</v>
      </c>
      <c r="AH368">
        <v>26</v>
      </c>
      <c r="AJ368">
        <v>366</v>
      </c>
      <c r="AK368">
        <v>111.621916</v>
      </c>
      <c r="AL368" s="14">
        <v>0.90697478123610753</v>
      </c>
      <c r="AM368">
        <v>30.831</v>
      </c>
      <c r="AN368" s="14">
        <v>0.90186041069443634</v>
      </c>
      <c r="AO368">
        <v>26</v>
      </c>
      <c r="AQ368">
        <v>366</v>
      </c>
      <c r="AR368">
        <v>110.581937</v>
      </c>
      <c r="AS368" s="14">
        <v>0.90760113386926544</v>
      </c>
      <c r="AT368">
        <v>30.57</v>
      </c>
      <c r="AU368" s="14">
        <v>0.90275521956117299</v>
      </c>
      <c r="AV368">
        <v>26</v>
      </c>
      <c r="AX368">
        <v>366</v>
      </c>
      <c r="AY368">
        <v>112.847218</v>
      </c>
      <c r="AZ368" s="14">
        <v>0.91283661194551502</v>
      </c>
      <c r="BA368">
        <v>31.228999999999999</v>
      </c>
      <c r="BB368" s="14">
        <v>0.909829856660063</v>
      </c>
      <c r="BC368">
        <v>26</v>
      </c>
    </row>
    <row r="369" spans="15:55" x14ac:dyDescent="0.35">
      <c r="O369">
        <v>367</v>
      </c>
      <c r="P369">
        <v>112.99011299999999</v>
      </c>
      <c r="Q369" s="14">
        <v>0.92101601487846529</v>
      </c>
      <c r="R369">
        <v>31.207000000000001</v>
      </c>
      <c r="S369" s="14">
        <v>0.91963812105852549</v>
      </c>
      <c r="T369">
        <v>26</v>
      </c>
      <c r="V369">
        <v>367</v>
      </c>
      <c r="W369">
        <v>113.34054999999999</v>
      </c>
      <c r="X369" s="14">
        <v>0.92469047760015088</v>
      </c>
      <c r="Y369">
        <v>31.256</v>
      </c>
      <c r="Z369" s="14">
        <v>0.92260464017946753</v>
      </c>
      <c r="AA369">
        <v>26</v>
      </c>
      <c r="AC369">
        <v>367</v>
      </c>
      <c r="AD369">
        <v>112.661871</v>
      </c>
      <c r="AE369" s="14">
        <v>0.92789824875992044</v>
      </c>
      <c r="AF369">
        <v>31.065000000000001</v>
      </c>
      <c r="AG369" s="14">
        <v>0.92474622689250729</v>
      </c>
      <c r="AH369">
        <v>26</v>
      </c>
      <c r="AJ369">
        <v>367</v>
      </c>
      <c r="AK369">
        <v>111.611071</v>
      </c>
      <c r="AL369" s="14">
        <v>0.90688666107247851</v>
      </c>
      <c r="AM369">
        <v>30.824999999999999</v>
      </c>
      <c r="AN369" s="14">
        <v>0.901684900251565</v>
      </c>
      <c r="AO369">
        <v>26</v>
      </c>
      <c r="AQ369">
        <v>367</v>
      </c>
      <c r="AR369">
        <v>110.549064</v>
      </c>
      <c r="AS369" s="14">
        <v>0.90733132875567191</v>
      </c>
      <c r="AT369">
        <v>30.562999999999999</v>
      </c>
      <c r="AU369" s="14">
        <v>0.90254850426719424</v>
      </c>
      <c r="AV369">
        <v>26</v>
      </c>
      <c r="AX369">
        <v>367</v>
      </c>
      <c r="AY369">
        <v>112.84272799999999</v>
      </c>
      <c r="AZ369" s="14">
        <v>0.91280029172016719</v>
      </c>
      <c r="BA369">
        <v>31.225000000000001</v>
      </c>
      <c r="BB369" s="14">
        <v>0.90971332012585959</v>
      </c>
      <c r="BC369">
        <v>26</v>
      </c>
    </row>
    <row r="370" spans="15:55" x14ac:dyDescent="0.35">
      <c r="O370">
        <v>368</v>
      </c>
      <c r="P370">
        <v>112.911485</v>
      </c>
      <c r="Q370" s="14">
        <v>0.92037509466611134</v>
      </c>
      <c r="R370">
        <v>31.189</v>
      </c>
      <c r="S370" s="14">
        <v>0.91910767961336715</v>
      </c>
      <c r="T370">
        <v>26</v>
      </c>
      <c r="V370">
        <v>368</v>
      </c>
      <c r="W370">
        <v>113.33108300000001</v>
      </c>
      <c r="X370" s="14">
        <v>0.92461324094697217</v>
      </c>
      <c r="Y370">
        <v>31.251999999999999</v>
      </c>
      <c r="Z370" s="14">
        <v>0.92248656945510354</v>
      </c>
      <c r="AA370">
        <v>26</v>
      </c>
      <c r="AC370">
        <v>368</v>
      </c>
      <c r="AD370">
        <v>112.61818</v>
      </c>
      <c r="AE370" s="14">
        <v>0.92753840383610775</v>
      </c>
      <c r="AF370">
        <v>31.053999999999998</v>
      </c>
      <c r="AG370" s="14">
        <v>0.92441877772154901</v>
      </c>
      <c r="AH370">
        <v>26</v>
      </c>
      <c r="AJ370">
        <v>368</v>
      </c>
      <c r="AK370">
        <v>111.59323500000001</v>
      </c>
      <c r="AL370" s="14">
        <v>0.90674173610811837</v>
      </c>
      <c r="AM370">
        <v>30.818999999999999</v>
      </c>
      <c r="AN370" s="14">
        <v>0.90150938980869355</v>
      </c>
      <c r="AO370">
        <v>26</v>
      </c>
      <c r="AQ370">
        <v>368</v>
      </c>
      <c r="AR370">
        <v>110.52030999999999</v>
      </c>
      <c r="AS370" s="14">
        <v>0.90709533033032974</v>
      </c>
      <c r="AT370">
        <v>30.553999999999998</v>
      </c>
      <c r="AU370" s="14">
        <v>0.90228272746065019</v>
      </c>
      <c r="AV370">
        <v>26</v>
      </c>
      <c r="AX370">
        <v>368</v>
      </c>
      <c r="AY370">
        <v>112.837436</v>
      </c>
      <c r="AZ370" s="14">
        <v>0.91275748400690648</v>
      </c>
      <c r="BA370">
        <v>31.222000000000001</v>
      </c>
      <c r="BB370" s="14">
        <v>0.90962591772520696</v>
      </c>
      <c r="BC370">
        <v>26</v>
      </c>
    </row>
    <row r="371" spans="15:55" x14ac:dyDescent="0.35">
      <c r="O371">
        <v>369</v>
      </c>
      <c r="P371">
        <v>112.83747099999999</v>
      </c>
      <c r="Q371" s="14">
        <v>0.91977178453998354</v>
      </c>
      <c r="R371">
        <v>31.172000000000001</v>
      </c>
      <c r="S371" s="14">
        <v>0.91860670713738446</v>
      </c>
      <c r="T371">
        <v>26</v>
      </c>
      <c r="V371">
        <v>369</v>
      </c>
      <c r="W371">
        <v>113.334333</v>
      </c>
      <c r="X371" s="14">
        <v>0.92463975611786375</v>
      </c>
      <c r="Y371">
        <v>31.251000000000001</v>
      </c>
      <c r="Z371" s="14">
        <v>0.92245705177401272</v>
      </c>
      <c r="AA371">
        <v>26</v>
      </c>
      <c r="AC371">
        <v>369</v>
      </c>
      <c r="AD371">
        <v>112.583651</v>
      </c>
      <c r="AE371" s="14">
        <v>0.9272540183705813</v>
      </c>
      <c r="AF371">
        <v>31.045999999999999</v>
      </c>
      <c r="AG371" s="14">
        <v>0.92418063286994301</v>
      </c>
      <c r="AH371">
        <v>26</v>
      </c>
      <c r="AJ371">
        <v>369</v>
      </c>
      <c r="AK371">
        <v>111.555527</v>
      </c>
      <c r="AL371" s="14">
        <v>0.90643534282733229</v>
      </c>
      <c r="AM371">
        <v>30.81</v>
      </c>
      <c r="AN371" s="14">
        <v>0.90124612414438654</v>
      </c>
      <c r="AO371">
        <v>26</v>
      </c>
      <c r="AQ371">
        <v>369</v>
      </c>
      <c r="AR371">
        <v>110.521209</v>
      </c>
      <c r="AS371" s="14">
        <v>0.90710270887190247</v>
      </c>
      <c r="AT371">
        <v>30.550999999999998</v>
      </c>
      <c r="AU371" s="14">
        <v>0.90219413519180225</v>
      </c>
      <c r="AV371">
        <v>26</v>
      </c>
      <c r="AX371">
        <v>369</v>
      </c>
      <c r="AY371">
        <v>112.783326</v>
      </c>
      <c r="AZ371" s="14">
        <v>0.91231978080121146</v>
      </c>
      <c r="BA371">
        <v>31.209</v>
      </c>
      <c r="BB371" s="14">
        <v>0.90924717398904564</v>
      </c>
      <c r="BC371">
        <v>26</v>
      </c>
    </row>
    <row r="372" spans="15:55" x14ac:dyDescent="0.35">
      <c r="O372">
        <v>370</v>
      </c>
      <c r="P372">
        <v>112.765961</v>
      </c>
      <c r="Q372" s="14">
        <v>0.91918888526255782</v>
      </c>
      <c r="R372">
        <v>31.155999999999999</v>
      </c>
      <c r="S372" s="14">
        <v>0.91813520363057699</v>
      </c>
      <c r="T372">
        <v>26</v>
      </c>
      <c r="V372">
        <v>370</v>
      </c>
      <c r="W372">
        <v>113.28952200000001</v>
      </c>
      <c r="X372" s="14">
        <v>0.92427416494161008</v>
      </c>
      <c r="Y372">
        <v>31.24</v>
      </c>
      <c r="Z372" s="14">
        <v>0.92213235728201193</v>
      </c>
      <c r="AA372">
        <v>26</v>
      </c>
      <c r="AC372">
        <v>370</v>
      </c>
      <c r="AD372">
        <v>112.597353</v>
      </c>
      <c r="AE372" s="14">
        <v>0.9273668698765225</v>
      </c>
      <c r="AF372">
        <v>31.045000000000002</v>
      </c>
      <c r="AG372" s="14">
        <v>0.9241508647634924</v>
      </c>
      <c r="AH372">
        <v>26</v>
      </c>
      <c r="AJ372">
        <v>370</v>
      </c>
      <c r="AK372">
        <v>111.525946</v>
      </c>
      <c r="AL372" s="14">
        <v>0.90619498482269334</v>
      </c>
      <c r="AM372">
        <v>30.800999999999998</v>
      </c>
      <c r="AN372" s="14">
        <v>0.90098285848007953</v>
      </c>
      <c r="AO372">
        <v>26</v>
      </c>
      <c r="AQ372">
        <v>370</v>
      </c>
      <c r="AR372">
        <v>110.52959799999999</v>
      </c>
      <c r="AS372" s="14">
        <v>0.90717156158074974</v>
      </c>
      <c r="AT372">
        <v>30.550999999999998</v>
      </c>
      <c r="AU372" s="14">
        <v>0.90219413519180225</v>
      </c>
      <c r="AV372">
        <v>26</v>
      </c>
      <c r="AX372">
        <v>370</v>
      </c>
      <c r="AY372">
        <v>112.72797</v>
      </c>
      <c r="AZ372" s="14">
        <v>0.91187199853075385</v>
      </c>
      <c r="BA372">
        <v>31.195</v>
      </c>
      <c r="BB372" s="14">
        <v>0.90883929611933345</v>
      </c>
      <c r="BC372">
        <v>26</v>
      </c>
    </row>
    <row r="373" spans="15:55" x14ac:dyDescent="0.35">
      <c r="O373">
        <v>371</v>
      </c>
      <c r="P373">
        <v>112.769392</v>
      </c>
      <c r="Q373" s="14">
        <v>0.91921685236395412</v>
      </c>
      <c r="R373">
        <v>31.155999999999999</v>
      </c>
      <c r="S373" s="14">
        <v>0.91813520363057699</v>
      </c>
      <c r="T373">
        <v>26</v>
      </c>
      <c r="V373">
        <v>371</v>
      </c>
      <c r="W373">
        <v>113.233435</v>
      </c>
      <c r="X373" s="14">
        <v>0.92381657836013364</v>
      </c>
      <c r="Y373">
        <v>31.227</v>
      </c>
      <c r="Z373" s="14">
        <v>0.92174862742782926</v>
      </c>
      <c r="AA373">
        <v>26</v>
      </c>
      <c r="AC373">
        <v>371</v>
      </c>
      <c r="AD373">
        <v>112.576728</v>
      </c>
      <c r="AE373" s="14">
        <v>0.92719699961597379</v>
      </c>
      <c r="AF373">
        <v>31.039000000000001</v>
      </c>
      <c r="AG373" s="14">
        <v>0.92397225612478784</v>
      </c>
      <c r="AH373">
        <v>26</v>
      </c>
      <c r="AJ373">
        <v>371</v>
      </c>
      <c r="AK373">
        <v>111.540989</v>
      </c>
      <c r="AL373" s="14">
        <v>0.906317215493184</v>
      </c>
      <c r="AM373">
        <v>30.803000000000001</v>
      </c>
      <c r="AN373" s="14">
        <v>0.90104136196103668</v>
      </c>
      <c r="AO373">
        <v>26</v>
      </c>
      <c r="AQ373">
        <v>371</v>
      </c>
      <c r="AR373">
        <v>110.50713399999999</v>
      </c>
      <c r="AS373" s="14">
        <v>0.90698718832391989</v>
      </c>
      <c r="AT373">
        <v>30.542000000000002</v>
      </c>
      <c r="AU373" s="14">
        <v>0.90192835838525831</v>
      </c>
      <c r="AV373">
        <v>26</v>
      </c>
      <c r="AX373">
        <v>371</v>
      </c>
      <c r="AY373">
        <v>112.684737</v>
      </c>
      <c r="AZ373" s="14">
        <v>0.91152228086873543</v>
      </c>
      <c r="BA373">
        <v>31.184000000000001</v>
      </c>
      <c r="BB373" s="14">
        <v>0.9085188206502739</v>
      </c>
      <c r="BC373">
        <v>26</v>
      </c>
    </row>
    <row r="374" spans="15:55" x14ac:dyDescent="0.35">
      <c r="O374">
        <v>372</v>
      </c>
      <c r="P374">
        <v>112.794062</v>
      </c>
      <c r="Q374" s="14">
        <v>0.91941794487093342</v>
      </c>
      <c r="R374">
        <v>31.157</v>
      </c>
      <c r="S374" s="14">
        <v>0.91816467259975254</v>
      </c>
      <c r="T374">
        <v>26</v>
      </c>
      <c r="V374">
        <v>372</v>
      </c>
      <c r="W374">
        <v>113.186796</v>
      </c>
      <c r="X374" s="14">
        <v>0.92343607342006773</v>
      </c>
      <c r="Y374">
        <v>31.216000000000001</v>
      </c>
      <c r="Z374" s="14">
        <v>0.92142393293582858</v>
      </c>
      <c r="AA374">
        <v>26</v>
      </c>
      <c r="AC374">
        <v>372</v>
      </c>
      <c r="AD374">
        <v>112.501603</v>
      </c>
      <c r="AE374" s="14">
        <v>0.9265782600608844</v>
      </c>
      <c r="AF374">
        <v>31.023</v>
      </c>
      <c r="AG374" s="14">
        <v>0.92349596642157583</v>
      </c>
      <c r="AH374">
        <v>26</v>
      </c>
      <c r="AJ374">
        <v>372</v>
      </c>
      <c r="AK374">
        <v>111.54880900000001</v>
      </c>
      <c r="AL374" s="14">
        <v>0.90638075626585157</v>
      </c>
      <c r="AM374">
        <v>30.798999999999999</v>
      </c>
      <c r="AN374" s="14">
        <v>0.90092435499912249</v>
      </c>
      <c r="AO374">
        <v>26</v>
      </c>
      <c r="AQ374">
        <v>372</v>
      </c>
      <c r="AR374">
        <v>110.445088</v>
      </c>
      <c r="AS374" s="14">
        <v>0.90647794584291652</v>
      </c>
      <c r="AT374">
        <v>30.53</v>
      </c>
      <c r="AU374" s="14">
        <v>0.90157398930986632</v>
      </c>
      <c r="AV374">
        <v>26</v>
      </c>
      <c r="AX374">
        <v>372</v>
      </c>
      <c r="AY374">
        <v>112.66995199999999</v>
      </c>
      <c r="AZ374" s="14">
        <v>0.91140268297747318</v>
      </c>
      <c r="BA374">
        <v>31.18</v>
      </c>
      <c r="BB374" s="14">
        <v>0.90840228411607038</v>
      </c>
      <c r="BC374">
        <v>26</v>
      </c>
    </row>
    <row r="375" spans="15:55" x14ac:dyDescent="0.35">
      <c r="O375">
        <v>373</v>
      </c>
      <c r="P375">
        <v>112.77747100000001</v>
      </c>
      <c r="Q375" s="14">
        <v>0.91928270669568846</v>
      </c>
      <c r="R375">
        <v>31.152999999999999</v>
      </c>
      <c r="S375" s="14">
        <v>0.91804679672305067</v>
      </c>
      <c r="T375">
        <v>26</v>
      </c>
      <c r="V375">
        <v>373</v>
      </c>
      <c r="W375">
        <v>113.17317199999999</v>
      </c>
      <c r="X375" s="14">
        <v>0.92332492182368997</v>
      </c>
      <c r="Y375">
        <v>31.210999999999999</v>
      </c>
      <c r="Z375" s="14">
        <v>0.92127634453037366</v>
      </c>
      <c r="AA375">
        <v>26</v>
      </c>
      <c r="AC375">
        <v>373</v>
      </c>
      <c r="AD375">
        <v>112.45373499999999</v>
      </c>
      <c r="AE375" s="14">
        <v>0.92618401280600204</v>
      </c>
      <c r="AF375">
        <v>31.012</v>
      </c>
      <c r="AG375" s="14">
        <v>0.92316851725061766</v>
      </c>
      <c r="AH375">
        <v>26</v>
      </c>
      <c r="AJ375">
        <v>373</v>
      </c>
      <c r="AK375">
        <v>111.51115</v>
      </c>
      <c r="AL375" s="14">
        <v>0.90607476113057206</v>
      </c>
      <c r="AM375">
        <v>30.79</v>
      </c>
      <c r="AN375" s="14">
        <v>0.90066108933481537</v>
      </c>
      <c r="AO375">
        <v>26</v>
      </c>
      <c r="AQ375">
        <v>373</v>
      </c>
      <c r="AR375">
        <v>110.39369600000001</v>
      </c>
      <c r="AS375" s="14">
        <v>0.90605614605592411</v>
      </c>
      <c r="AT375">
        <v>30.516999999999999</v>
      </c>
      <c r="AU375" s="14">
        <v>0.90119008947819157</v>
      </c>
      <c r="AV375">
        <v>26</v>
      </c>
      <c r="AX375">
        <v>373</v>
      </c>
      <c r="AY375">
        <v>112.658986</v>
      </c>
      <c r="AZ375" s="14">
        <v>0.91131397750059917</v>
      </c>
      <c r="BA375">
        <v>31.173999999999999</v>
      </c>
      <c r="BB375" s="14">
        <v>0.90822747931476522</v>
      </c>
      <c r="BC375">
        <v>26</v>
      </c>
    </row>
    <row r="376" spans="15:55" x14ac:dyDescent="0.35">
      <c r="O376">
        <v>374</v>
      </c>
      <c r="P376">
        <v>112.724694</v>
      </c>
      <c r="Q376" s="14">
        <v>0.91885250567254906</v>
      </c>
      <c r="R376">
        <v>31.14</v>
      </c>
      <c r="S376" s="14">
        <v>0.91766370012376974</v>
      </c>
      <c r="T376">
        <v>26</v>
      </c>
      <c r="V376">
        <v>374</v>
      </c>
      <c r="W376">
        <v>113.167205</v>
      </c>
      <c r="X376" s="14">
        <v>0.92327623996993291</v>
      </c>
      <c r="Y376">
        <v>31.207000000000001</v>
      </c>
      <c r="Z376" s="14">
        <v>0.92115827380600979</v>
      </c>
      <c r="AA376">
        <v>26</v>
      </c>
      <c r="AC376">
        <v>374</v>
      </c>
      <c r="AD376">
        <v>112.42748400000001</v>
      </c>
      <c r="AE376" s="14">
        <v>0.92596780605644269</v>
      </c>
      <c r="AF376">
        <v>31.004999999999999</v>
      </c>
      <c r="AG376" s="14">
        <v>0.92296014050546227</v>
      </c>
      <c r="AH376">
        <v>26</v>
      </c>
      <c r="AJ376">
        <v>374</v>
      </c>
      <c r="AK376">
        <v>111.45843600000001</v>
      </c>
      <c r="AL376" s="14">
        <v>0.90564643781977994</v>
      </c>
      <c r="AM376">
        <v>30.776</v>
      </c>
      <c r="AN376" s="14">
        <v>0.90025156496811565</v>
      </c>
      <c r="AO376">
        <v>26</v>
      </c>
      <c r="AQ376">
        <v>374</v>
      </c>
      <c r="AR376">
        <v>110.364069</v>
      </c>
      <c r="AS376" s="14">
        <v>0.90581298248398245</v>
      </c>
      <c r="AT376">
        <v>30.509</v>
      </c>
      <c r="AU376" s="14">
        <v>0.90095384342793017</v>
      </c>
      <c r="AV376">
        <v>26</v>
      </c>
      <c r="AX376">
        <v>374</v>
      </c>
      <c r="AY376">
        <v>112.587692</v>
      </c>
      <c r="AZ376" s="14">
        <v>0.91073727056386244</v>
      </c>
      <c r="BA376">
        <v>31.158999999999999</v>
      </c>
      <c r="BB376" s="14">
        <v>0.90779046731150215</v>
      </c>
      <c r="BC376">
        <v>26</v>
      </c>
    </row>
    <row r="377" spans="15:55" x14ac:dyDescent="0.35">
      <c r="O377">
        <v>375</v>
      </c>
      <c r="P377">
        <v>112.685034</v>
      </c>
      <c r="Q377" s="14">
        <v>0.91852922521746994</v>
      </c>
      <c r="R377">
        <v>31.13</v>
      </c>
      <c r="S377" s="14">
        <v>0.91736901043201513</v>
      </c>
      <c r="T377">
        <v>26</v>
      </c>
      <c r="V377">
        <v>375</v>
      </c>
      <c r="W377">
        <v>113.10350200000001</v>
      </c>
      <c r="X377" s="14">
        <v>0.92275651814491488</v>
      </c>
      <c r="Y377">
        <v>31.193000000000001</v>
      </c>
      <c r="Z377" s="14">
        <v>0.92074502627073618</v>
      </c>
      <c r="AA377">
        <v>26</v>
      </c>
      <c r="AC377">
        <v>375</v>
      </c>
      <c r="AD377">
        <v>112.425895</v>
      </c>
      <c r="AE377" s="14">
        <v>0.92595471883976332</v>
      </c>
      <c r="AF377">
        <v>31.001999999999999</v>
      </c>
      <c r="AG377" s="14">
        <v>0.9228708361861101</v>
      </c>
      <c r="AH377">
        <v>26</v>
      </c>
      <c r="AJ377">
        <v>375</v>
      </c>
      <c r="AK377">
        <v>111.400201</v>
      </c>
      <c r="AL377" s="14">
        <v>0.90517325407345106</v>
      </c>
      <c r="AM377">
        <v>30.763999999999999</v>
      </c>
      <c r="AN377" s="14">
        <v>0.89990054408237286</v>
      </c>
      <c r="AO377">
        <v>26</v>
      </c>
      <c r="AQ377">
        <v>375</v>
      </c>
      <c r="AR377">
        <v>110.361637</v>
      </c>
      <c r="AS377" s="14">
        <v>0.90579302184649091</v>
      </c>
      <c r="AT377">
        <v>30.506</v>
      </c>
      <c r="AU377" s="14">
        <v>0.90086525115908223</v>
      </c>
      <c r="AV377">
        <v>26</v>
      </c>
      <c r="AX377">
        <v>375</v>
      </c>
      <c r="AY377">
        <v>112.51559899999999</v>
      </c>
      <c r="AZ377" s="14">
        <v>0.91015410040662392</v>
      </c>
      <c r="BA377">
        <v>31.143000000000001</v>
      </c>
      <c r="BB377" s="14">
        <v>0.90732432117468831</v>
      </c>
      <c r="BC377">
        <v>26</v>
      </c>
    </row>
    <row r="378" spans="15:55" x14ac:dyDescent="0.35">
      <c r="O378">
        <v>376</v>
      </c>
      <c r="P378">
        <v>112.72426400000001</v>
      </c>
      <c r="Q378" s="14">
        <v>0.9188490006146649</v>
      </c>
      <c r="R378">
        <v>31.132000000000001</v>
      </c>
      <c r="S378" s="14">
        <v>0.91742794837036612</v>
      </c>
      <c r="T378">
        <v>54</v>
      </c>
      <c r="V378">
        <v>376</v>
      </c>
      <c r="W378">
        <v>112.958433</v>
      </c>
      <c r="X378" s="14">
        <v>0.92157297065996813</v>
      </c>
      <c r="Y378">
        <v>31.155999999999999</v>
      </c>
      <c r="Z378" s="14">
        <v>0.91965287207037016</v>
      </c>
      <c r="AA378">
        <v>54</v>
      </c>
      <c r="AC378">
        <v>376</v>
      </c>
      <c r="AD378">
        <v>112.26603</v>
      </c>
      <c r="AE378" s="14">
        <v>0.9246380493026668</v>
      </c>
      <c r="AF378">
        <v>30.963000000000001</v>
      </c>
      <c r="AG378" s="14">
        <v>0.92170988003453092</v>
      </c>
      <c r="AH378">
        <v>54</v>
      </c>
      <c r="AJ378">
        <v>376</v>
      </c>
      <c r="AK378">
        <v>111.32061899999999</v>
      </c>
      <c r="AL378" s="14">
        <v>0.90452661701840953</v>
      </c>
      <c r="AM378">
        <v>30.736999999999998</v>
      </c>
      <c r="AN378" s="14">
        <v>0.89911074708945182</v>
      </c>
      <c r="AO378">
        <v>54</v>
      </c>
      <c r="AQ378">
        <v>376</v>
      </c>
      <c r="AR378">
        <v>110.16374999999999</v>
      </c>
      <c r="AS378" s="14">
        <v>0.90416886449809875</v>
      </c>
      <c r="AT378">
        <v>30.457000000000001</v>
      </c>
      <c r="AU378" s="14">
        <v>0.8994182441012315</v>
      </c>
      <c r="AV378">
        <v>54</v>
      </c>
      <c r="AX378">
        <v>376</v>
      </c>
      <c r="AY378">
        <v>112.452888</v>
      </c>
      <c r="AZ378" s="14">
        <v>0.90964682253317464</v>
      </c>
      <c r="BA378">
        <v>31.12</v>
      </c>
      <c r="BB378" s="14">
        <v>0.90665423610301843</v>
      </c>
      <c r="BC378">
        <v>54</v>
      </c>
    </row>
    <row r="379" spans="15:55" x14ac:dyDescent="0.35">
      <c r="O379">
        <v>377</v>
      </c>
      <c r="P379">
        <v>112.65558</v>
      </c>
      <c r="Q379" s="14">
        <v>0.91828913690370539</v>
      </c>
      <c r="R379">
        <v>31.114999999999998</v>
      </c>
      <c r="S379" s="14">
        <v>0.91692697589438321</v>
      </c>
      <c r="T379">
        <v>54</v>
      </c>
      <c r="V379">
        <v>377</v>
      </c>
      <c r="W379">
        <v>112.95372</v>
      </c>
      <c r="X379" s="14">
        <v>0.92153451958291821</v>
      </c>
      <c r="Y379">
        <v>31.152999999999999</v>
      </c>
      <c r="Z379" s="14">
        <v>0.91956431902709723</v>
      </c>
      <c r="AA379">
        <v>54</v>
      </c>
      <c r="AC379">
        <v>377</v>
      </c>
      <c r="AD379">
        <v>112.224824</v>
      </c>
      <c r="AE379" s="14">
        <v>0.92429867117145847</v>
      </c>
      <c r="AF379">
        <v>30.952999999999999</v>
      </c>
      <c r="AG379" s="14">
        <v>0.92141219897002336</v>
      </c>
      <c r="AH379">
        <v>54</v>
      </c>
      <c r="AJ379">
        <v>377</v>
      </c>
      <c r="AK379">
        <v>111.226708</v>
      </c>
      <c r="AL379" s="14">
        <v>0.90376355084168614</v>
      </c>
      <c r="AM379">
        <v>30.715</v>
      </c>
      <c r="AN379" s="14">
        <v>0.8984672087989235</v>
      </c>
      <c r="AO379">
        <v>54</v>
      </c>
      <c r="AQ379">
        <v>377</v>
      </c>
      <c r="AR379">
        <v>110.083933</v>
      </c>
      <c r="AS379" s="14">
        <v>0.90351376655292492</v>
      </c>
      <c r="AT379">
        <v>30.440999999999999</v>
      </c>
      <c r="AU379" s="14">
        <v>0.8989457520007087</v>
      </c>
      <c r="AV379">
        <v>54</v>
      </c>
      <c r="AX379">
        <v>377</v>
      </c>
      <c r="AY379">
        <v>112.452612</v>
      </c>
      <c r="AZ379" s="14">
        <v>0.90964458993134922</v>
      </c>
      <c r="BA379">
        <v>31.116</v>
      </c>
      <c r="BB379" s="14">
        <v>0.90653769956881491</v>
      </c>
      <c r="BC379">
        <v>54</v>
      </c>
    </row>
    <row r="380" spans="15:55" x14ac:dyDescent="0.35">
      <c r="O380">
        <v>378</v>
      </c>
      <c r="P380">
        <v>112.594234</v>
      </c>
      <c r="Q380" s="14">
        <v>0.91778908741310317</v>
      </c>
      <c r="R380">
        <v>31.1</v>
      </c>
      <c r="S380" s="14">
        <v>0.9164849413567514</v>
      </c>
      <c r="T380">
        <v>54</v>
      </c>
      <c r="V380">
        <v>378</v>
      </c>
      <c r="W380">
        <v>112.94802799999999</v>
      </c>
      <c r="X380" s="14">
        <v>0.92148808132054427</v>
      </c>
      <c r="Y380">
        <v>31.149000000000001</v>
      </c>
      <c r="Z380" s="14">
        <v>0.91944624830273336</v>
      </c>
      <c r="AA380">
        <v>54</v>
      </c>
      <c r="AC380">
        <v>378</v>
      </c>
      <c r="AD380">
        <v>112.203974</v>
      </c>
      <c r="AE380" s="14">
        <v>0.92412694778079474</v>
      </c>
      <c r="AF380">
        <v>30.945</v>
      </c>
      <c r="AG380" s="14">
        <v>0.92117405411841746</v>
      </c>
      <c r="AH380">
        <v>54</v>
      </c>
      <c r="AJ380">
        <v>378</v>
      </c>
      <c r="AK380">
        <v>111.13086300000001</v>
      </c>
      <c r="AL380" s="14">
        <v>0.90298477010558431</v>
      </c>
      <c r="AM380">
        <v>30.695</v>
      </c>
      <c r="AN380" s="14">
        <v>0.89788217398935233</v>
      </c>
      <c r="AO380">
        <v>54</v>
      </c>
      <c r="AQ380">
        <v>378</v>
      </c>
      <c r="AR380">
        <v>110.06100499999999</v>
      </c>
      <c r="AS380" s="14">
        <v>0.90332558501657367</v>
      </c>
      <c r="AT380">
        <v>30.433</v>
      </c>
      <c r="AU380" s="14">
        <v>0.89870950595044741</v>
      </c>
      <c r="AV380">
        <v>54</v>
      </c>
      <c r="AX380">
        <v>378</v>
      </c>
      <c r="AY380">
        <v>112.452231</v>
      </c>
      <c r="AZ380" s="14">
        <v>0.90964150797013377</v>
      </c>
      <c r="BA380">
        <v>31.113</v>
      </c>
      <c r="BB380" s="14">
        <v>0.90645029716816228</v>
      </c>
      <c r="BC380">
        <v>54</v>
      </c>
    </row>
    <row r="381" spans="15:55" x14ac:dyDescent="0.35">
      <c r="O381">
        <v>379</v>
      </c>
      <c r="P381">
        <v>112.5335</v>
      </c>
      <c r="Q381" s="14">
        <v>0.91729402651651282</v>
      </c>
      <c r="R381">
        <v>31.085000000000001</v>
      </c>
      <c r="S381" s="14">
        <v>0.9160429068191196</v>
      </c>
      <c r="T381">
        <v>54</v>
      </c>
      <c r="V381">
        <v>379</v>
      </c>
      <c r="W381">
        <v>112.93963100000001</v>
      </c>
      <c r="X381" s="14">
        <v>0.92141957427747456</v>
      </c>
      <c r="Y381">
        <v>31.143999999999998</v>
      </c>
      <c r="Z381" s="14">
        <v>0.91929865989727844</v>
      </c>
      <c r="AA381">
        <v>54</v>
      </c>
      <c r="AC381">
        <v>379</v>
      </c>
      <c r="AD381">
        <v>112.201983</v>
      </c>
      <c r="AE381" s="14">
        <v>0.92411054963830974</v>
      </c>
      <c r="AF381">
        <v>30.943000000000001</v>
      </c>
      <c r="AG381" s="14">
        <v>0.92111451790551602</v>
      </c>
      <c r="AH381">
        <v>54</v>
      </c>
      <c r="AJ381">
        <v>379</v>
      </c>
      <c r="AK381">
        <v>111.049443</v>
      </c>
      <c r="AL381" s="14">
        <v>0.90232319853134035</v>
      </c>
      <c r="AM381">
        <v>30.677</v>
      </c>
      <c r="AN381" s="14">
        <v>0.89735564266073831</v>
      </c>
      <c r="AO381">
        <v>54</v>
      </c>
      <c r="AQ381">
        <v>379</v>
      </c>
      <c r="AR381">
        <v>110.064345</v>
      </c>
      <c r="AS381" s="14">
        <v>0.90335299806312874</v>
      </c>
      <c r="AT381">
        <v>30.431000000000001</v>
      </c>
      <c r="AU381" s="14">
        <v>0.89865044443788211</v>
      </c>
      <c r="AV381">
        <v>54</v>
      </c>
      <c r="AX381">
        <v>379</v>
      </c>
      <c r="AY381">
        <v>112.395049</v>
      </c>
      <c r="AZ381" s="14">
        <v>0.90917895493542566</v>
      </c>
      <c r="BA381">
        <v>31.099</v>
      </c>
      <c r="BB381" s="14">
        <v>0.90604241929845009</v>
      </c>
      <c r="BC381">
        <v>54</v>
      </c>
    </row>
    <row r="382" spans="15:55" x14ac:dyDescent="0.35">
      <c r="O382">
        <v>380</v>
      </c>
      <c r="P382">
        <v>112.505582</v>
      </c>
      <c r="Q382" s="14">
        <v>0.91706645859556235</v>
      </c>
      <c r="R382">
        <v>31.077999999999999</v>
      </c>
      <c r="S382" s="14">
        <v>0.9158366240348913</v>
      </c>
      <c r="T382">
        <v>54</v>
      </c>
      <c r="V382">
        <v>380</v>
      </c>
      <c r="W382">
        <v>112.902812</v>
      </c>
      <c r="X382" s="14">
        <v>0.92111918594607178</v>
      </c>
      <c r="Y382">
        <v>31.135000000000002</v>
      </c>
      <c r="Z382" s="14">
        <v>0.91903300076745975</v>
      </c>
      <c r="AA382">
        <v>54</v>
      </c>
      <c r="AC382">
        <v>380</v>
      </c>
      <c r="AD382">
        <v>112.19734800000001</v>
      </c>
      <c r="AE382" s="14">
        <v>0.92407237515793927</v>
      </c>
      <c r="AF382">
        <v>30.939</v>
      </c>
      <c r="AG382" s="14">
        <v>0.9209954454797129</v>
      </c>
      <c r="AH382">
        <v>54</v>
      </c>
      <c r="AJ382">
        <v>380</v>
      </c>
      <c r="AK382">
        <v>111.05306899999999</v>
      </c>
      <c r="AL382" s="14">
        <v>0.90235266129882019</v>
      </c>
      <c r="AM382">
        <v>30.673999999999999</v>
      </c>
      <c r="AN382" s="14">
        <v>0.89726788743930264</v>
      </c>
      <c r="AO382">
        <v>54</v>
      </c>
      <c r="AQ382">
        <v>380</v>
      </c>
      <c r="AR382">
        <v>110.057785</v>
      </c>
      <c r="AS382" s="14">
        <v>0.90329915686989481</v>
      </c>
      <c r="AT382">
        <v>30.425000000000001</v>
      </c>
      <c r="AU382" s="14">
        <v>0.89847325990018612</v>
      </c>
      <c r="AV382">
        <v>54</v>
      </c>
      <c r="AX382">
        <v>380</v>
      </c>
      <c r="AY382">
        <v>112.354879</v>
      </c>
      <c r="AZ382" s="14">
        <v>0.90885401430018675</v>
      </c>
      <c r="BA382">
        <v>31.088999999999999</v>
      </c>
      <c r="BB382" s="14">
        <v>0.90575107796294141</v>
      </c>
      <c r="BC382">
        <v>54</v>
      </c>
    </row>
    <row r="383" spans="15:55" x14ac:dyDescent="0.35">
      <c r="O383">
        <v>381</v>
      </c>
      <c r="P383">
        <v>112.478416</v>
      </c>
      <c r="Q383" s="14">
        <v>0.91684502045026017</v>
      </c>
      <c r="R383">
        <v>31.07</v>
      </c>
      <c r="S383" s="14">
        <v>0.91560087228148768</v>
      </c>
      <c r="T383">
        <v>54</v>
      </c>
      <c r="V383">
        <v>381</v>
      </c>
      <c r="W383">
        <v>112.86161300000001</v>
      </c>
      <c r="X383" s="14">
        <v>0.92078306332282145</v>
      </c>
      <c r="Y383">
        <v>31.125</v>
      </c>
      <c r="Z383" s="14">
        <v>0.91873782395655001</v>
      </c>
      <c r="AA383">
        <v>54</v>
      </c>
      <c r="AC383">
        <v>381</v>
      </c>
      <c r="AD383">
        <v>112.175388</v>
      </c>
      <c r="AE383" s="14">
        <v>0.9238915096587077</v>
      </c>
      <c r="AF383">
        <v>30.933</v>
      </c>
      <c r="AG383" s="14">
        <v>0.92081683684100846</v>
      </c>
      <c r="AH383">
        <v>54</v>
      </c>
      <c r="AJ383">
        <v>381</v>
      </c>
      <c r="AK383">
        <v>111.060118</v>
      </c>
      <c r="AL383" s="14">
        <v>0.90240993737382447</v>
      </c>
      <c r="AM383">
        <v>30.672000000000001</v>
      </c>
      <c r="AN383" s="14">
        <v>0.89720938395834549</v>
      </c>
      <c r="AO383">
        <v>54</v>
      </c>
      <c r="AQ383">
        <v>381</v>
      </c>
      <c r="AR383">
        <v>110.000741</v>
      </c>
      <c r="AS383" s="14">
        <v>0.90283096829873222</v>
      </c>
      <c r="AT383">
        <v>30.413</v>
      </c>
      <c r="AU383" s="14">
        <v>0.89811889082479401</v>
      </c>
      <c r="AV383">
        <v>54</v>
      </c>
      <c r="AX383">
        <v>381</v>
      </c>
      <c r="AY383">
        <v>112.35539199999999</v>
      </c>
      <c r="AZ383" s="14">
        <v>0.90885816402749264</v>
      </c>
      <c r="BA383">
        <v>31.087</v>
      </c>
      <c r="BB383" s="14">
        <v>0.90569280969583965</v>
      </c>
      <c r="BC383">
        <v>54</v>
      </c>
    </row>
    <row r="384" spans="15:55" x14ac:dyDescent="0.35">
      <c r="O384">
        <v>382</v>
      </c>
      <c r="P384">
        <v>112.42735399999999</v>
      </c>
      <c r="Q384" s="14">
        <v>0.91642879890217022</v>
      </c>
      <c r="R384">
        <v>31.056999999999999</v>
      </c>
      <c r="S384" s="14">
        <v>0.91521777568220664</v>
      </c>
      <c r="T384">
        <v>54</v>
      </c>
      <c r="V384">
        <v>382</v>
      </c>
      <c r="W384">
        <v>112.86203500000001</v>
      </c>
      <c r="X384" s="14">
        <v>0.92078650621578029</v>
      </c>
      <c r="Y384">
        <v>31.122</v>
      </c>
      <c r="Z384" s="14">
        <v>0.91864927091327708</v>
      </c>
      <c r="AA384">
        <v>54</v>
      </c>
      <c r="AC384">
        <v>382</v>
      </c>
      <c r="AD384">
        <v>112.138356</v>
      </c>
      <c r="AE384" s="14">
        <v>0.9235865091501676</v>
      </c>
      <c r="AF384">
        <v>30.922999999999998</v>
      </c>
      <c r="AG384" s="14">
        <v>0.9205191557765009</v>
      </c>
      <c r="AH384">
        <v>54</v>
      </c>
      <c r="AJ384">
        <v>382</v>
      </c>
      <c r="AK384">
        <v>111.041983</v>
      </c>
      <c r="AL384" s="14">
        <v>0.90226258290933281</v>
      </c>
      <c r="AM384">
        <v>30.666</v>
      </c>
      <c r="AN384" s="14">
        <v>0.89703387351547414</v>
      </c>
      <c r="AO384">
        <v>54</v>
      </c>
      <c r="AQ384">
        <v>382</v>
      </c>
      <c r="AR384">
        <v>109.953683</v>
      </c>
      <c r="AS384" s="14">
        <v>0.90244473981226947</v>
      </c>
      <c r="AT384">
        <v>30.401</v>
      </c>
      <c r="AU384" s="14">
        <v>0.89776452174940202</v>
      </c>
      <c r="AV384">
        <v>54</v>
      </c>
      <c r="AX384">
        <v>382</v>
      </c>
      <c r="AY384">
        <v>112.35639</v>
      </c>
      <c r="AZ384" s="14">
        <v>0.90886623698626712</v>
      </c>
      <c r="BA384">
        <v>31.082999999999998</v>
      </c>
      <c r="BB384" s="14">
        <v>0.90557627316163614</v>
      </c>
      <c r="BC384">
        <v>54</v>
      </c>
    </row>
    <row r="385" spans="15:55" x14ac:dyDescent="0.35">
      <c r="O385">
        <v>383</v>
      </c>
      <c r="P385">
        <v>112.418353</v>
      </c>
      <c r="Q385" s="14">
        <v>0.91635542907422851</v>
      </c>
      <c r="R385">
        <v>31.053999999999998</v>
      </c>
      <c r="S385" s="14">
        <v>0.91512936877468032</v>
      </c>
      <c r="T385">
        <v>54</v>
      </c>
      <c r="V385">
        <v>383</v>
      </c>
      <c r="W385">
        <v>112.88077800000001</v>
      </c>
      <c r="X385" s="14">
        <v>0.92093942124594075</v>
      </c>
      <c r="Y385">
        <v>31.123999999999999</v>
      </c>
      <c r="Z385" s="14">
        <v>0.91870830627545896</v>
      </c>
      <c r="AA385">
        <v>54</v>
      </c>
      <c r="AC385">
        <v>383</v>
      </c>
      <c r="AD385">
        <v>112.109678</v>
      </c>
      <c r="AE385" s="14">
        <v>0.92335031330376693</v>
      </c>
      <c r="AF385">
        <v>30.914999999999999</v>
      </c>
      <c r="AG385" s="14">
        <v>0.92028101092489489</v>
      </c>
      <c r="AH385">
        <v>54</v>
      </c>
      <c r="AJ385">
        <v>383</v>
      </c>
      <c r="AK385">
        <v>110.980153</v>
      </c>
      <c r="AL385" s="14">
        <v>0.90176018828349758</v>
      </c>
      <c r="AM385">
        <v>30.652000000000001</v>
      </c>
      <c r="AN385" s="14">
        <v>0.89662434914877442</v>
      </c>
      <c r="AO385">
        <v>54</v>
      </c>
      <c r="AQ385">
        <v>383</v>
      </c>
      <c r="AR385">
        <v>109.92872800000001</v>
      </c>
      <c r="AS385" s="14">
        <v>0.90223992167550904</v>
      </c>
      <c r="AT385">
        <v>30.393000000000001</v>
      </c>
      <c r="AU385" s="14">
        <v>0.89752827569914073</v>
      </c>
      <c r="AV385">
        <v>54</v>
      </c>
      <c r="AX385">
        <v>383</v>
      </c>
      <c r="AY385">
        <v>112.29443499999999</v>
      </c>
      <c r="AZ385" s="14">
        <v>0.90836507450042636</v>
      </c>
      <c r="BA385">
        <v>31.068999999999999</v>
      </c>
      <c r="BB385" s="14">
        <v>0.90516839529192406</v>
      </c>
      <c r="BC385">
        <v>54</v>
      </c>
    </row>
    <row r="386" spans="15:55" x14ac:dyDescent="0.35">
      <c r="O386">
        <v>384</v>
      </c>
      <c r="P386">
        <v>112.365939</v>
      </c>
      <c r="Q386" s="14">
        <v>0.91592818697204703</v>
      </c>
      <c r="R386">
        <v>31.04</v>
      </c>
      <c r="S386" s="14">
        <v>0.91471680320622384</v>
      </c>
      <c r="T386">
        <v>54</v>
      </c>
      <c r="V386">
        <v>384</v>
      </c>
      <c r="W386">
        <v>112.823949</v>
      </c>
      <c r="X386" s="14">
        <v>0.92047578104698691</v>
      </c>
      <c r="Y386">
        <v>31.11</v>
      </c>
      <c r="Z386" s="14">
        <v>0.91829505874018535</v>
      </c>
      <c r="AA386">
        <v>54</v>
      </c>
      <c r="AC386">
        <v>384</v>
      </c>
      <c r="AD386">
        <v>112.145555</v>
      </c>
      <c r="AE386" s="14">
        <v>0.92364580107771621</v>
      </c>
      <c r="AF386">
        <v>30.919</v>
      </c>
      <c r="AG386" s="14">
        <v>0.92040008335069801</v>
      </c>
      <c r="AH386">
        <v>54</v>
      </c>
      <c r="AJ386">
        <v>384</v>
      </c>
      <c r="AK386">
        <v>110.92898</v>
      </c>
      <c r="AL386" s="14">
        <v>0.90134438624261337</v>
      </c>
      <c r="AM386">
        <v>30.638999999999999</v>
      </c>
      <c r="AN386" s="14">
        <v>0.89624407652255311</v>
      </c>
      <c r="AO386">
        <v>54</v>
      </c>
      <c r="AQ386">
        <v>384</v>
      </c>
      <c r="AR386">
        <v>109.933533</v>
      </c>
      <c r="AS386" s="14">
        <v>0.90227935870805287</v>
      </c>
      <c r="AT386">
        <v>30.390999999999998</v>
      </c>
      <c r="AU386" s="14">
        <v>0.89746921418657533</v>
      </c>
      <c r="AV386">
        <v>54</v>
      </c>
      <c r="AX386">
        <v>384</v>
      </c>
      <c r="AY386">
        <v>112.23872799999999</v>
      </c>
      <c r="AZ386" s="14">
        <v>0.90791445294286488</v>
      </c>
      <c r="BA386">
        <v>31.056000000000001</v>
      </c>
      <c r="BB386" s="14">
        <v>0.90478965155576285</v>
      </c>
      <c r="BC386">
        <v>54</v>
      </c>
    </row>
    <row r="387" spans="15:55" x14ac:dyDescent="0.35">
      <c r="O387">
        <v>385</v>
      </c>
      <c r="P387">
        <v>112.322717</v>
      </c>
      <c r="Q387" s="14">
        <v>0.9155758715956116</v>
      </c>
      <c r="R387">
        <v>31.03</v>
      </c>
      <c r="S387" s="14">
        <v>0.91442211351446934</v>
      </c>
      <c r="T387">
        <v>54</v>
      </c>
      <c r="V387">
        <v>385</v>
      </c>
      <c r="W387">
        <v>112.77120600000001</v>
      </c>
      <c r="X387" s="14">
        <v>0.92004547653672941</v>
      </c>
      <c r="Y387">
        <v>31.097999999999999</v>
      </c>
      <c r="Z387" s="14">
        <v>0.91794084656709363</v>
      </c>
      <c r="AA387">
        <v>54</v>
      </c>
      <c r="AC387">
        <v>385</v>
      </c>
      <c r="AD387">
        <v>112.116198</v>
      </c>
      <c r="AE387" s="14">
        <v>0.92340401289643492</v>
      </c>
      <c r="AF387">
        <v>30.911000000000001</v>
      </c>
      <c r="AG387" s="14">
        <v>0.920161938499092</v>
      </c>
      <c r="AH387">
        <v>54</v>
      </c>
      <c r="AJ387">
        <v>385</v>
      </c>
      <c r="AK387">
        <v>110.90633</v>
      </c>
      <c r="AL387" s="14">
        <v>0.9011603455135957</v>
      </c>
      <c r="AM387">
        <v>30.632000000000001</v>
      </c>
      <c r="AN387" s="14">
        <v>0.89603931433920325</v>
      </c>
      <c r="AO387">
        <v>54</v>
      </c>
      <c r="AQ387">
        <v>385</v>
      </c>
      <c r="AR387">
        <v>109.93313499999999</v>
      </c>
      <c r="AS387" s="14">
        <v>0.90227609212346338</v>
      </c>
      <c r="AT387">
        <v>30.388999999999999</v>
      </c>
      <c r="AU387" s="14">
        <v>0.89741015267400992</v>
      </c>
      <c r="AV387">
        <v>54</v>
      </c>
      <c r="AX387">
        <v>385</v>
      </c>
      <c r="AY387">
        <v>112.17841799999999</v>
      </c>
      <c r="AZ387" s="14">
        <v>0.90742659708746898</v>
      </c>
      <c r="BA387">
        <v>31.042000000000002</v>
      </c>
      <c r="BB387" s="14">
        <v>0.90438177368605066</v>
      </c>
      <c r="BC387">
        <v>54</v>
      </c>
    </row>
    <row r="388" spans="15:55" x14ac:dyDescent="0.35">
      <c r="O388">
        <v>386</v>
      </c>
      <c r="P388">
        <v>112.27260099999999</v>
      </c>
      <c r="Q388" s="14">
        <v>0.91516736117486663</v>
      </c>
      <c r="R388">
        <v>31.018000000000001</v>
      </c>
      <c r="S388" s="14">
        <v>0.91406848588436385</v>
      </c>
      <c r="T388">
        <v>54</v>
      </c>
      <c r="V388">
        <v>386</v>
      </c>
      <c r="W388">
        <v>112.722387</v>
      </c>
      <c r="X388" s="14">
        <v>0.91964718603588069</v>
      </c>
      <c r="Y388">
        <v>31.087</v>
      </c>
      <c r="Z388" s="14">
        <v>0.91761615207509295</v>
      </c>
      <c r="AA388">
        <v>54</v>
      </c>
      <c r="AC388">
        <v>386</v>
      </c>
      <c r="AD388">
        <v>112.053777</v>
      </c>
      <c r="AE388" s="14">
        <v>0.92288990518570957</v>
      </c>
      <c r="AF388">
        <v>30.896999999999998</v>
      </c>
      <c r="AG388" s="14">
        <v>0.91974518500878144</v>
      </c>
      <c r="AH388">
        <v>54</v>
      </c>
      <c r="AJ388">
        <v>386</v>
      </c>
      <c r="AK388">
        <v>110.92106699999999</v>
      </c>
      <c r="AL388" s="14">
        <v>0.90128008980602548</v>
      </c>
      <c r="AM388">
        <v>30.632999999999999</v>
      </c>
      <c r="AN388" s="14">
        <v>0.89606856607968177</v>
      </c>
      <c r="AO388">
        <v>54</v>
      </c>
      <c r="AQ388">
        <v>386</v>
      </c>
      <c r="AR388">
        <v>109.927098</v>
      </c>
      <c r="AS388" s="14">
        <v>0.90222654345219022</v>
      </c>
      <c r="AT388">
        <v>30.382999999999999</v>
      </c>
      <c r="AU388" s="14">
        <v>0.89723296813631392</v>
      </c>
      <c r="AV388">
        <v>54</v>
      </c>
      <c r="AX388">
        <v>386</v>
      </c>
      <c r="AY388">
        <v>112.14454499999999</v>
      </c>
      <c r="AZ388" s="14">
        <v>0.90715259374822466</v>
      </c>
      <c r="BA388">
        <v>31.033000000000001</v>
      </c>
      <c r="BB388" s="14">
        <v>0.90411956648409286</v>
      </c>
      <c r="BC388">
        <v>54</v>
      </c>
    </row>
    <row r="389" spans="15:55" x14ac:dyDescent="0.35">
      <c r="O389">
        <v>387</v>
      </c>
      <c r="P389">
        <v>112.21120999999999</v>
      </c>
      <c r="Q389" s="14">
        <v>0.91466694487588129</v>
      </c>
      <c r="R389">
        <v>31.003</v>
      </c>
      <c r="S389" s="14">
        <v>0.91362645134673193</v>
      </c>
      <c r="T389">
        <v>54</v>
      </c>
      <c r="V389">
        <v>387</v>
      </c>
      <c r="W389">
        <v>112.684972</v>
      </c>
      <c r="X389" s="14">
        <v>0.91934193523006225</v>
      </c>
      <c r="Y389">
        <v>31.076000000000001</v>
      </c>
      <c r="Z389" s="14">
        <v>0.91729145758309227</v>
      </c>
      <c r="AA389">
        <v>54</v>
      </c>
      <c r="AC389">
        <v>387</v>
      </c>
      <c r="AD389">
        <v>112.00276599999999</v>
      </c>
      <c r="AE389" s="14">
        <v>0.92246977176215317</v>
      </c>
      <c r="AF389">
        <v>30.885000000000002</v>
      </c>
      <c r="AG389" s="14">
        <v>0.91938796773137255</v>
      </c>
      <c r="AH389">
        <v>54</v>
      </c>
      <c r="AJ389">
        <v>387</v>
      </c>
      <c r="AK389">
        <v>110.919274</v>
      </c>
      <c r="AL389" s="14">
        <v>0.90126552093065559</v>
      </c>
      <c r="AM389">
        <v>30.629000000000001</v>
      </c>
      <c r="AN389" s="14">
        <v>0.89595155911776758</v>
      </c>
      <c r="AO389">
        <v>54</v>
      </c>
      <c r="AQ389">
        <v>387</v>
      </c>
      <c r="AR389">
        <v>109.881243</v>
      </c>
      <c r="AS389" s="14">
        <v>0.90185018858698673</v>
      </c>
      <c r="AT389">
        <v>30.373000000000001</v>
      </c>
      <c r="AU389" s="14">
        <v>0.89693766057348734</v>
      </c>
      <c r="AV389">
        <v>54</v>
      </c>
      <c r="AX389">
        <v>387</v>
      </c>
      <c r="AY389">
        <v>112.117177</v>
      </c>
      <c r="AZ389" s="14">
        <v>0.90693121024548096</v>
      </c>
      <c r="BA389">
        <v>31.024999999999999</v>
      </c>
      <c r="BB389" s="14">
        <v>0.90388649341568583</v>
      </c>
      <c r="BC389">
        <v>54</v>
      </c>
    </row>
    <row r="390" spans="15:55" x14ac:dyDescent="0.35">
      <c r="O390">
        <v>388</v>
      </c>
      <c r="P390">
        <v>112.205517</v>
      </c>
      <c r="Q390" s="14">
        <v>0.91462053953975508</v>
      </c>
      <c r="R390">
        <v>31.001000000000001</v>
      </c>
      <c r="S390" s="14">
        <v>0.91356751340838105</v>
      </c>
      <c r="T390">
        <v>54</v>
      </c>
      <c r="V390">
        <v>388</v>
      </c>
      <c r="W390">
        <v>112.654887</v>
      </c>
      <c r="X390" s="14">
        <v>0.9190964863327471</v>
      </c>
      <c r="Y390">
        <v>31.068999999999999</v>
      </c>
      <c r="Z390" s="14">
        <v>0.91708483381545547</v>
      </c>
      <c r="AA390">
        <v>54</v>
      </c>
      <c r="AC390">
        <v>388</v>
      </c>
      <c r="AD390">
        <v>111.949476</v>
      </c>
      <c r="AE390" s="14">
        <v>0.9220308681895647</v>
      </c>
      <c r="AF390">
        <v>30.873000000000001</v>
      </c>
      <c r="AG390" s="14">
        <v>0.91903075045396354</v>
      </c>
      <c r="AH390">
        <v>54</v>
      </c>
      <c r="AJ390">
        <v>388</v>
      </c>
      <c r="AK390">
        <v>110.908035</v>
      </c>
      <c r="AL390" s="14">
        <v>0.90117419935213761</v>
      </c>
      <c r="AM390">
        <v>30.623000000000001</v>
      </c>
      <c r="AN390" s="14">
        <v>0.89577604867489624</v>
      </c>
      <c r="AO390">
        <v>54</v>
      </c>
      <c r="AQ390">
        <v>388</v>
      </c>
      <c r="AR390">
        <v>109.84917900000001</v>
      </c>
      <c r="AS390" s="14">
        <v>0.9015870233400588</v>
      </c>
      <c r="AT390">
        <v>30.364000000000001</v>
      </c>
      <c r="AU390" s="14">
        <v>0.89667188376694329</v>
      </c>
      <c r="AV390">
        <v>54</v>
      </c>
      <c r="AX390">
        <v>388</v>
      </c>
      <c r="AY390">
        <v>112.07253300000001</v>
      </c>
      <c r="AZ390" s="14">
        <v>0.9065700788110872</v>
      </c>
      <c r="BA390">
        <v>31.013999999999999</v>
      </c>
      <c r="BB390" s="14">
        <v>0.90356601794662628</v>
      </c>
      <c r="BC390">
        <v>54</v>
      </c>
    </row>
    <row r="391" spans="15:55" x14ac:dyDescent="0.35">
      <c r="O391">
        <v>389</v>
      </c>
      <c r="P391">
        <v>112.143221</v>
      </c>
      <c r="Q391" s="14">
        <v>0.91411274631661821</v>
      </c>
      <c r="R391">
        <v>30.986999999999998</v>
      </c>
      <c r="S391" s="14">
        <v>0.91315494783992457</v>
      </c>
      <c r="T391">
        <v>54</v>
      </c>
      <c r="V391">
        <v>389</v>
      </c>
      <c r="W391">
        <v>112.625173</v>
      </c>
      <c r="X391" s="14">
        <v>0.9188540642441706</v>
      </c>
      <c r="Y391">
        <v>31.06</v>
      </c>
      <c r="Z391" s="14">
        <v>0.91681917468563667</v>
      </c>
      <c r="AA391">
        <v>54</v>
      </c>
      <c r="AC391">
        <v>389</v>
      </c>
      <c r="AD391">
        <v>111.91905</v>
      </c>
      <c r="AE391" s="14">
        <v>0.92178027558120312</v>
      </c>
      <c r="AF391">
        <v>30.864999999999998</v>
      </c>
      <c r="AG391" s="14">
        <v>0.91879260560235754</v>
      </c>
      <c r="AH391">
        <v>54</v>
      </c>
      <c r="AJ391">
        <v>389</v>
      </c>
      <c r="AK391">
        <v>110.871022</v>
      </c>
      <c r="AL391" s="14">
        <v>0.90087345323720902</v>
      </c>
      <c r="AM391">
        <v>30.614000000000001</v>
      </c>
      <c r="AN391" s="14">
        <v>0.89551278301058912</v>
      </c>
      <c r="AO391">
        <v>54</v>
      </c>
      <c r="AQ391">
        <v>389</v>
      </c>
      <c r="AR391">
        <v>109.854803</v>
      </c>
      <c r="AS391" s="14">
        <v>0.90163318231425793</v>
      </c>
      <c r="AT391">
        <v>30.363</v>
      </c>
      <c r="AU391" s="14">
        <v>0.89664235301066064</v>
      </c>
      <c r="AV391">
        <v>54</v>
      </c>
      <c r="AX391">
        <v>389</v>
      </c>
      <c r="AY391">
        <v>112.03898599999999</v>
      </c>
      <c r="AZ391" s="14">
        <v>0.90629871253052063</v>
      </c>
      <c r="BA391">
        <v>31.006</v>
      </c>
      <c r="BB391" s="14">
        <v>0.90333294487821936</v>
      </c>
      <c r="BC391">
        <v>54</v>
      </c>
    </row>
    <row r="392" spans="15:55" x14ac:dyDescent="0.35">
      <c r="O392">
        <v>390</v>
      </c>
      <c r="P392">
        <v>112.152771</v>
      </c>
      <c r="Q392" s="14">
        <v>0.91419059120683521</v>
      </c>
      <c r="R392">
        <v>30.986000000000001</v>
      </c>
      <c r="S392" s="14">
        <v>0.91312547887074924</v>
      </c>
      <c r="T392">
        <v>54</v>
      </c>
      <c r="V392">
        <v>390</v>
      </c>
      <c r="W392">
        <v>112.586545</v>
      </c>
      <c r="X392" s="14">
        <v>0.91853891716072389</v>
      </c>
      <c r="Y392">
        <v>31.052</v>
      </c>
      <c r="Z392" s="14">
        <v>0.91658303323690893</v>
      </c>
      <c r="AA392">
        <v>54</v>
      </c>
      <c r="AC392">
        <v>390</v>
      </c>
      <c r="AD392">
        <v>111.896378</v>
      </c>
      <c r="AE392" s="14">
        <v>0.92159354595467424</v>
      </c>
      <c r="AF392">
        <v>30.858000000000001</v>
      </c>
      <c r="AG392" s="14">
        <v>0.91858422885720237</v>
      </c>
      <c r="AH392">
        <v>54</v>
      </c>
      <c r="AJ392">
        <v>390</v>
      </c>
      <c r="AK392">
        <v>110.848387</v>
      </c>
      <c r="AL392" s="14">
        <v>0.90068953438946875</v>
      </c>
      <c r="AM392">
        <v>30.608000000000001</v>
      </c>
      <c r="AN392" s="14">
        <v>0.89533727256771778</v>
      </c>
      <c r="AO392">
        <v>54</v>
      </c>
      <c r="AQ392">
        <v>390</v>
      </c>
      <c r="AR392">
        <v>109.85597199999999</v>
      </c>
      <c r="AS392" s="14">
        <v>0.90164277688055217</v>
      </c>
      <c r="AT392">
        <v>30.359000000000002</v>
      </c>
      <c r="AU392" s="14">
        <v>0.89652422998552994</v>
      </c>
      <c r="AV392">
        <v>54</v>
      </c>
      <c r="AX392">
        <v>390</v>
      </c>
      <c r="AY392">
        <v>112.01336499999999</v>
      </c>
      <c r="AZ392" s="14">
        <v>0.90609146075020064</v>
      </c>
      <c r="BA392">
        <v>30.997</v>
      </c>
      <c r="BB392" s="14">
        <v>0.90307073767626156</v>
      </c>
      <c r="BC392">
        <v>54</v>
      </c>
    </row>
    <row r="393" spans="15:55" x14ac:dyDescent="0.35">
      <c r="O393">
        <v>391</v>
      </c>
      <c r="P393">
        <v>112.161226</v>
      </c>
      <c r="Q393" s="14">
        <v>0.91425951042639375</v>
      </c>
      <c r="R393">
        <v>30.986000000000001</v>
      </c>
      <c r="S393" s="14">
        <v>0.91312547887074924</v>
      </c>
      <c r="T393">
        <v>54</v>
      </c>
      <c r="V393">
        <v>391</v>
      </c>
      <c r="W393">
        <v>112.577687</v>
      </c>
      <c r="X393" s="14">
        <v>0.91846664904264452</v>
      </c>
      <c r="Y393">
        <v>31.045999999999999</v>
      </c>
      <c r="Z393" s="14">
        <v>0.91640592715036306</v>
      </c>
      <c r="AA393">
        <v>54</v>
      </c>
      <c r="AC393">
        <v>391</v>
      </c>
      <c r="AD393">
        <v>111.849605</v>
      </c>
      <c r="AE393" s="14">
        <v>0.92120831726635211</v>
      </c>
      <c r="AF393">
        <v>30.847000000000001</v>
      </c>
      <c r="AG393" s="14">
        <v>0.91825677968624408</v>
      </c>
      <c r="AH393">
        <v>54</v>
      </c>
      <c r="AJ393">
        <v>391</v>
      </c>
      <c r="AK393">
        <v>110.873695</v>
      </c>
      <c r="AL393" s="14">
        <v>0.9008951724808586</v>
      </c>
      <c r="AM393">
        <v>30.608000000000001</v>
      </c>
      <c r="AN393" s="14">
        <v>0.89533727256771778</v>
      </c>
      <c r="AO393">
        <v>54</v>
      </c>
      <c r="AQ393">
        <v>391</v>
      </c>
      <c r="AR393">
        <v>109.784609</v>
      </c>
      <c r="AS393" s="14">
        <v>0.90105706513165862</v>
      </c>
      <c r="AT393">
        <v>30.344000000000001</v>
      </c>
      <c r="AU393" s="14">
        <v>0.8960812686412899</v>
      </c>
      <c r="AV393">
        <v>54</v>
      </c>
      <c r="AX393">
        <v>391</v>
      </c>
      <c r="AY393">
        <v>111.95482699999999</v>
      </c>
      <c r="AZ393" s="14">
        <v>0.90561793884565467</v>
      </c>
      <c r="BA393">
        <v>30.984999999999999</v>
      </c>
      <c r="BB393" s="14">
        <v>0.90272112807365112</v>
      </c>
      <c r="BC393">
        <v>54</v>
      </c>
    </row>
    <row r="394" spans="15:55" x14ac:dyDescent="0.35">
      <c r="O394">
        <v>392</v>
      </c>
      <c r="P394">
        <v>112.132192</v>
      </c>
      <c r="Q394" s="14">
        <v>0.91402284565753944</v>
      </c>
      <c r="R394">
        <v>30.978000000000002</v>
      </c>
      <c r="S394" s="14">
        <v>0.91288972711734551</v>
      </c>
      <c r="T394">
        <v>54</v>
      </c>
      <c r="V394">
        <v>392</v>
      </c>
      <c r="W394">
        <v>112.510795</v>
      </c>
      <c r="X394" s="14">
        <v>0.91792090971609608</v>
      </c>
      <c r="Y394">
        <v>31.033000000000001</v>
      </c>
      <c r="Z394" s="14">
        <v>0.9160221972961804</v>
      </c>
      <c r="AA394">
        <v>54</v>
      </c>
      <c r="AC394">
        <v>392</v>
      </c>
      <c r="AD394">
        <v>111.84584700000001</v>
      </c>
      <c r="AE394" s="14">
        <v>0.92117736587536347</v>
      </c>
      <c r="AF394">
        <v>30.844000000000001</v>
      </c>
      <c r="AG394" s="14">
        <v>0.91816747536689181</v>
      </c>
      <c r="AH394">
        <v>54</v>
      </c>
      <c r="AJ394">
        <v>392</v>
      </c>
      <c r="AK394">
        <v>110.84584099999999</v>
      </c>
      <c r="AL394" s="14">
        <v>0.90066884707396855</v>
      </c>
      <c r="AM394">
        <v>30.6</v>
      </c>
      <c r="AN394" s="14">
        <v>0.8951032586438894</v>
      </c>
      <c r="AO394">
        <v>54</v>
      </c>
      <c r="AQ394">
        <v>392</v>
      </c>
      <c r="AR394">
        <v>109.738547</v>
      </c>
      <c r="AS394" s="14">
        <v>0.90067901131416861</v>
      </c>
      <c r="AT394">
        <v>30.332000000000001</v>
      </c>
      <c r="AU394" s="14">
        <v>0.8957268995658979</v>
      </c>
      <c r="AV394">
        <v>54</v>
      </c>
      <c r="AX394">
        <v>392</v>
      </c>
      <c r="AY394">
        <v>111.907083</v>
      </c>
      <c r="AZ394" s="14">
        <v>0.90523173108641053</v>
      </c>
      <c r="BA394">
        <v>30.972999999999999</v>
      </c>
      <c r="BB394" s="14">
        <v>0.90237151847104069</v>
      </c>
      <c r="BC394">
        <v>54</v>
      </c>
    </row>
    <row r="395" spans="15:55" x14ac:dyDescent="0.35">
      <c r="O395">
        <v>393</v>
      </c>
      <c r="P395">
        <v>112.046105</v>
      </c>
      <c r="Q395" s="14">
        <v>0.91332112491784201</v>
      </c>
      <c r="R395">
        <v>30.957999999999998</v>
      </c>
      <c r="S395" s="14">
        <v>0.91230034773383628</v>
      </c>
      <c r="T395">
        <v>54</v>
      </c>
      <c r="V395">
        <v>393</v>
      </c>
      <c r="W395">
        <v>112.474293</v>
      </c>
      <c r="X395" s="14">
        <v>0.91762310763366961</v>
      </c>
      <c r="Y395">
        <v>31.024000000000001</v>
      </c>
      <c r="Z395" s="14">
        <v>0.91575653816636171</v>
      </c>
      <c r="AA395">
        <v>54</v>
      </c>
      <c r="AC395">
        <v>393</v>
      </c>
      <c r="AD395">
        <v>111.786123</v>
      </c>
      <c r="AE395" s="14">
        <v>0.92068547101761744</v>
      </c>
      <c r="AF395">
        <v>30.831</v>
      </c>
      <c r="AG395" s="14">
        <v>0.91778048998303208</v>
      </c>
      <c r="AH395">
        <v>54</v>
      </c>
      <c r="AJ395">
        <v>393</v>
      </c>
      <c r="AK395">
        <v>110.76630900000001</v>
      </c>
      <c r="AL395" s="14">
        <v>0.90002261628985214</v>
      </c>
      <c r="AM395">
        <v>30.582000000000001</v>
      </c>
      <c r="AN395" s="14">
        <v>0.89457672731527527</v>
      </c>
      <c r="AO395">
        <v>54</v>
      </c>
      <c r="AQ395">
        <v>393</v>
      </c>
      <c r="AR395">
        <v>109.68359599999999</v>
      </c>
      <c r="AS395" s="14">
        <v>0.90022800103834699</v>
      </c>
      <c r="AT395">
        <v>30.318999999999999</v>
      </c>
      <c r="AU395" s="14">
        <v>0.89534299973422315</v>
      </c>
      <c r="AV395">
        <v>54</v>
      </c>
      <c r="AX395">
        <v>393</v>
      </c>
      <c r="AY395">
        <v>111.862409</v>
      </c>
      <c r="AZ395" s="14">
        <v>0.90487035697790519</v>
      </c>
      <c r="BA395">
        <v>30.962</v>
      </c>
      <c r="BB395" s="14">
        <v>0.90205104300198113</v>
      </c>
      <c r="BC395">
        <v>54</v>
      </c>
    </row>
    <row r="396" spans="15:55" x14ac:dyDescent="0.35">
      <c r="O396">
        <v>394</v>
      </c>
      <c r="P396">
        <v>111.997018</v>
      </c>
      <c r="Q396" s="14">
        <v>0.9129210021821268</v>
      </c>
      <c r="R396">
        <v>30.948</v>
      </c>
      <c r="S396" s="14">
        <v>0.91200565804208178</v>
      </c>
      <c r="T396">
        <v>54</v>
      </c>
      <c r="V396">
        <v>394</v>
      </c>
      <c r="W396">
        <v>112.430089</v>
      </c>
      <c r="X396" s="14">
        <v>0.917262468675487</v>
      </c>
      <c r="Y396">
        <v>31.012</v>
      </c>
      <c r="Z396" s="14">
        <v>0.91540232599326998</v>
      </c>
      <c r="AA396">
        <v>54</v>
      </c>
      <c r="AC396">
        <v>394</v>
      </c>
      <c r="AD396">
        <v>111.746385</v>
      </c>
      <c r="AE396" s="14">
        <v>0.92035818353089338</v>
      </c>
      <c r="AF396">
        <v>30.821000000000002</v>
      </c>
      <c r="AG396" s="14">
        <v>0.91748280891852463</v>
      </c>
      <c r="AH396">
        <v>54</v>
      </c>
      <c r="AJ396">
        <v>394</v>
      </c>
      <c r="AK396">
        <v>110.704609</v>
      </c>
      <c r="AL396" s="14">
        <v>0.89952127796842185</v>
      </c>
      <c r="AM396">
        <v>30.568000000000001</v>
      </c>
      <c r="AN396" s="14">
        <v>0.89416720294857543</v>
      </c>
      <c r="AO396">
        <v>54</v>
      </c>
      <c r="AQ396">
        <v>394</v>
      </c>
      <c r="AR396">
        <v>109.659201</v>
      </c>
      <c r="AS396" s="14">
        <v>0.90002777910100895</v>
      </c>
      <c r="AT396">
        <v>30.312999999999999</v>
      </c>
      <c r="AU396" s="14">
        <v>0.89516581519652716</v>
      </c>
      <c r="AV396">
        <v>54</v>
      </c>
      <c r="AX396">
        <v>394</v>
      </c>
      <c r="AY396">
        <v>111.828056</v>
      </c>
      <c r="AZ396" s="14">
        <v>0.90459247085287764</v>
      </c>
      <c r="BA396">
        <v>30.952999999999999</v>
      </c>
      <c r="BB396" s="14">
        <v>0.90178883580002334</v>
      </c>
      <c r="BC396">
        <v>54</v>
      </c>
    </row>
    <row r="397" spans="15:55" x14ac:dyDescent="0.35">
      <c r="O397">
        <v>395</v>
      </c>
      <c r="P397">
        <v>112.035117</v>
      </c>
      <c r="Q397" s="14">
        <v>0.9132315584619568</v>
      </c>
      <c r="R397">
        <v>30.952000000000002</v>
      </c>
      <c r="S397" s="14">
        <v>0.91212353391878365</v>
      </c>
      <c r="T397">
        <v>54</v>
      </c>
      <c r="V397">
        <v>395</v>
      </c>
      <c r="W397">
        <v>112.383849</v>
      </c>
      <c r="X397" s="14">
        <v>0.91688521898255515</v>
      </c>
      <c r="Y397">
        <v>31.001999999999999</v>
      </c>
      <c r="Z397" s="14">
        <v>0.91510714918236025</v>
      </c>
      <c r="AA397">
        <v>54</v>
      </c>
      <c r="AC397">
        <v>395</v>
      </c>
      <c r="AD397">
        <v>111.698617</v>
      </c>
      <c r="AE397" s="14">
        <v>0.91996475988939563</v>
      </c>
      <c r="AF397">
        <v>30.809000000000001</v>
      </c>
      <c r="AG397" s="14">
        <v>0.91712559164111562</v>
      </c>
      <c r="AH397">
        <v>54</v>
      </c>
      <c r="AJ397">
        <v>395</v>
      </c>
      <c r="AK397">
        <v>110.65807700000001</v>
      </c>
      <c r="AL397" s="14">
        <v>0.8991431859947947</v>
      </c>
      <c r="AM397">
        <v>30.558</v>
      </c>
      <c r="AN397" s="14">
        <v>0.8938746855437899</v>
      </c>
      <c r="AO397">
        <v>54</v>
      </c>
      <c r="AQ397">
        <v>395</v>
      </c>
      <c r="AR397">
        <v>109.631987</v>
      </c>
      <c r="AS397" s="14">
        <v>0.89980442022407847</v>
      </c>
      <c r="AT397">
        <v>30.303999999999998</v>
      </c>
      <c r="AU397" s="14">
        <v>0.89490003838998311</v>
      </c>
      <c r="AV397">
        <v>54</v>
      </c>
      <c r="AX397">
        <v>395</v>
      </c>
      <c r="AY397">
        <v>111.789778</v>
      </c>
      <c r="AZ397" s="14">
        <v>0.90428283486493455</v>
      </c>
      <c r="BA397">
        <v>30.943000000000001</v>
      </c>
      <c r="BB397" s="14">
        <v>0.90149749446451477</v>
      </c>
      <c r="BC397">
        <v>54</v>
      </c>
    </row>
    <row r="398" spans="15:55" x14ac:dyDescent="0.35">
      <c r="O398">
        <v>396</v>
      </c>
      <c r="P398">
        <v>112.04610700000001</v>
      </c>
      <c r="Q398" s="14">
        <v>0.91332114122043695</v>
      </c>
      <c r="R398">
        <v>30.954000000000001</v>
      </c>
      <c r="S398" s="14">
        <v>0.91218247185713452</v>
      </c>
      <c r="T398">
        <v>54</v>
      </c>
      <c r="V398">
        <v>396</v>
      </c>
      <c r="W398">
        <v>112.37220499999999</v>
      </c>
      <c r="X398" s="14">
        <v>0.91679022124413601</v>
      </c>
      <c r="Y398">
        <v>30.997</v>
      </c>
      <c r="Z398" s="14">
        <v>0.91495956077690532</v>
      </c>
      <c r="AA398">
        <v>54</v>
      </c>
      <c r="AC398">
        <v>396</v>
      </c>
      <c r="AD398">
        <v>111.647065</v>
      </c>
      <c r="AE398" s="14">
        <v>0.91954017071742933</v>
      </c>
      <c r="AF398">
        <v>30.797999999999998</v>
      </c>
      <c r="AG398" s="14">
        <v>0.91679814247015734</v>
      </c>
      <c r="AH398">
        <v>54</v>
      </c>
      <c r="AJ398">
        <v>396</v>
      </c>
      <c r="AK398">
        <v>110.635451</v>
      </c>
      <c r="AL398" s="14">
        <v>0.89895934027582092</v>
      </c>
      <c r="AM398">
        <v>30.55</v>
      </c>
      <c r="AN398" s="14">
        <v>0.89364067161996141</v>
      </c>
      <c r="AO398">
        <v>54</v>
      </c>
      <c r="AQ398">
        <v>396</v>
      </c>
      <c r="AR398">
        <v>109.583185</v>
      </c>
      <c r="AS398" s="14">
        <v>0.89940387785941467</v>
      </c>
      <c r="AT398">
        <v>30.292000000000002</v>
      </c>
      <c r="AU398" s="14">
        <v>0.89454566931459123</v>
      </c>
      <c r="AV398">
        <v>54</v>
      </c>
      <c r="AX398">
        <v>396</v>
      </c>
      <c r="AY398">
        <v>111.773329</v>
      </c>
      <c r="AZ398" s="14">
        <v>0.90414977664962359</v>
      </c>
      <c r="BA398">
        <v>30.937999999999999</v>
      </c>
      <c r="BB398" s="14">
        <v>0.90135182379676027</v>
      </c>
      <c r="BC398">
        <v>54</v>
      </c>
    </row>
    <row r="399" spans="15:55" x14ac:dyDescent="0.35">
      <c r="O399">
        <v>397</v>
      </c>
      <c r="P399">
        <v>112.04209</v>
      </c>
      <c r="Q399" s="14">
        <v>0.91328839745876134</v>
      </c>
      <c r="R399">
        <v>30.95</v>
      </c>
      <c r="S399" s="14">
        <v>0.91206459598043266</v>
      </c>
      <c r="T399">
        <v>54</v>
      </c>
      <c r="V399">
        <v>397</v>
      </c>
      <c r="W399">
        <v>112.334014</v>
      </c>
      <c r="X399" s="14">
        <v>0.9164786394313601</v>
      </c>
      <c r="Y399">
        <v>30.988</v>
      </c>
      <c r="Z399" s="14">
        <v>0.91469390164708664</v>
      </c>
      <c r="AA399">
        <v>54</v>
      </c>
      <c r="AC399">
        <v>397</v>
      </c>
      <c r="AD399">
        <v>111.641659</v>
      </c>
      <c r="AE399" s="14">
        <v>0.91949564617786439</v>
      </c>
      <c r="AF399">
        <v>30.795000000000002</v>
      </c>
      <c r="AG399" s="14">
        <v>0.91670883815080517</v>
      </c>
      <c r="AH399">
        <v>54</v>
      </c>
      <c r="AJ399">
        <v>397</v>
      </c>
      <c r="AK399">
        <v>110.612731</v>
      </c>
      <c r="AL399" s="14">
        <v>0.89877473076750813</v>
      </c>
      <c r="AM399">
        <v>30.542999999999999</v>
      </c>
      <c r="AN399" s="14">
        <v>0.89343590943661144</v>
      </c>
      <c r="AO399">
        <v>54</v>
      </c>
      <c r="AQ399">
        <v>397</v>
      </c>
      <c r="AR399">
        <v>109.560805</v>
      </c>
      <c r="AS399" s="14">
        <v>0.8992201940324982</v>
      </c>
      <c r="AT399">
        <v>30.285</v>
      </c>
      <c r="AU399" s="14">
        <v>0.89433895402061248</v>
      </c>
      <c r="AV399">
        <v>54</v>
      </c>
      <c r="AX399">
        <v>397</v>
      </c>
      <c r="AY399">
        <v>111.777427</v>
      </c>
      <c r="AZ399" s="14">
        <v>0.90418292593324845</v>
      </c>
      <c r="BA399">
        <v>30.934999999999999</v>
      </c>
      <c r="BB399" s="14">
        <v>0.90126442139610774</v>
      </c>
      <c r="BC399">
        <v>54</v>
      </c>
    </row>
    <row r="400" spans="15:55" x14ac:dyDescent="0.35">
      <c r="O400">
        <v>398</v>
      </c>
      <c r="P400">
        <v>111.95589099999999</v>
      </c>
      <c r="Q400" s="14">
        <v>0.91258576377375455</v>
      </c>
      <c r="R400">
        <v>30.931000000000001</v>
      </c>
      <c r="S400" s="14">
        <v>0.91150468556609898</v>
      </c>
      <c r="T400">
        <v>54</v>
      </c>
      <c r="V400">
        <v>398</v>
      </c>
      <c r="W400">
        <v>112.349645</v>
      </c>
      <c r="X400" s="14">
        <v>0.91660616516557758</v>
      </c>
      <c r="Y400">
        <v>30.988</v>
      </c>
      <c r="Z400" s="14">
        <v>0.91469390164708664</v>
      </c>
      <c r="AA400">
        <v>54</v>
      </c>
      <c r="AC400">
        <v>398</v>
      </c>
      <c r="AD400">
        <v>111.582747</v>
      </c>
      <c r="AE400" s="14">
        <v>0.91901043906080038</v>
      </c>
      <c r="AF400">
        <v>30.780999999999999</v>
      </c>
      <c r="AG400" s="14">
        <v>0.91629208466049461</v>
      </c>
      <c r="AH400">
        <v>54</v>
      </c>
      <c r="AJ400">
        <v>398</v>
      </c>
      <c r="AK400">
        <v>110.55991400000001</v>
      </c>
      <c r="AL400" s="14">
        <v>0.89834557053861064</v>
      </c>
      <c r="AM400">
        <v>30.53</v>
      </c>
      <c r="AN400" s="14">
        <v>0.89305563681039024</v>
      </c>
      <c r="AO400">
        <v>54</v>
      </c>
      <c r="AQ400">
        <v>398</v>
      </c>
      <c r="AR400">
        <v>109.546902</v>
      </c>
      <c r="AS400" s="14">
        <v>0.89910608517433821</v>
      </c>
      <c r="AT400">
        <v>30.279</v>
      </c>
      <c r="AU400" s="14">
        <v>0.89416176948291648</v>
      </c>
      <c r="AV400">
        <v>54</v>
      </c>
      <c r="AX400">
        <v>398</v>
      </c>
      <c r="AY400">
        <v>111.755668</v>
      </c>
      <c r="AZ400" s="14">
        <v>0.90400691440020975</v>
      </c>
      <c r="BA400">
        <v>30.928999999999998</v>
      </c>
      <c r="BB400" s="14">
        <v>0.90108961659480247</v>
      </c>
      <c r="BC400">
        <v>54</v>
      </c>
    </row>
    <row r="401" spans="15:55" x14ac:dyDescent="0.35">
      <c r="O401">
        <v>399</v>
      </c>
      <c r="P401">
        <v>111.88685</v>
      </c>
      <c r="Q401" s="14">
        <v>0.91202299004962162</v>
      </c>
      <c r="R401">
        <v>30.914999999999999</v>
      </c>
      <c r="S401" s="14">
        <v>0.91103318205929162</v>
      </c>
      <c r="T401">
        <v>54</v>
      </c>
      <c r="V401">
        <v>399</v>
      </c>
      <c r="W401">
        <v>112.33596799999999</v>
      </c>
      <c r="X401" s="14">
        <v>0.91649458116795146</v>
      </c>
      <c r="Y401">
        <v>30.984000000000002</v>
      </c>
      <c r="Z401" s="14">
        <v>0.91457583092272277</v>
      </c>
      <c r="AA401">
        <v>54</v>
      </c>
      <c r="AC401">
        <v>399</v>
      </c>
      <c r="AD401">
        <v>111.58427</v>
      </c>
      <c r="AE401" s="14">
        <v>0.91902298269264604</v>
      </c>
      <c r="AF401">
        <v>30.779</v>
      </c>
      <c r="AG401" s="14">
        <v>0.91623254844759316</v>
      </c>
      <c r="AH401">
        <v>54</v>
      </c>
      <c r="AJ401">
        <v>399</v>
      </c>
      <c r="AK401">
        <v>110.54669800000001</v>
      </c>
      <c r="AL401" s="14">
        <v>0.8982381850077189</v>
      </c>
      <c r="AM401">
        <v>30.526</v>
      </c>
      <c r="AN401" s="14">
        <v>0.89293862984847594</v>
      </c>
      <c r="AO401">
        <v>54</v>
      </c>
      <c r="AQ401">
        <v>399</v>
      </c>
      <c r="AR401">
        <v>109.46400199999999</v>
      </c>
      <c r="AS401" s="14">
        <v>0.8984256835098442</v>
      </c>
      <c r="AT401">
        <v>30.262</v>
      </c>
      <c r="AU401" s="14">
        <v>0.89365974662611114</v>
      </c>
      <c r="AV401">
        <v>54</v>
      </c>
      <c r="AX401">
        <v>399</v>
      </c>
      <c r="AY401">
        <v>111.686213</v>
      </c>
      <c r="AZ401" s="14">
        <v>0.9034450833865052</v>
      </c>
      <c r="BA401">
        <v>30.913</v>
      </c>
      <c r="BB401" s="14">
        <v>0.90062347045798863</v>
      </c>
      <c r="BC401">
        <v>54</v>
      </c>
    </row>
    <row r="402" spans="15:55" x14ac:dyDescent="0.35">
      <c r="O402">
        <v>400</v>
      </c>
      <c r="P402">
        <v>111.898703</v>
      </c>
      <c r="Q402" s="14">
        <v>0.9121196073777621</v>
      </c>
      <c r="R402">
        <v>30.917000000000002</v>
      </c>
      <c r="S402" s="14">
        <v>0.91109211999764261</v>
      </c>
      <c r="T402">
        <v>54</v>
      </c>
      <c r="V402">
        <v>400</v>
      </c>
      <c r="W402">
        <v>112.28003699999999</v>
      </c>
      <c r="X402" s="14">
        <v>0.91603826731467786</v>
      </c>
      <c r="Y402">
        <v>30.972000000000001</v>
      </c>
      <c r="Z402" s="14">
        <v>0.91422161874963104</v>
      </c>
      <c r="AA402">
        <v>54</v>
      </c>
      <c r="AC402">
        <v>400</v>
      </c>
      <c r="AD402">
        <v>111.593288</v>
      </c>
      <c r="AE402" s="14">
        <v>0.91909725614765825</v>
      </c>
      <c r="AF402">
        <v>30.779</v>
      </c>
      <c r="AG402" s="14">
        <v>0.91623254844759316</v>
      </c>
      <c r="AH402">
        <v>54</v>
      </c>
      <c r="AJ402">
        <v>400</v>
      </c>
      <c r="AK402">
        <v>110.50828799999999</v>
      </c>
      <c r="AL402" s="14">
        <v>0.89792608768314608</v>
      </c>
      <c r="AM402">
        <v>30.515000000000001</v>
      </c>
      <c r="AN402" s="14">
        <v>0.89261686070321189</v>
      </c>
      <c r="AO402">
        <v>54</v>
      </c>
      <c r="AQ402">
        <v>400</v>
      </c>
      <c r="AR402">
        <v>109.43248199999999</v>
      </c>
      <c r="AS402" s="14">
        <v>0.8981669831423551</v>
      </c>
      <c r="AT402">
        <v>30.251999999999999</v>
      </c>
      <c r="AU402" s="14">
        <v>0.89336443906328444</v>
      </c>
      <c r="AV402">
        <v>54</v>
      </c>
      <c r="AX402">
        <v>400</v>
      </c>
      <c r="AY402">
        <v>111.622016</v>
      </c>
      <c r="AZ402" s="14">
        <v>0.90292578505540189</v>
      </c>
      <c r="BA402">
        <v>30.898</v>
      </c>
      <c r="BB402" s="14">
        <v>0.90018645845472556</v>
      </c>
      <c r="BC402">
        <v>54</v>
      </c>
    </row>
    <row r="403" spans="15:55" x14ac:dyDescent="0.35">
      <c r="O403">
        <v>401</v>
      </c>
      <c r="P403">
        <v>111.913149</v>
      </c>
      <c r="Q403" s="14">
        <v>0.91223736102007358</v>
      </c>
      <c r="R403">
        <v>30.917000000000002</v>
      </c>
      <c r="S403" s="14">
        <v>0.91109211999764261</v>
      </c>
      <c r="T403">
        <v>54</v>
      </c>
      <c r="V403">
        <v>401</v>
      </c>
      <c r="W403">
        <v>112.21124399999999</v>
      </c>
      <c r="X403" s="14">
        <v>0.9154770186527863</v>
      </c>
      <c r="Y403">
        <v>30.956</v>
      </c>
      <c r="Z403" s="14">
        <v>0.91374933585217544</v>
      </c>
      <c r="AA403">
        <v>54</v>
      </c>
      <c r="AC403">
        <v>401</v>
      </c>
      <c r="AD403">
        <v>111.57403499999999</v>
      </c>
      <c r="AE403" s="14">
        <v>0.91893868586274463</v>
      </c>
      <c r="AF403">
        <v>30.771999999999998</v>
      </c>
      <c r="AG403" s="14">
        <v>0.91602417170243788</v>
      </c>
      <c r="AH403">
        <v>54</v>
      </c>
      <c r="AJ403">
        <v>401</v>
      </c>
      <c r="AK403">
        <v>110.43888099999999</v>
      </c>
      <c r="AL403" s="14">
        <v>0.89736212676133886</v>
      </c>
      <c r="AM403">
        <v>30.5</v>
      </c>
      <c r="AN403" s="14">
        <v>0.89217808459603343</v>
      </c>
      <c r="AO403">
        <v>54</v>
      </c>
      <c r="AQ403">
        <v>401</v>
      </c>
      <c r="AR403">
        <v>109.401025</v>
      </c>
      <c r="AS403" s="14">
        <v>0.8979087998473011</v>
      </c>
      <c r="AT403">
        <v>30.244</v>
      </c>
      <c r="AU403" s="14">
        <v>0.89312819301302304</v>
      </c>
      <c r="AV403">
        <v>54</v>
      </c>
      <c r="AX403">
        <v>401</v>
      </c>
      <c r="AY403">
        <v>111.630045</v>
      </c>
      <c r="AZ403" s="14">
        <v>0.90299073273676433</v>
      </c>
      <c r="BA403">
        <v>30.898</v>
      </c>
      <c r="BB403" s="14">
        <v>0.90018645845472556</v>
      </c>
      <c r="BC403">
        <v>54</v>
      </c>
    </row>
    <row r="404" spans="15:55" x14ac:dyDescent="0.35">
      <c r="O404">
        <v>402</v>
      </c>
      <c r="P404">
        <v>111.896371</v>
      </c>
      <c r="Q404" s="14">
        <v>0.91210059855221381</v>
      </c>
      <c r="R404">
        <v>30.911000000000001</v>
      </c>
      <c r="S404" s="14">
        <v>0.91091530618258987</v>
      </c>
      <c r="T404">
        <v>54</v>
      </c>
      <c r="V404">
        <v>402</v>
      </c>
      <c r="W404">
        <v>112.204662</v>
      </c>
      <c r="X404" s="14">
        <v>0.91542331931284526</v>
      </c>
      <c r="Y404">
        <v>30.952999999999999</v>
      </c>
      <c r="Z404" s="14">
        <v>0.91366078280890251</v>
      </c>
      <c r="AA404">
        <v>54</v>
      </c>
      <c r="AC404">
        <v>402</v>
      </c>
      <c r="AD404">
        <v>111.485867</v>
      </c>
      <c r="AE404" s="14">
        <v>0.9182125224139176</v>
      </c>
      <c r="AF404">
        <v>30.754999999999999</v>
      </c>
      <c r="AG404" s="14">
        <v>0.91551811389277515</v>
      </c>
      <c r="AH404">
        <v>54</v>
      </c>
      <c r="AJ404">
        <v>402</v>
      </c>
      <c r="AK404">
        <v>110.37398899999999</v>
      </c>
      <c r="AL404" s="14">
        <v>0.89683485210405756</v>
      </c>
      <c r="AM404">
        <v>30.484999999999999</v>
      </c>
      <c r="AN404" s="14">
        <v>0.89173930848885508</v>
      </c>
      <c r="AO404">
        <v>54</v>
      </c>
      <c r="AQ404">
        <v>402</v>
      </c>
      <c r="AR404">
        <v>109.341915</v>
      </c>
      <c r="AS404" s="14">
        <v>0.89742365458326923</v>
      </c>
      <c r="AT404">
        <v>30.23</v>
      </c>
      <c r="AU404" s="14">
        <v>0.89271476242506576</v>
      </c>
      <c r="AV404">
        <v>54</v>
      </c>
      <c r="AX404">
        <v>402</v>
      </c>
      <c r="AY404">
        <v>111.640574</v>
      </c>
      <c r="AZ404" s="14">
        <v>0.90307590326074816</v>
      </c>
      <c r="BA404">
        <v>30.896000000000001</v>
      </c>
      <c r="BB404" s="14">
        <v>0.90012819018762391</v>
      </c>
      <c r="BC404">
        <v>54</v>
      </c>
    </row>
    <row r="405" spans="15:55" x14ac:dyDescent="0.35">
      <c r="O405">
        <v>403</v>
      </c>
      <c r="P405">
        <v>111.778857</v>
      </c>
      <c r="Q405" s="14">
        <v>0.91114270698897215</v>
      </c>
      <c r="R405">
        <v>30.885999999999999</v>
      </c>
      <c r="S405" s="14">
        <v>0.91017858195320334</v>
      </c>
      <c r="T405">
        <v>54</v>
      </c>
      <c r="V405">
        <v>403</v>
      </c>
      <c r="W405">
        <v>112.22323900000001</v>
      </c>
      <c r="X405" s="14">
        <v>0.91557488002966181</v>
      </c>
      <c r="Y405">
        <v>30.954000000000001</v>
      </c>
      <c r="Z405" s="14">
        <v>0.91369030048999356</v>
      </c>
      <c r="AA405">
        <v>54</v>
      </c>
      <c r="AC405">
        <v>403</v>
      </c>
      <c r="AD405">
        <v>111.42927299999999</v>
      </c>
      <c r="AE405" s="14">
        <v>0.91774640665510576</v>
      </c>
      <c r="AF405">
        <v>30.741</v>
      </c>
      <c r="AG405" s="14">
        <v>0.9151013604024647</v>
      </c>
      <c r="AH405">
        <v>54</v>
      </c>
      <c r="AJ405">
        <v>403</v>
      </c>
      <c r="AK405">
        <v>110.334211</v>
      </c>
      <c r="AL405" s="14">
        <v>0.8965116392069773</v>
      </c>
      <c r="AM405">
        <v>30.474</v>
      </c>
      <c r="AN405" s="14">
        <v>0.89141753934359091</v>
      </c>
      <c r="AO405">
        <v>54</v>
      </c>
      <c r="AQ405">
        <v>403</v>
      </c>
      <c r="AR405">
        <v>109.337846</v>
      </c>
      <c r="AS405" s="14">
        <v>0.89739025826996621</v>
      </c>
      <c r="AT405">
        <v>30.225999999999999</v>
      </c>
      <c r="AU405" s="14">
        <v>0.89259663939993505</v>
      </c>
      <c r="AV405">
        <v>54</v>
      </c>
      <c r="AX405">
        <v>403</v>
      </c>
      <c r="AY405">
        <v>111.644536</v>
      </c>
      <c r="AZ405" s="14">
        <v>0.90310795242173436</v>
      </c>
      <c r="BA405">
        <v>30.893999999999998</v>
      </c>
      <c r="BB405" s="14">
        <v>0.90006992192052204</v>
      </c>
      <c r="BC405">
        <v>54</v>
      </c>
    </row>
    <row r="406" spans="15:55" x14ac:dyDescent="0.35">
      <c r="O406">
        <v>404</v>
      </c>
      <c r="P406">
        <v>111.670896</v>
      </c>
      <c r="Q406" s="14">
        <v>0.91026268476983963</v>
      </c>
      <c r="R406">
        <v>30.863</v>
      </c>
      <c r="S406" s="14">
        <v>0.90950079566216779</v>
      </c>
      <c r="T406">
        <v>54</v>
      </c>
      <c r="V406">
        <v>404</v>
      </c>
      <c r="W406">
        <v>112.239632</v>
      </c>
      <c r="X406" s="14">
        <v>0.9157086225516391</v>
      </c>
      <c r="Y406">
        <v>30.954000000000001</v>
      </c>
      <c r="Z406" s="14">
        <v>0.91369030048999356</v>
      </c>
      <c r="AA406">
        <v>54</v>
      </c>
      <c r="AC406">
        <v>404</v>
      </c>
      <c r="AD406">
        <v>111.46189200000001</v>
      </c>
      <c r="AE406" s="14">
        <v>0.91801506110498898</v>
      </c>
      <c r="AF406">
        <v>30.745000000000001</v>
      </c>
      <c r="AG406" s="14">
        <v>0.9152204328282677</v>
      </c>
      <c r="AH406">
        <v>54</v>
      </c>
      <c r="AJ406">
        <v>404</v>
      </c>
      <c r="AK406">
        <v>110.31050399999999</v>
      </c>
      <c r="AL406" s="14">
        <v>0.89631900991060542</v>
      </c>
      <c r="AM406">
        <v>30.466999999999999</v>
      </c>
      <c r="AN406" s="14">
        <v>0.89121277716024105</v>
      </c>
      <c r="AO406">
        <v>54</v>
      </c>
      <c r="AQ406">
        <v>404</v>
      </c>
      <c r="AR406">
        <v>109.29098399999999</v>
      </c>
      <c r="AS406" s="14">
        <v>0.89700563845330128</v>
      </c>
      <c r="AT406">
        <v>30.216000000000001</v>
      </c>
      <c r="AU406" s="14">
        <v>0.89230133183710836</v>
      </c>
      <c r="AV406">
        <v>54</v>
      </c>
      <c r="AX406">
        <v>404</v>
      </c>
      <c r="AY406">
        <v>111.589398</v>
      </c>
      <c r="AZ406" s="14">
        <v>0.90266193358315339</v>
      </c>
      <c r="BA406">
        <v>30.882000000000001</v>
      </c>
      <c r="BB406" s="14">
        <v>0.89972031231791172</v>
      </c>
      <c r="BC406">
        <v>54</v>
      </c>
    </row>
    <row r="407" spans="15:55" x14ac:dyDescent="0.35">
      <c r="O407">
        <v>405</v>
      </c>
      <c r="P407">
        <v>111.73651700000001</v>
      </c>
      <c r="Q407" s="14">
        <v>0.91079758105684794</v>
      </c>
      <c r="R407">
        <v>30.873999999999999</v>
      </c>
      <c r="S407" s="14">
        <v>0.90982495432309785</v>
      </c>
      <c r="T407">
        <v>54</v>
      </c>
      <c r="V407">
        <v>405</v>
      </c>
      <c r="W407">
        <v>112.201083</v>
      </c>
      <c r="X407" s="14">
        <v>0.915394119990808</v>
      </c>
      <c r="Y407">
        <v>30.946000000000002</v>
      </c>
      <c r="Z407" s="14">
        <v>0.91345415904126581</v>
      </c>
      <c r="AA407">
        <v>54</v>
      </c>
      <c r="AC407">
        <v>405</v>
      </c>
      <c r="AD407">
        <v>111.481922</v>
      </c>
      <c r="AE407" s="14">
        <v>0.91818003086589994</v>
      </c>
      <c r="AF407">
        <v>30.745999999999999</v>
      </c>
      <c r="AG407" s="14">
        <v>0.91525020093471843</v>
      </c>
      <c r="AH407">
        <v>54</v>
      </c>
      <c r="AJ407">
        <v>405</v>
      </c>
      <c r="AK407">
        <v>110.27773999999999</v>
      </c>
      <c r="AL407" s="14">
        <v>0.89605278869888194</v>
      </c>
      <c r="AM407">
        <v>30.459</v>
      </c>
      <c r="AN407" s="14">
        <v>0.89097876323641256</v>
      </c>
      <c r="AO407">
        <v>54</v>
      </c>
      <c r="AQ407">
        <v>405</v>
      </c>
      <c r="AR407">
        <v>109.29847700000001</v>
      </c>
      <c r="AS407" s="14">
        <v>0.89706713724307285</v>
      </c>
      <c r="AT407">
        <v>30.213999999999999</v>
      </c>
      <c r="AU407" s="14">
        <v>0.89224227032454295</v>
      </c>
      <c r="AV407">
        <v>54</v>
      </c>
      <c r="AX407">
        <v>405</v>
      </c>
      <c r="AY407">
        <v>111.505499</v>
      </c>
      <c r="AZ407" s="14">
        <v>0.90198326307392018</v>
      </c>
      <c r="BA407">
        <v>30.864000000000001</v>
      </c>
      <c r="BB407" s="14">
        <v>0.89919589791399612</v>
      </c>
      <c r="BC407">
        <v>54</v>
      </c>
    </row>
    <row r="408" spans="15:55" x14ac:dyDescent="0.35">
      <c r="O408">
        <v>406</v>
      </c>
      <c r="P408">
        <v>111.777292</v>
      </c>
      <c r="Q408" s="14">
        <v>0.91112995020853349</v>
      </c>
      <c r="R408">
        <v>30.88</v>
      </c>
      <c r="S408" s="14">
        <v>0.91000176813815059</v>
      </c>
      <c r="T408">
        <v>54</v>
      </c>
      <c r="V408">
        <v>406</v>
      </c>
      <c r="W408">
        <v>112.11113</v>
      </c>
      <c r="X408" s="14">
        <v>0.91466023717012679</v>
      </c>
      <c r="Y408">
        <v>30.927</v>
      </c>
      <c r="Z408" s="14">
        <v>0.91289332310053717</v>
      </c>
      <c r="AA408">
        <v>54</v>
      </c>
      <c r="AC408">
        <v>406</v>
      </c>
      <c r="AD408">
        <v>111.483884</v>
      </c>
      <c r="AE408" s="14">
        <v>0.91819619016050347</v>
      </c>
      <c r="AF408">
        <v>30.745000000000001</v>
      </c>
      <c r="AG408" s="14">
        <v>0.9152204328282677</v>
      </c>
      <c r="AH408">
        <v>54</v>
      </c>
      <c r="AJ408">
        <v>406</v>
      </c>
      <c r="AK408">
        <v>110.252883</v>
      </c>
      <c r="AL408" s="14">
        <v>0.89585081517123544</v>
      </c>
      <c r="AM408">
        <v>30.451000000000001</v>
      </c>
      <c r="AN408" s="14">
        <v>0.89074474931258407</v>
      </c>
      <c r="AO408">
        <v>54</v>
      </c>
      <c r="AQ408">
        <v>406</v>
      </c>
      <c r="AR408">
        <v>109.283584</v>
      </c>
      <c r="AS408" s="14">
        <v>0.89694490296093399</v>
      </c>
      <c r="AT408">
        <v>30.209</v>
      </c>
      <c r="AU408" s="14">
        <v>0.89209461654312971</v>
      </c>
      <c r="AV408">
        <v>54</v>
      </c>
      <c r="AX408">
        <v>406</v>
      </c>
      <c r="AY408">
        <v>111.496274</v>
      </c>
      <c r="AZ408" s="14">
        <v>0.90190864078464761</v>
      </c>
      <c r="BA408">
        <v>30.859000000000002</v>
      </c>
      <c r="BB408" s="14">
        <v>0.89905022724624184</v>
      </c>
      <c r="BC408">
        <v>54</v>
      </c>
    </row>
    <row r="409" spans="15:55" x14ac:dyDescent="0.35">
      <c r="O409">
        <v>407</v>
      </c>
      <c r="P409">
        <v>111.773408</v>
      </c>
      <c r="Q409" s="14">
        <v>0.91109829056941272</v>
      </c>
      <c r="R409">
        <v>30.878</v>
      </c>
      <c r="S409" s="14">
        <v>0.90994283019979971</v>
      </c>
      <c r="T409">
        <v>54</v>
      </c>
      <c r="V409">
        <v>407</v>
      </c>
      <c r="W409">
        <v>112.088662</v>
      </c>
      <c r="X409" s="14">
        <v>0.91447693167486732</v>
      </c>
      <c r="Y409">
        <v>30.92</v>
      </c>
      <c r="Z409" s="14">
        <v>0.91268669933290048</v>
      </c>
      <c r="AA409">
        <v>54</v>
      </c>
      <c r="AC409">
        <v>407</v>
      </c>
      <c r="AD409">
        <v>111.406841</v>
      </c>
      <c r="AE409" s="14">
        <v>0.91756165370069964</v>
      </c>
      <c r="AF409">
        <v>30.728000000000002</v>
      </c>
      <c r="AG409" s="14">
        <v>0.91471437501860497</v>
      </c>
      <c r="AH409">
        <v>54</v>
      </c>
      <c r="AJ409">
        <v>407</v>
      </c>
      <c r="AK409">
        <v>110.268765</v>
      </c>
      <c r="AL409" s="14">
        <v>0.89597986306784738</v>
      </c>
      <c r="AM409">
        <v>30.452000000000002</v>
      </c>
      <c r="AN409" s="14">
        <v>0.8907740010530627</v>
      </c>
      <c r="AO409">
        <v>54</v>
      </c>
      <c r="AQ409">
        <v>407</v>
      </c>
      <c r="AR409">
        <v>109.219267</v>
      </c>
      <c r="AS409" s="14">
        <v>0.89641702124977296</v>
      </c>
      <c r="AT409">
        <v>30.195</v>
      </c>
      <c r="AU409" s="14">
        <v>0.89168118595517232</v>
      </c>
      <c r="AV409">
        <v>54</v>
      </c>
      <c r="AX409">
        <v>407</v>
      </c>
      <c r="AY409">
        <v>111.49454</v>
      </c>
      <c r="AZ409" s="14">
        <v>0.90189461422100548</v>
      </c>
      <c r="BA409">
        <v>30.856000000000002</v>
      </c>
      <c r="BB409" s="14">
        <v>0.8989628248455892</v>
      </c>
      <c r="BC409">
        <v>54</v>
      </c>
    </row>
    <row r="410" spans="15:55" x14ac:dyDescent="0.35">
      <c r="O410">
        <v>408</v>
      </c>
      <c r="P410">
        <v>111.765197</v>
      </c>
      <c r="Q410" s="14">
        <v>0.91103136026642095</v>
      </c>
      <c r="R410">
        <v>30.873999999999999</v>
      </c>
      <c r="S410" s="14">
        <v>0.90982495432309785</v>
      </c>
      <c r="T410">
        <v>54</v>
      </c>
      <c r="V410">
        <v>408</v>
      </c>
      <c r="W410">
        <v>112.098615</v>
      </c>
      <c r="X410" s="14">
        <v>0.91455813336590863</v>
      </c>
      <c r="Y410">
        <v>30.919</v>
      </c>
      <c r="Z410" s="14">
        <v>0.91265718165180942</v>
      </c>
      <c r="AA410">
        <v>54</v>
      </c>
      <c r="AC410">
        <v>408</v>
      </c>
      <c r="AD410">
        <v>111.32390700000001</v>
      </c>
      <c r="AE410" s="14">
        <v>0.91687859817641626</v>
      </c>
      <c r="AF410">
        <v>30.71</v>
      </c>
      <c r="AG410" s="14">
        <v>0.91417854910249152</v>
      </c>
      <c r="AH410">
        <v>54</v>
      </c>
      <c r="AJ410">
        <v>408</v>
      </c>
      <c r="AK410">
        <v>110.251892</v>
      </c>
      <c r="AL410" s="14">
        <v>0.89584276288150222</v>
      </c>
      <c r="AM410">
        <v>30.445</v>
      </c>
      <c r="AN410" s="14">
        <v>0.89056923886971273</v>
      </c>
      <c r="AO410">
        <v>54</v>
      </c>
      <c r="AQ410">
        <v>408</v>
      </c>
      <c r="AR410">
        <v>109.14807399999999</v>
      </c>
      <c r="AS410" s="14">
        <v>0.89583270477570387</v>
      </c>
      <c r="AT410">
        <v>30.178999999999998</v>
      </c>
      <c r="AU410" s="14">
        <v>0.89120869385464963</v>
      </c>
      <c r="AV410">
        <v>54</v>
      </c>
      <c r="AX410">
        <v>408</v>
      </c>
      <c r="AY410">
        <v>111.491241</v>
      </c>
      <c r="AZ410" s="14">
        <v>0.90186792815788241</v>
      </c>
      <c r="BA410">
        <v>30.853000000000002</v>
      </c>
      <c r="BB410" s="14">
        <v>0.89887542244493657</v>
      </c>
      <c r="BC410">
        <v>54</v>
      </c>
    </row>
    <row r="411" spans="15:55" x14ac:dyDescent="0.35">
      <c r="O411">
        <v>409</v>
      </c>
      <c r="P411">
        <v>111.720626</v>
      </c>
      <c r="Q411" s="14">
        <v>0.91066804878978624</v>
      </c>
      <c r="R411">
        <v>30.863</v>
      </c>
      <c r="S411" s="14">
        <v>0.90950079566216779</v>
      </c>
      <c r="T411">
        <v>54</v>
      </c>
      <c r="V411">
        <v>409</v>
      </c>
      <c r="W411">
        <v>112.10261199999999</v>
      </c>
      <c r="X411" s="14">
        <v>0.91459074294684828</v>
      </c>
      <c r="Y411">
        <v>30.917999999999999</v>
      </c>
      <c r="Z411" s="14">
        <v>0.91262766397071848</v>
      </c>
      <c r="AA411">
        <v>54</v>
      </c>
      <c r="AC411">
        <v>409</v>
      </c>
      <c r="AD411">
        <v>111.324854</v>
      </c>
      <c r="AE411" s="14">
        <v>0.91688639779516723</v>
      </c>
      <c r="AF411">
        <v>30.707999999999998</v>
      </c>
      <c r="AG411" s="14">
        <v>0.91411901288958997</v>
      </c>
      <c r="AH411">
        <v>54</v>
      </c>
      <c r="AJ411">
        <v>409</v>
      </c>
      <c r="AK411">
        <v>110.16158299999999</v>
      </c>
      <c r="AL411" s="14">
        <v>0.89510896446221455</v>
      </c>
      <c r="AM411">
        <v>30.425000000000001</v>
      </c>
      <c r="AN411" s="14">
        <v>0.88998420406014156</v>
      </c>
      <c r="AO411">
        <v>54</v>
      </c>
      <c r="AQ411">
        <v>409</v>
      </c>
      <c r="AR411">
        <v>109.118979</v>
      </c>
      <c r="AS411" s="14">
        <v>0.89559390759321356</v>
      </c>
      <c r="AT411">
        <v>30.170999999999999</v>
      </c>
      <c r="AU411" s="14">
        <v>0.89097244780438822</v>
      </c>
      <c r="AV411">
        <v>54</v>
      </c>
      <c r="AX411">
        <v>409</v>
      </c>
      <c r="AY411">
        <v>111.432385</v>
      </c>
      <c r="AZ411" s="14">
        <v>0.90139183390775512</v>
      </c>
      <c r="BA411">
        <v>30.84</v>
      </c>
      <c r="BB411" s="14">
        <v>0.89849667870877525</v>
      </c>
      <c r="BC411">
        <v>54</v>
      </c>
    </row>
    <row r="412" spans="15:55" x14ac:dyDescent="0.35">
      <c r="O412">
        <v>410</v>
      </c>
      <c r="P412">
        <v>111.71640600000001</v>
      </c>
      <c r="Q412" s="14">
        <v>0.91063365031473753</v>
      </c>
      <c r="R412">
        <v>30.861999999999998</v>
      </c>
      <c r="S412" s="14">
        <v>0.90947132669299224</v>
      </c>
      <c r="T412">
        <v>54</v>
      </c>
      <c r="V412">
        <v>410</v>
      </c>
      <c r="W412">
        <v>112.054469</v>
      </c>
      <c r="X412" s="14">
        <v>0.91419796760154515</v>
      </c>
      <c r="Y412">
        <v>30.907</v>
      </c>
      <c r="Z412" s="14">
        <v>0.9123029694787177</v>
      </c>
      <c r="AA412">
        <v>54</v>
      </c>
      <c r="AC412">
        <v>410</v>
      </c>
      <c r="AD412">
        <v>111.340801</v>
      </c>
      <c r="AE412" s="14">
        <v>0.91701773942159004</v>
      </c>
      <c r="AF412">
        <v>30.709</v>
      </c>
      <c r="AG412" s="14">
        <v>0.91414878099604069</v>
      </c>
      <c r="AH412">
        <v>54</v>
      </c>
      <c r="AJ412">
        <v>410</v>
      </c>
      <c r="AK412">
        <v>110.084042</v>
      </c>
      <c r="AL412" s="14">
        <v>0.89447891138633095</v>
      </c>
      <c r="AM412">
        <v>30.408999999999999</v>
      </c>
      <c r="AN412" s="14">
        <v>0.88951617621248458</v>
      </c>
      <c r="AO412">
        <v>54</v>
      </c>
      <c r="AQ412">
        <v>410</v>
      </c>
      <c r="AR412">
        <v>109.15372600000001</v>
      </c>
      <c r="AS412" s="14">
        <v>0.89587909355987427</v>
      </c>
      <c r="AT412">
        <v>30.173999999999999</v>
      </c>
      <c r="AU412" s="14">
        <v>0.89106104007323628</v>
      </c>
      <c r="AV412">
        <v>54</v>
      </c>
      <c r="AX412">
        <v>410</v>
      </c>
      <c r="AY412">
        <v>111.31505300000001</v>
      </c>
      <c r="AZ412" s="14">
        <v>0.90044271927957897</v>
      </c>
      <c r="BA412">
        <v>30.815000000000001</v>
      </c>
      <c r="BB412" s="14">
        <v>0.89776832537000362</v>
      </c>
      <c r="BC412">
        <v>54</v>
      </c>
    </row>
    <row r="413" spans="15:55" x14ac:dyDescent="0.35">
      <c r="O413">
        <v>411</v>
      </c>
      <c r="P413">
        <v>111.939312</v>
      </c>
      <c r="Q413" s="14">
        <v>0.91245062341407845</v>
      </c>
      <c r="R413">
        <v>30.94</v>
      </c>
      <c r="S413" s="14">
        <v>0.91176990628867816</v>
      </c>
      <c r="T413">
        <v>54</v>
      </c>
      <c r="V413">
        <v>411</v>
      </c>
      <c r="W413">
        <v>111.933903</v>
      </c>
      <c r="X413" s="14">
        <v>0.91321432818809301</v>
      </c>
      <c r="Y413">
        <v>30.882000000000001</v>
      </c>
      <c r="Z413" s="14">
        <v>0.91156502745144341</v>
      </c>
      <c r="AA413">
        <v>54</v>
      </c>
      <c r="AC413">
        <v>411</v>
      </c>
      <c r="AD413">
        <v>111.33620999999999</v>
      </c>
      <c r="AE413" s="14">
        <v>0.91697992733110856</v>
      </c>
      <c r="AF413">
        <v>30.706</v>
      </c>
      <c r="AG413" s="14">
        <v>0.91405947667668852</v>
      </c>
      <c r="AH413">
        <v>54</v>
      </c>
      <c r="AJ413">
        <v>411</v>
      </c>
      <c r="AK413">
        <v>110.08798899999999</v>
      </c>
      <c r="AL413" s="14">
        <v>0.89451098241314919</v>
      </c>
      <c r="AM413">
        <v>30.405999999999999</v>
      </c>
      <c r="AN413" s="14">
        <v>0.88942842099104891</v>
      </c>
      <c r="AO413">
        <v>54</v>
      </c>
      <c r="AQ413">
        <v>411</v>
      </c>
      <c r="AR413">
        <v>109.158689</v>
      </c>
      <c r="AS413" s="14">
        <v>0.89591982737725517</v>
      </c>
      <c r="AT413">
        <v>30.172999999999998</v>
      </c>
      <c r="AU413" s="14">
        <v>0.89103150931695352</v>
      </c>
      <c r="AV413">
        <v>54</v>
      </c>
      <c r="AX413">
        <v>411</v>
      </c>
      <c r="AY413">
        <v>111.282886</v>
      </c>
      <c r="AZ413" s="14">
        <v>0.90018251600813937</v>
      </c>
      <c r="BA413">
        <v>30.806000000000001</v>
      </c>
      <c r="BB413" s="14">
        <v>0.89750611816804571</v>
      </c>
      <c r="BC413">
        <v>54</v>
      </c>
    </row>
    <row r="414" spans="15:55" x14ac:dyDescent="0.35">
      <c r="O414">
        <v>412</v>
      </c>
      <c r="P414">
        <v>111.875649</v>
      </c>
      <c r="Q414" s="14">
        <v>0.91193168736738905</v>
      </c>
      <c r="R414">
        <v>30.914000000000001</v>
      </c>
      <c r="S414" s="14">
        <v>0.91100371309011619</v>
      </c>
      <c r="T414">
        <v>54</v>
      </c>
      <c r="V414">
        <v>412</v>
      </c>
      <c r="W414">
        <v>111.886416</v>
      </c>
      <c r="X414" s="14">
        <v>0.91282690482805284</v>
      </c>
      <c r="Y414">
        <v>30.87</v>
      </c>
      <c r="Z414" s="14">
        <v>0.91121081527835179</v>
      </c>
      <c r="AA414">
        <v>54</v>
      </c>
      <c r="AC414">
        <v>412</v>
      </c>
      <c r="AD414">
        <v>111.256708</v>
      </c>
      <c r="AE414" s="14">
        <v>0.91632513821818051</v>
      </c>
      <c r="AF414">
        <v>30.689</v>
      </c>
      <c r="AG414" s="14">
        <v>0.91355341886702579</v>
      </c>
      <c r="AH414">
        <v>54</v>
      </c>
      <c r="AJ414">
        <v>412</v>
      </c>
      <c r="AK414">
        <v>110.119502</v>
      </c>
      <c r="AL414" s="14">
        <v>0.89476703872632957</v>
      </c>
      <c r="AM414">
        <v>30.411000000000001</v>
      </c>
      <c r="AN414" s="14">
        <v>0.88957467969344184</v>
      </c>
      <c r="AO414">
        <v>54</v>
      </c>
      <c r="AQ414">
        <v>412</v>
      </c>
      <c r="AR414">
        <v>109.143354</v>
      </c>
      <c r="AS414" s="14">
        <v>0.89579396538057232</v>
      </c>
      <c r="AT414">
        <v>30.167000000000002</v>
      </c>
      <c r="AU414" s="14">
        <v>0.89085432477925763</v>
      </c>
      <c r="AV414">
        <v>54</v>
      </c>
      <c r="AX414">
        <v>412</v>
      </c>
      <c r="AY414">
        <v>111.339313</v>
      </c>
      <c r="AZ414" s="14">
        <v>0.90063896174437585</v>
      </c>
      <c r="BA414">
        <v>30.814</v>
      </c>
      <c r="BB414" s="14">
        <v>0.89773919123645263</v>
      </c>
      <c r="BC414">
        <v>54</v>
      </c>
    </row>
    <row r="415" spans="15:55" x14ac:dyDescent="0.35">
      <c r="O415">
        <v>413</v>
      </c>
      <c r="P415">
        <v>111.827451</v>
      </c>
      <c r="Q415" s="14">
        <v>0.91153881113506674</v>
      </c>
      <c r="R415">
        <v>30.896999999999998</v>
      </c>
      <c r="S415" s="14">
        <v>0.91050274061413339</v>
      </c>
      <c r="T415">
        <v>54</v>
      </c>
      <c r="V415">
        <v>413</v>
      </c>
      <c r="W415">
        <v>111.954177</v>
      </c>
      <c r="X415" s="14">
        <v>0.91337973390337202</v>
      </c>
      <c r="Y415">
        <v>30.88</v>
      </c>
      <c r="Z415" s="14">
        <v>0.91150599208926142</v>
      </c>
      <c r="AA415">
        <v>54</v>
      </c>
      <c r="AC415">
        <v>413</v>
      </c>
      <c r="AD415">
        <v>111.138611</v>
      </c>
      <c r="AE415" s="14">
        <v>0.91535247551951282</v>
      </c>
      <c r="AF415">
        <v>30.664999999999999</v>
      </c>
      <c r="AG415" s="14">
        <v>0.91283898431220778</v>
      </c>
      <c r="AH415">
        <v>54</v>
      </c>
      <c r="AJ415">
        <v>413</v>
      </c>
      <c r="AK415">
        <v>110.12344</v>
      </c>
      <c r="AL415" s="14">
        <v>0.89479903662438143</v>
      </c>
      <c r="AM415">
        <v>30.407</v>
      </c>
      <c r="AN415" s="14">
        <v>0.88945767273152754</v>
      </c>
      <c r="AO415">
        <v>54</v>
      </c>
      <c r="AQ415">
        <v>413</v>
      </c>
      <c r="AR415">
        <v>109.059129</v>
      </c>
      <c r="AS415" s="14">
        <v>0.89510268877994503</v>
      </c>
      <c r="AT415">
        <v>30.149000000000001</v>
      </c>
      <c r="AU415" s="14">
        <v>0.89032277116616965</v>
      </c>
      <c r="AV415">
        <v>54</v>
      </c>
      <c r="AX415">
        <v>413</v>
      </c>
      <c r="AY415">
        <v>111.34193399999999</v>
      </c>
      <c r="AZ415" s="14">
        <v>0.90066016337257992</v>
      </c>
      <c r="BA415">
        <v>30.812000000000001</v>
      </c>
      <c r="BB415" s="14">
        <v>0.89768092296935098</v>
      </c>
      <c r="BC415">
        <v>54</v>
      </c>
    </row>
    <row r="416" spans="15:55" x14ac:dyDescent="0.35">
      <c r="O416">
        <v>414</v>
      </c>
      <c r="P416">
        <v>111.75493</v>
      </c>
      <c r="Q416" s="14">
        <v>0.91094767089596462</v>
      </c>
      <c r="R416">
        <v>30.878</v>
      </c>
      <c r="S416" s="14">
        <v>0.90994283019979971</v>
      </c>
      <c r="T416">
        <v>54</v>
      </c>
      <c r="V416">
        <v>414</v>
      </c>
      <c r="W416">
        <v>111.967788</v>
      </c>
      <c r="X416" s="14">
        <v>0.91349077943906609</v>
      </c>
      <c r="Y416">
        <v>30.881</v>
      </c>
      <c r="Z416" s="14">
        <v>0.91153550977035247</v>
      </c>
      <c r="AA416">
        <v>54</v>
      </c>
      <c r="AC416">
        <v>414</v>
      </c>
      <c r="AD416">
        <v>111.157577</v>
      </c>
      <c r="AE416" s="14">
        <v>0.91550868203401314</v>
      </c>
      <c r="AF416">
        <v>30.664999999999999</v>
      </c>
      <c r="AG416" s="14">
        <v>0.91283898431220778</v>
      </c>
      <c r="AH416">
        <v>54</v>
      </c>
      <c r="AJ416">
        <v>414</v>
      </c>
      <c r="AK416">
        <v>110.085419</v>
      </c>
      <c r="AL416" s="14">
        <v>0.8944901000876051</v>
      </c>
      <c r="AM416">
        <v>30.398</v>
      </c>
      <c r="AN416" s="14">
        <v>0.88919440706722053</v>
      </c>
      <c r="AO416">
        <v>54</v>
      </c>
      <c r="AQ416">
        <v>414</v>
      </c>
      <c r="AR416">
        <v>108.988821</v>
      </c>
      <c r="AS416" s="14">
        <v>0.89452563594246326</v>
      </c>
      <c r="AT416">
        <v>30.134</v>
      </c>
      <c r="AU416" s="14">
        <v>0.8898798098219296</v>
      </c>
      <c r="AV416">
        <v>54</v>
      </c>
      <c r="AX416">
        <v>414</v>
      </c>
      <c r="AY416">
        <v>111.33878900000001</v>
      </c>
      <c r="AZ416" s="14">
        <v>0.90063472303656245</v>
      </c>
      <c r="BA416">
        <v>30.809000000000001</v>
      </c>
      <c r="BB416" s="14">
        <v>0.89759352056869834</v>
      </c>
      <c r="BC416">
        <v>54</v>
      </c>
    </row>
    <row r="417" spans="15:55" x14ac:dyDescent="0.35">
      <c r="O417">
        <v>415</v>
      </c>
      <c r="P417">
        <v>111.695894</v>
      </c>
      <c r="Q417" s="14">
        <v>0.91046645090236777</v>
      </c>
      <c r="R417">
        <v>30.86</v>
      </c>
      <c r="S417" s="14">
        <v>0.90941238875464137</v>
      </c>
      <c r="T417">
        <v>54</v>
      </c>
      <c r="V417">
        <v>415</v>
      </c>
      <c r="W417">
        <v>111.964949</v>
      </c>
      <c r="X417" s="14">
        <v>0.91346761741747806</v>
      </c>
      <c r="Y417">
        <v>30.878</v>
      </c>
      <c r="Z417" s="14">
        <v>0.91144695672707954</v>
      </c>
      <c r="AA417">
        <v>54</v>
      </c>
      <c r="AC417">
        <v>415</v>
      </c>
      <c r="AD417">
        <v>111.231813</v>
      </c>
      <c r="AE417" s="14">
        <v>0.91612009966611463</v>
      </c>
      <c r="AF417">
        <v>30.677</v>
      </c>
      <c r="AG417" s="14">
        <v>0.91319620158961679</v>
      </c>
      <c r="AH417">
        <v>54</v>
      </c>
      <c r="AJ417">
        <v>415</v>
      </c>
      <c r="AK417">
        <v>109.992347</v>
      </c>
      <c r="AL417" s="14">
        <v>0.89373385113700277</v>
      </c>
      <c r="AM417">
        <v>30.378</v>
      </c>
      <c r="AN417" s="14">
        <v>0.88860937225764935</v>
      </c>
      <c r="AO417">
        <v>54</v>
      </c>
      <c r="AQ417">
        <v>415</v>
      </c>
      <c r="AR417">
        <v>108.99728</v>
      </c>
      <c r="AS417" s="14">
        <v>0.89459506317623838</v>
      </c>
      <c r="AT417">
        <v>30.132000000000001</v>
      </c>
      <c r="AU417" s="14">
        <v>0.88982074830936431</v>
      </c>
      <c r="AV417">
        <v>54</v>
      </c>
      <c r="AX417">
        <v>415</v>
      </c>
      <c r="AY417">
        <v>111.330403</v>
      </c>
      <c r="AZ417" s="14">
        <v>0.90056688753327363</v>
      </c>
      <c r="BA417">
        <v>30.805</v>
      </c>
      <c r="BB417" s="14">
        <v>0.89747698403449483</v>
      </c>
      <c r="BC417">
        <v>54</v>
      </c>
    </row>
    <row r="418" spans="15:55" x14ac:dyDescent="0.35">
      <c r="O418">
        <v>416</v>
      </c>
      <c r="P418">
        <v>111.686745</v>
      </c>
      <c r="Q418" s="14">
        <v>0.91039187468241023</v>
      </c>
      <c r="R418">
        <v>30.855</v>
      </c>
      <c r="S418" s="14">
        <v>0.90926504390876417</v>
      </c>
      <c r="T418">
        <v>54</v>
      </c>
      <c r="V418">
        <v>416</v>
      </c>
      <c r="W418">
        <v>111.95925800000001</v>
      </c>
      <c r="X418" s="14">
        <v>0.91342118731361832</v>
      </c>
      <c r="Y418">
        <v>30.876000000000001</v>
      </c>
      <c r="Z418" s="14">
        <v>0.91138792136489766</v>
      </c>
      <c r="AA418">
        <v>54</v>
      </c>
      <c r="AC418">
        <v>416</v>
      </c>
      <c r="AD418">
        <v>111.22384099999999</v>
      </c>
      <c r="AE418" s="14">
        <v>0.91605444120710389</v>
      </c>
      <c r="AF418">
        <v>30.672999999999998</v>
      </c>
      <c r="AG418" s="14">
        <v>0.91307712916381378</v>
      </c>
      <c r="AH418">
        <v>54</v>
      </c>
      <c r="AJ418">
        <v>416</v>
      </c>
      <c r="AK418">
        <v>109.954982</v>
      </c>
      <c r="AL418" s="14">
        <v>0.8934302448747623</v>
      </c>
      <c r="AM418">
        <v>30.369</v>
      </c>
      <c r="AN418" s="14">
        <v>0.88834610659334234</v>
      </c>
      <c r="AO418">
        <v>54</v>
      </c>
      <c r="AQ418">
        <v>416</v>
      </c>
      <c r="AR418">
        <v>109.016609</v>
      </c>
      <c r="AS418" s="14">
        <v>0.89475370592380177</v>
      </c>
      <c r="AT418">
        <v>30.132000000000001</v>
      </c>
      <c r="AU418" s="14">
        <v>0.88982074830936431</v>
      </c>
      <c r="AV418">
        <v>54</v>
      </c>
      <c r="AX418">
        <v>416</v>
      </c>
      <c r="AY418">
        <v>111.278187</v>
      </c>
      <c r="AZ418" s="14">
        <v>0.90014450515314837</v>
      </c>
      <c r="BA418">
        <v>30.792000000000002</v>
      </c>
      <c r="BB418" s="14">
        <v>0.89709824029833363</v>
      </c>
      <c r="BC418">
        <v>54</v>
      </c>
    </row>
    <row r="419" spans="15:55" x14ac:dyDescent="0.35">
      <c r="O419">
        <v>417</v>
      </c>
      <c r="P419">
        <v>111.703012</v>
      </c>
      <c r="Q419" s="14">
        <v>0.91052447183729601</v>
      </c>
      <c r="R419">
        <v>30.853999999999999</v>
      </c>
      <c r="S419" s="14">
        <v>0.90923557493958862</v>
      </c>
      <c r="T419">
        <v>54</v>
      </c>
      <c r="V419">
        <v>417</v>
      </c>
      <c r="W419">
        <v>111.90354000000001</v>
      </c>
      <c r="X419" s="14">
        <v>0.91296661122385236</v>
      </c>
      <c r="Y419">
        <v>30.863</v>
      </c>
      <c r="Z419" s="14">
        <v>0.91100419151071488</v>
      </c>
      <c r="AA419">
        <v>54</v>
      </c>
      <c r="AC419">
        <v>417</v>
      </c>
      <c r="AD419">
        <v>111.211151</v>
      </c>
      <c r="AE419" s="14">
        <v>0.91594992466861358</v>
      </c>
      <c r="AF419">
        <v>30.669</v>
      </c>
      <c r="AG419" s="14">
        <v>0.91295805673801078</v>
      </c>
      <c r="AH419">
        <v>54</v>
      </c>
      <c r="AJ419">
        <v>417</v>
      </c>
      <c r="AK419">
        <v>109.951848</v>
      </c>
      <c r="AL419" s="14">
        <v>0.89340477981318434</v>
      </c>
      <c r="AM419">
        <v>30.364999999999998</v>
      </c>
      <c r="AN419" s="14">
        <v>0.88822909963142804</v>
      </c>
      <c r="AO419">
        <v>54</v>
      </c>
      <c r="AQ419">
        <v>417</v>
      </c>
      <c r="AR419">
        <v>108.99671600000001</v>
      </c>
      <c r="AS419" s="14">
        <v>0.89459043414682016</v>
      </c>
      <c r="AT419">
        <v>30.126000000000001</v>
      </c>
      <c r="AU419" s="14">
        <v>0.8896435637716682</v>
      </c>
      <c r="AV419">
        <v>54</v>
      </c>
      <c r="AX419">
        <v>417</v>
      </c>
      <c r="AY419">
        <v>111.287649</v>
      </c>
      <c r="AZ419" s="14">
        <v>0.90022104456790142</v>
      </c>
      <c r="BA419">
        <v>30.791</v>
      </c>
      <c r="BB419" s="14">
        <v>0.89706910616478275</v>
      </c>
      <c r="BC419">
        <v>54</v>
      </c>
    </row>
    <row r="420" spans="15:55" x14ac:dyDescent="0.35">
      <c r="O420">
        <v>418</v>
      </c>
      <c r="P420">
        <v>111.658719</v>
      </c>
      <c r="Q420" s="14">
        <v>0.91016342642133996</v>
      </c>
      <c r="R420">
        <v>30.841999999999999</v>
      </c>
      <c r="S420" s="14">
        <v>0.90888194730948313</v>
      </c>
      <c r="T420">
        <v>54</v>
      </c>
      <c r="V420">
        <v>418</v>
      </c>
      <c r="W420">
        <v>111.911249</v>
      </c>
      <c r="X420" s="14">
        <v>0.91302950520920723</v>
      </c>
      <c r="Y420">
        <v>30.861000000000001</v>
      </c>
      <c r="Z420" s="14">
        <v>0.910945156148533</v>
      </c>
      <c r="AA420">
        <v>54</v>
      </c>
      <c r="AC420">
        <v>418</v>
      </c>
      <c r="AD420">
        <v>111.1966</v>
      </c>
      <c r="AE420" s="14">
        <v>0.91583008068503813</v>
      </c>
      <c r="AF420">
        <v>30.664000000000001</v>
      </c>
      <c r="AG420" s="14">
        <v>0.91280921620575706</v>
      </c>
      <c r="AH420">
        <v>54</v>
      </c>
      <c r="AJ420">
        <v>418</v>
      </c>
      <c r="AK420">
        <v>109.96409199999999</v>
      </c>
      <c r="AL420" s="14">
        <v>0.89350426743729439</v>
      </c>
      <c r="AM420">
        <v>30.364000000000001</v>
      </c>
      <c r="AN420" s="14">
        <v>0.88819984789094952</v>
      </c>
      <c r="AO420">
        <v>54</v>
      </c>
      <c r="AQ420">
        <v>418</v>
      </c>
      <c r="AR420">
        <v>108.901325</v>
      </c>
      <c r="AS420" s="14">
        <v>0.89380751261270985</v>
      </c>
      <c r="AT420">
        <v>30.105</v>
      </c>
      <c r="AU420" s="14">
        <v>0.88902341788973216</v>
      </c>
      <c r="AV420">
        <v>54</v>
      </c>
      <c r="AX420">
        <v>418</v>
      </c>
      <c r="AY420">
        <v>111.654338</v>
      </c>
      <c r="AZ420" s="14">
        <v>0.90318724214308388</v>
      </c>
      <c r="BA420">
        <v>30.9</v>
      </c>
      <c r="BB420" s="14">
        <v>0.90024472672182732</v>
      </c>
      <c r="BC420">
        <v>54</v>
      </c>
    </row>
    <row r="421" spans="15:55" x14ac:dyDescent="0.35">
      <c r="O421">
        <v>419</v>
      </c>
      <c r="P421">
        <v>111.58384700000001</v>
      </c>
      <c r="Q421" s="14">
        <v>0.90955312248203879</v>
      </c>
      <c r="R421">
        <v>30.824999999999999</v>
      </c>
      <c r="S421" s="14">
        <v>0.90838097483350033</v>
      </c>
      <c r="T421">
        <v>54</v>
      </c>
      <c r="V421">
        <v>419</v>
      </c>
      <c r="W421">
        <v>112.25361599999999</v>
      </c>
      <c r="X421" s="14">
        <v>0.9158227112131001</v>
      </c>
      <c r="Y421">
        <v>30.971</v>
      </c>
      <c r="Z421" s="14">
        <v>0.9141921010685401</v>
      </c>
      <c r="AA421">
        <v>54</v>
      </c>
      <c r="AC421">
        <v>419</v>
      </c>
      <c r="AD421">
        <v>111.139404</v>
      </c>
      <c r="AE421" s="14">
        <v>0.91535900677365178</v>
      </c>
      <c r="AF421">
        <v>30.651</v>
      </c>
      <c r="AG421" s="14">
        <v>0.91242223082189733</v>
      </c>
      <c r="AH421">
        <v>54</v>
      </c>
      <c r="AJ421">
        <v>419</v>
      </c>
      <c r="AK421">
        <v>109.927564</v>
      </c>
      <c r="AL421" s="14">
        <v>0.89320746215033808</v>
      </c>
      <c r="AM421">
        <v>30.355</v>
      </c>
      <c r="AN421" s="14">
        <v>0.88793658222664251</v>
      </c>
      <c r="AO421">
        <v>54</v>
      </c>
      <c r="AQ421">
        <v>419</v>
      </c>
      <c r="AR421">
        <v>108.798321</v>
      </c>
      <c r="AS421" s="14">
        <v>0.89296210738895188</v>
      </c>
      <c r="AT421">
        <v>30.084</v>
      </c>
      <c r="AU421" s="14">
        <v>0.88840327200779612</v>
      </c>
      <c r="AV421">
        <v>54</v>
      </c>
      <c r="AX421">
        <v>419</v>
      </c>
      <c r="AY421">
        <v>111.578109</v>
      </c>
      <c r="AZ421" s="14">
        <v>0.9025706153150127</v>
      </c>
      <c r="BA421">
        <v>30.87</v>
      </c>
      <c r="BB421" s="14">
        <v>0.89937070271530128</v>
      </c>
      <c r="BC421">
        <v>54</v>
      </c>
    </row>
    <row r="422" spans="15:55" x14ac:dyDescent="0.35">
      <c r="O422">
        <v>420</v>
      </c>
      <c r="P422">
        <v>111.517376</v>
      </c>
      <c r="Q422" s="14">
        <v>0.90901129759223631</v>
      </c>
      <c r="R422">
        <v>30.808</v>
      </c>
      <c r="S422" s="14">
        <v>0.90788000235751765</v>
      </c>
      <c r="T422">
        <v>54</v>
      </c>
      <c r="V422">
        <v>420</v>
      </c>
      <c r="W422">
        <v>112.16262500000001</v>
      </c>
      <c r="X422" s="14">
        <v>0.91508035985476188</v>
      </c>
      <c r="Y422">
        <v>30.939</v>
      </c>
      <c r="Z422" s="14">
        <v>0.9132475352736289</v>
      </c>
      <c r="AA422">
        <v>54</v>
      </c>
      <c r="AC422">
        <v>420</v>
      </c>
      <c r="AD422">
        <v>111.164823</v>
      </c>
      <c r="AE422" s="14">
        <v>0.9155683610598524</v>
      </c>
      <c r="AF422">
        <v>30.654</v>
      </c>
      <c r="AG422" s="14">
        <v>0.91251153514124961</v>
      </c>
      <c r="AH422">
        <v>54</v>
      </c>
      <c r="AJ422">
        <v>420</v>
      </c>
      <c r="AK422">
        <v>109.804912</v>
      </c>
      <c r="AL422" s="14">
        <v>0.89221086332051536</v>
      </c>
      <c r="AM422">
        <v>30.33</v>
      </c>
      <c r="AN422" s="14">
        <v>0.88720528871467852</v>
      </c>
      <c r="AO422">
        <v>54</v>
      </c>
      <c r="AQ422">
        <v>420</v>
      </c>
      <c r="AR422">
        <v>108.847832</v>
      </c>
      <c r="AS422" s="14">
        <v>0.89336846887038446</v>
      </c>
      <c r="AT422">
        <v>30.09</v>
      </c>
      <c r="AU422" s="14">
        <v>0.88858045654549211</v>
      </c>
      <c r="AV422">
        <v>54</v>
      </c>
      <c r="AX422">
        <v>420</v>
      </c>
      <c r="AY422">
        <v>111.497811</v>
      </c>
      <c r="AZ422" s="14">
        <v>0.90192107378829112</v>
      </c>
      <c r="BA422">
        <v>30.844999999999999</v>
      </c>
      <c r="BB422" s="14">
        <v>0.89864234937652954</v>
      </c>
      <c r="BC422">
        <v>54</v>
      </c>
    </row>
    <row r="423" spans="15:55" x14ac:dyDescent="0.35">
      <c r="O423">
        <v>421</v>
      </c>
      <c r="P423">
        <v>111.506789</v>
      </c>
      <c r="Q423" s="14">
        <v>0.90892499980661046</v>
      </c>
      <c r="R423">
        <v>30.803999999999998</v>
      </c>
      <c r="S423" s="14">
        <v>0.90776212648081578</v>
      </c>
      <c r="T423">
        <v>54</v>
      </c>
      <c r="V423">
        <v>421</v>
      </c>
      <c r="W423">
        <v>112.1127</v>
      </c>
      <c r="X423" s="14">
        <v>0.91467304603729593</v>
      </c>
      <c r="Y423">
        <v>30.920999999999999</v>
      </c>
      <c r="Z423" s="14">
        <v>0.9127162170139913</v>
      </c>
      <c r="AA423">
        <v>54</v>
      </c>
      <c r="AC423">
        <v>421</v>
      </c>
      <c r="AD423">
        <v>111.588505</v>
      </c>
      <c r="AE423" s="14">
        <v>0.91905786271947865</v>
      </c>
      <c r="AF423">
        <v>30.785</v>
      </c>
      <c r="AG423" s="14">
        <v>0.91641115708629761</v>
      </c>
      <c r="AH423">
        <v>54</v>
      </c>
      <c r="AJ423">
        <v>421</v>
      </c>
      <c r="AK423">
        <v>109.73207600000001</v>
      </c>
      <c r="AL423" s="14">
        <v>0.89161904033867267</v>
      </c>
      <c r="AM423">
        <v>30.312999999999999</v>
      </c>
      <c r="AN423" s="14">
        <v>0.88670800912654302</v>
      </c>
      <c r="AO423">
        <v>54</v>
      </c>
      <c r="AQ423">
        <v>421</v>
      </c>
      <c r="AR423">
        <v>108.883747</v>
      </c>
      <c r="AS423" s="14">
        <v>0.8936632411958404</v>
      </c>
      <c r="AT423">
        <v>30.094999999999999</v>
      </c>
      <c r="AU423" s="14">
        <v>0.88872811032690546</v>
      </c>
      <c r="AV423">
        <v>54</v>
      </c>
      <c r="AX423">
        <v>421</v>
      </c>
      <c r="AY423">
        <v>111.430937</v>
      </c>
      <c r="AZ423" s="14">
        <v>0.9013801208373089</v>
      </c>
      <c r="BA423">
        <v>30.824999999999999</v>
      </c>
      <c r="BB423" s="14">
        <v>0.89805966670551218</v>
      </c>
      <c r="BC423">
        <v>54</v>
      </c>
    </row>
    <row r="424" spans="15:55" x14ac:dyDescent="0.35">
      <c r="O424">
        <v>422</v>
      </c>
      <c r="P424">
        <v>111.51296600000001</v>
      </c>
      <c r="Q424" s="14">
        <v>0.90897535037068067</v>
      </c>
      <c r="R424">
        <v>30.803000000000001</v>
      </c>
      <c r="S424" s="14">
        <v>0.90773265751164034</v>
      </c>
      <c r="T424">
        <v>54</v>
      </c>
      <c r="V424">
        <v>422</v>
      </c>
      <c r="W424">
        <v>112.0365</v>
      </c>
      <c r="X424" s="14">
        <v>0.91405136726131386</v>
      </c>
      <c r="Y424">
        <v>30.9</v>
      </c>
      <c r="Z424" s="14">
        <v>0.91209634571108089</v>
      </c>
      <c r="AA424">
        <v>54</v>
      </c>
      <c r="AC424">
        <v>422</v>
      </c>
      <c r="AD424">
        <v>111.473707</v>
      </c>
      <c r="AE424" s="14">
        <v>0.91811237102636511</v>
      </c>
      <c r="AF424">
        <v>30.748000000000001</v>
      </c>
      <c r="AG424" s="14">
        <v>0.91530973714761998</v>
      </c>
      <c r="AH424">
        <v>54</v>
      </c>
      <c r="AJ424">
        <v>422</v>
      </c>
      <c r="AK424">
        <v>109.81148</v>
      </c>
      <c r="AL424" s="14">
        <v>0.89226423106922126</v>
      </c>
      <c r="AM424">
        <v>30.324999999999999</v>
      </c>
      <c r="AN424" s="14">
        <v>0.8870590300122857</v>
      </c>
      <c r="AO424">
        <v>54</v>
      </c>
      <c r="AQ424">
        <v>422</v>
      </c>
      <c r="AR424">
        <v>108.87178900000001</v>
      </c>
      <c r="AS424" s="14">
        <v>0.89356509592317435</v>
      </c>
      <c r="AT424">
        <v>30.088999999999999</v>
      </c>
      <c r="AU424" s="14">
        <v>0.88855092578920947</v>
      </c>
      <c r="AV424">
        <v>54</v>
      </c>
      <c r="AX424">
        <v>422</v>
      </c>
      <c r="AY424">
        <v>111.363525</v>
      </c>
      <c r="AZ424" s="14">
        <v>0.90083481593059445</v>
      </c>
      <c r="BA424">
        <v>30.809000000000001</v>
      </c>
      <c r="BB424" s="14">
        <v>0.89759352056869834</v>
      </c>
      <c r="BC424">
        <v>54</v>
      </c>
    </row>
    <row r="425" spans="15:55" x14ac:dyDescent="0.35">
      <c r="O425">
        <v>423</v>
      </c>
      <c r="P425">
        <v>111.480104</v>
      </c>
      <c r="Q425" s="14">
        <v>0.90870748243536015</v>
      </c>
      <c r="R425">
        <v>30.792999999999999</v>
      </c>
      <c r="S425" s="14">
        <v>0.90743796781988573</v>
      </c>
      <c r="T425">
        <v>54</v>
      </c>
      <c r="V425">
        <v>423</v>
      </c>
      <c r="W425">
        <v>111.973286</v>
      </c>
      <c r="X425" s="14">
        <v>0.91353563494970069</v>
      </c>
      <c r="Y425">
        <v>30.882000000000001</v>
      </c>
      <c r="Z425" s="14">
        <v>0.91156502745144341</v>
      </c>
      <c r="AA425">
        <v>54</v>
      </c>
      <c r="AC425">
        <v>423</v>
      </c>
      <c r="AD425">
        <v>111.414407</v>
      </c>
      <c r="AE425" s="14">
        <v>0.91762396828936921</v>
      </c>
      <c r="AF425">
        <v>30.727</v>
      </c>
      <c r="AG425" s="14">
        <v>0.91468460691215425</v>
      </c>
      <c r="AH425">
        <v>54</v>
      </c>
      <c r="AJ425">
        <v>423</v>
      </c>
      <c r="AK425">
        <v>109.836727</v>
      </c>
      <c r="AL425" s="14">
        <v>0.8924693735100826</v>
      </c>
      <c r="AM425">
        <v>30.327000000000002</v>
      </c>
      <c r="AN425" s="14">
        <v>0.88711753349324285</v>
      </c>
      <c r="AO425">
        <v>54</v>
      </c>
      <c r="AQ425">
        <v>423</v>
      </c>
      <c r="AR425">
        <v>108.849127</v>
      </c>
      <c r="AS425" s="14">
        <v>0.89337909758154876</v>
      </c>
      <c r="AT425">
        <v>30.082999999999998</v>
      </c>
      <c r="AU425" s="14">
        <v>0.88837374125151347</v>
      </c>
      <c r="AV425">
        <v>54</v>
      </c>
      <c r="AX425">
        <v>423</v>
      </c>
      <c r="AY425">
        <v>111.363375</v>
      </c>
      <c r="AZ425" s="14">
        <v>0.90083360256003719</v>
      </c>
      <c r="BA425">
        <v>30.803999999999998</v>
      </c>
      <c r="BB425" s="14">
        <v>0.89744784990094395</v>
      </c>
      <c r="BC425">
        <v>54</v>
      </c>
    </row>
    <row r="426" spans="15:55" x14ac:dyDescent="0.35">
      <c r="O426">
        <v>424</v>
      </c>
      <c r="P426">
        <v>111.410229</v>
      </c>
      <c r="Q426" s="14">
        <v>0.90813791052919146</v>
      </c>
      <c r="R426">
        <v>30.777000000000001</v>
      </c>
      <c r="S426" s="14">
        <v>0.90696646431307848</v>
      </c>
      <c r="T426">
        <v>54</v>
      </c>
      <c r="V426">
        <v>424</v>
      </c>
      <c r="W426">
        <v>111.955315</v>
      </c>
      <c r="X426" s="14">
        <v>0.91338901829244112</v>
      </c>
      <c r="Y426">
        <v>30.873999999999999</v>
      </c>
      <c r="Z426" s="14">
        <v>0.91132888600271555</v>
      </c>
      <c r="AA426">
        <v>54</v>
      </c>
      <c r="AC426">
        <v>424</v>
      </c>
      <c r="AD426">
        <v>111.33843899999999</v>
      </c>
      <c r="AE426" s="14">
        <v>0.91699828567344854</v>
      </c>
      <c r="AF426">
        <v>30.706</v>
      </c>
      <c r="AG426" s="14">
        <v>0.91405947667668852</v>
      </c>
      <c r="AH426">
        <v>54</v>
      </c>
      <c r="AJ426">
        <v>424</v>
      </c>
      <c r="AK426">
        <v>109.82097899999999</v>
      </c>
      <c r="AL426" s="14">
        <v>0.89234141441954962</v>
      </c>
      <c r="AM426">
        <v>30.321000000000002</v>
      </c>
      <c r="AN426" s="14">
        <v>0.88694202305037151</v>
      </c>
      <c r="AO426">
        <v>54</v>
      </c>
      <c r="AQ426">
        <v>424</v>
      </c>
      <c r="AR426">
        <v>108.82196500000001</v>
      </c>
      <c r="AS426" s="14">
        <v>0.89315616549456467</v>
      </c>
      <c r="AT426">
        <v>30.074999999999999</v>
      </c>
      <c r="AU426" s="14">
        <v>0.88813749520125207</v>
      </c>
      <c r="AV426">
        <v>54</v>
      </c>
      <c r="AX426">
        <v>424</v>
      </c>
      <c r="AY426">
        <v>111.344793</v>
      </c>
      <c r="AZ426" s="14">
        <v>0.90068329021540161</v>
      </c>
      <c r="BA426">
        <v>30.795999999999999</v>
      </c>
      <c r="BB426" s="14">
        <v>0.89721477683253703</v>
      </c>
      <c r="BC426">
        <v>54</v>
      </c>
    </row>
    <row r="427" spans="15:55" x14ac:dyDescent="0.35">
      <c r="O427">
        <v>425</v>
      </c>
      <c r="P427">
        <v>111.347081</v>
      </c>
      <c r="Q427" s="14">
        <v>0.90762317240066559</v>
      </c>
      <c r="R427">
        <v>30.762</v>
      </c>
      <c r="S427" s="14">
        <v>0.90652442977544656</v>
      </c>
      <c r="T427">
        <v>54</v>
      </c>
      <c r="V427">
        <v>425</v>
      </c>
      <c r="W427">
        <v>111.972049</v>
      </c>
      <c r="X427" s="14">
        <v>0.91352554286773358</v>
      </c>
      <c r="Y427">
        <v>30.873000000000001</v>
      </c>
      <c r="Z427" s="14">
        <v>0.91129936832162473</v>
      </c>
      <c r="AA427">
        <v>54</v>
      </c>
      <c r="AC427">
        <v>425</v>
      </c>
      <c r="AD427">
        <v>111.27476299999999</v>
      </c>
      <c r="AE427" s="14">
        <v>0.91647384161474799</v>
      </c>
      <c r="AF427">
        <v>30.69</v>
      </c>
      <c r="AG427" s="14">
        <v>0.91358318697347651</v>
      </c>
      <c r="AH427">
        <v>54</v>
      </c>
      <c r="AJ427">
        <v>425</v>
      </c>
      <c r="AK427">
        <v>109.797481</v>
      </c>
      <c r="AL427" s="14">
        <v>0.89215048333564428</v>
      </c>
      <c r="AM427">
        <v>30.314</v>
      </c>
      <c r="AN427" s="14">
        <v>0.88673726086702154</v>
      </c>
      <c r="AO427">
        <v>54</v>
      </c>
      <c r="AQ427">
        <v>425</v>
      </c>
      <c r="AR427">
        <v>108.777237</v>
      </c>
      <c r="AS427" s="14">
        <v>0.89278906048069873</v>
      </c>
      <c r="AT427">
        <v>30.064</v>
      </c>
      <c r="AU427" s="14">
        <v>0.88781265688214273</v>
      </c>
      <c r="AV427">
        <v>54</v>
      </c>
      <c r="AX427">
        <v>425</v>
      </c>
      <c r="AY427">
        <v>111.337053</v>
      </c>
      <c r="AZ427" s="14">
        <v>0.90062068029464615</v>
      </c>
      <c r="BA427">
        <v>30.79</v>
      </c>
      <c r="BB427" s="14">
        <v>0.89703997203123187</v>
      </c>
      <c r="BC427">
        <v>54</v>
      </c>
    </row>
    <row r="428" spans="15:55" x14ac:dyDescent="0.35">
      <c r="O428">
        <v>426</v>
      </c>
      <c r="P428">
        <v>111.32859999999999</v>
      </c>
      <c r="Q428" s="14">
        <v>0.90747252827332525</v>
      </c>
      <c r="R428">
        <v>30.757000000000001</v>
      </c>
      <c r="S428" s="14">
        <v>0.90637708492956925</v>
      </c>
      <c r="T428">
        <v>54</v>
      </c>
      <c r="V428">
        <v>426</v>
      </c>
      <c r="W428">
        <v>111.933572</v>
      </c>
      <c r="X428" s="14">
        <v>0.91321162771991915</v>
      </c>
      <c r="Y428">
        <v>30.861000000000001</v>
      </c>
      <c r="Z428" s="14">
        <v>0.910945156148533</v>
      </c>
      <c r="AA428">
        <v>54</v>
      </c>
      <c r="AC428">
        <v>426</v>
      </c>
      <c r="AD428">
        <v>111.26105800000001</v>
      </c>
      <c r="AE428" s="14">
        <v>0.91636096540040535</v>
      </c>
      <c r="AF428">
        <v>30.681000000000001</v>
      </c>
      <c r="AG428" s="14">
        <v>0.91331527401541979</v>
      </c>
      <c r="AH428">
        <v>54</v>
      </c>
      <c r="AJ428">
        <v>426</v>
      </c>
      <c r="AK428">
        <v>109.74657500000001</v>
      </c>
      <c r="AL428" s="14">
        <v>0.89173685078149956</v>
      </c>
      <c r="AM428">
        <v>30.302</v>
      </c>
      <c r="AN428" s="14">
        <v>0.88638623998127886</v>
      </c>
      <c r="AO428">
        <v>54</v>
      </c>
      <c r="AQ428">
        <v>426</v>
      </c>
      <c r="AR428">
        <v>108.784672</v>
      </c>
      <c r="AS428" s="14">
        <v>0.89285008323552995</v>
      </c>
      <c r="AT428">
        <v>30.062000000000001</v>
      </c>
      <c r="AU428" s="14">
        <v>0.88775359536957743</v>
      </c>
      <c r="AV428">
        <v>54</v>
      </c>
      <c r="AX428">
        <v>426</v>
      </c>
      <c r="AY428">
        <v>111.253468</v>
      </c>
      <c r="AZ428" s="14">
        <v>0.89994454977444616</v>
      </c>
      <c r="BA428">
        <v>30.771999999999998</v>
      </c>
      <c r="BB428" s="14">
        <v>0.89651555762731616</v>
      </c>
      <c r="BC428">
        <v>54</v>
      </c>
    </row>
    <row r="429" spans="15:55" x14ac:dyDescent="0.35">
      <c r="O429">
        <v>427</v>
      </c>
      <c r="P429">
        <v>111.34608900000001</v>
      </c>
      <c r="Q429" s="14">
        <v>0.90761508631363996</v>
      </c>
      <c r="R429">
        <v>30.757000000000001</v>
      </c>
      <c r="S429" s="14">
        <v>0.90637708492956925</v>
      </c>
      <c r="T429">
        <v>54</v>
      </c>
      <c r="V429">
        <v>427</v>
      </c>
      <c r="W429">
        <v>111.861289</v>
      </c>
      <c r="X429" s="14">
        <v>0.91262190584374703</v>
      </c>
      <c r="Y429">
        <v>30.844999999999999</v>
      </c>
      <c r="Z429" s="14">
        <v>0.9104728732510774</v>
      </c>
      <c r="AA429">
        <v>54</v>
      </c>
      <c r="AC429">
        <v>427</v>
      </c>
      <c r="AD429">
        <v>111.26752399999999</v>
      </c>
      <c r="AE429" s="14">
        <v>0.9164142202418456</v>
      </c>
      <c r="AF429">
        <v>30.677</v>
      </c>
      <c r="AG429" s="14">
        <v>0.91319620158961679</v>
      </c>
      <c r="AH429">
        <v>54</v>
      </c>
      <c r="AJ429">
        <v>427</v>
      </c>
      <c r="AK429">
        <v>109.72248</v>
      </c>
      <c r="AL429" s="14">
        <v>0.89154106882274975</v>
      </c>
      <c r="AM429">
        <v>30.295000000000002</v>
      </c>
      <c r="AN429" s="14">
        <v>0.886181477797929</v>
      </c>
      <c r="AO429">
        <v>54</v>
      </c>
      <c r="AQ429">
        <v>427</v>
      </c>
      <c r="AR429">
        <v>109.23436100000001</v>
      </c>
      <c r="AS429" s="14">
        <v>0.89654090523920449</v>
      </c>
      <c r="AT429">
        <v>30.198</v>
      </c>
      <c r="AU429" s="14">
        <v>0.89176977822402037</v>
      </c>
      <c r="AV429">
        <v>54</v>
      </c>
      <c r="AX429">
        <v>427</v>
      </c>
      <c r="AY429">
        <v>111.185337</v>
      </c>
      <c r="AZ429" s="14">
        <v>0.89939342877819395</v>
      </c>
      <c r="BA429">
        <v>30.754999999999999</v>
      </c>
      <c r="BB429" s="14">
        <v>0.89602027735695144</v>
      </c>
      <c r="BC429">
        <v>54</v>
      </c>
    </row>
    <row r="430" spans="15:55" x14ac:dyDescent="0.35">
      <c r="O430">
        <v>428</v>
      </c>
      <c r="P430">
        <v>111.31079</v>
      </c>
      <c r="Q430" s="14">
        <v>0.9073273536665436</v>
      </c>
      <c r="R430">
        <v>30.748999999999999</v>
      </c>
      <c r="S430" s="14">
        <v>0.90614133317616552</v>
      </c>
      <c r="T430">
        <v>54</v>
      </c>
      <c r="V430">
        <v>428</v>
      </c>
      <c r="W430">
        <v>111.802944</v>
      </c>
      <c r="X430" s="14">
        <v>0.91214589733738649</v>
      </c>
      <c r="Y430">
        <v>30.831</v>
      </c>
      <c r="Z430" s="14">
        <v>0.91005962571580379</v>
      </c>
      <c r="AA430">
        <v>54</v>
      </c>
      <c r="AC430">
        <v>428</v>
      </c>
      <c r="AD430">
        <v>111.223794</v>
      </c>
      <c r="AE430" s="14">
        <v>0.91605405410881324</v>
      </c>
      <c r="AF430">
        <v>30.666</v>
      </c>
      <c r="AG430" s="14">
        <v>0.91286875241865861</v>
      </c>
      <c r="AH430">
        <v>54</v>
      </c>
      <c r="AJ430">
        <v>428</v>
      </c>
      <c r="AK430">
        <v>110.201674</v>
      </c>
      <c r="AL430" s="14">
        <v>0.89543472061528528</v>
      </c>
      <c r="AM430">
        <v>30.436</v>
      </c>
      <c r="AN430" s="14">
        <v>0.89030597320540572</v>
      </c>
      <c r="AO430">
        <v>54</v>
      </c>
      <c r="AQ430">
        <v>428</v>
      </c>
      <c r="AR430">
        <v>109.156105</v>
      </c>
      <c r="AS430" s="14">
        <v>0.89589861919992042</v>
      </c>
      <c r="AT430">
        <v>30.164999999999999</v>
      </c>
      <c r="AU430" s="14">
        <v>0.89079526326669223</v>
      </c>
      <c r="AV430">
        <v>54</v>
      </c>
      <c r="AX430">
        <v>428</v>
      </c>
      <c r="AY430">
        <v>111.153325</v>
      </c>
      <c r="AZ430" s="14">
        <v>0.89913447932299684</v>
      </c>
      <c r="BA430">
        <v>30.747</v>
      </c>
      <c r="BB430" s="14">
        <v>0.89578720428854453</v>
      </c>
      <c r="BC430">
        <v>54</v>
      </c>
    </row>
    <row r="431" spans="15:55" x14ac:dyDescent="0.35">
      <c r="O431">
        <v>429</v>
      </c>
      <c r="P431">
        <v>111.24194799999999</v>
      </c>
      <c r="Q431" s="14">
        <v>0.90676620205059411</v>
      </c>
      <c r="R431">
        <v>30.731999999999999</v>
      </c>
      <c r="S431" s="14">
        <v>0.90564036070018272</v>
      </c>
      <c r="T431">
        <v>54</v>
      </c>
      <c r="V431">
        <v>429</v>
      </c>
      <c r="W431">
        <v>111.781835</v>
      </c>
      <c r="X431" s="14">
        <v>0.91197367926281692</v>
      </c>
      <c r="Y431">
        <v>30.823</v>
      </c>
      <c r="Z431" s="14">
        <v>0.90982348426707593</v>
      </c>
      <c r="AA431">
        <v>54</v>
      </c>
      <c r="AC431">
        <v>429</v>
      </c>
      <c r="AD431">
        <v>111.14085300000001</v>
      </c>
      <c r="AE431" s="14">
        <v>0.91537094093159299</v>
      </c>
      <c r="AF431">
        <v>30.646999999999998</v>
      </c>
      <c r="AG431" s="14">
        <v>0.91230315839609433</v>
      </c>
      <c r="AH431">
        <v>54</v>
      </c>
      <c r="AJ431">
        <v>429</v>
      </c>
      <c r="AK431">
        <v>110.073407</v>
      </c>
      <c r="AL431" s="14">
        <v>0.89439249756058692</v>
      </c>
      <c r="AM431">
        <v>30.395</v>
      </c>
      <c r="AN431" s="14">
        <v>0.88910665184578486</v>
      </c>
      <c r="AO431">
        <v>54</v>
      </c>
      <c r="AQ431">
        <v>429</v>
      </c>
      <c r="AR431">
        <v>109.08940200000001</v>
      </c>
      <c r="AS431" s="14">
        <v>0.89535115439622048</v>
      </c>
      <c r="AT431">
        <v>30.143999999999998</v>
      </c>
      <c r="AU431" s="14">
        <v>0.89017511738475619</v>
      </c>
      <c r="AV431">
        <v>54</v>
      </c>
      <c r="AX431">
        <v>429</v>
      </c>
      <c r="AY431">
        <v>111.14901399999999</v>
      </c>
      <c r="AZ431" s="14">
        <v>0.8990996070531807</v>
      </c>
      <c r="BA431">
        <v>30.742000000000001</v>
      </c>
      <c r="BB431" s="14">
        <v>0.89564153362079024</v>
      </c>
      <c r="BC431">
        <v>54</v>
      </c>
    </row>
    <row r="432" spans="15:55" x14ac:dyDescent="0.35">
      <c r="O432">
        <v>430</v>
      </c>
      <c r="P432">
        <v>111.18235300000001</v>
      </c>
      <c r="Q432" s="14">
        <v>0.90628042548174803</v>
      </c>
      <c r="R432">
        <v>30.718</v>
      </c>
      <c r="S432" s="14">
        <v>0.90522779513172635</v>
      </c>
      <c r="T432">
        <v>54</v>
      </c>
      <c r="V432">
        <v>430</v>
      </c>
      <c r="W432">
        <v>111.784543</v>
      </c>
      <c r="X432" s="14">
        <v>0.91199577251905528</v>
      </c>
      <c r="Y432">
        <v>30.821000000000002</v>
      </c>
      <c r="Z432" s="14">
        <v>0.90976444890489405</v>
      </c>
      <c r="AA432">
        <v>54</v>
      </c>
      <c r="AC432">
        <v>430</v>
      </c>
      <c r="AD432">
        <v>111.077637</v>
      </c>
      <c r="AE432" s="14">
        <v>0.9148502854944609</v>
      </c>
      <c r="AF432">
        <v>30.631</v>
      </c>
      <c r="AG432" s="14">
        <v>0.91182686869288232</v>
      </c>
      <c r="AH432">
        <v>54</v>
      </c>
      <c r="AJ432">
        <v>430</v>
      </c>
      <c r="AK432">
        <v>109.996045</v>
      </c>
      <c r="AL432" s="14">
        <v>0.89376389893461461</v>
      </c>
      <c r="AM432">
        <v>30.370999999999999</v>
      </c>
      <c r="AN432" s="14">
        <v>0.88840461007429938</v>
      </c>
      <c r="AO432">
        <v>54</v>
      </c>
      <c r="AQ432">
        <v>430</v>
      </c>
      <c r="AR432">
        <v>109.022325</v>
      </c>
      <c r="AS432" s="14">
        <v>0.89480061998790594</v>
      </c>
      <c r="AT432">
        <v>30.125</v>
      </c>
      <c r="AU432" s="14">
        <v>0.88961403301538555</v>
      </c>
      <c r="AV432">
        <v>54</v>
      </c>
      <c r="AX432">
        <v>430</v>
      </c>
      <c r="AY432">
        <v>111.124776</v>
      </c>
      <c r="AZ432" s="14">
        <v>0.89890354254939875</v>
      </c>
      <c r="BA432">
        <v>30.733000000000001</v>
      </c>
      <c r="BB432" s="14">
        <v>0.89537932641883233</v>
      </c>
      <c r="BC432">
        <v>54</v>
      </c>
    </row>
    <row r="433" spans="15:55" x14ac:dyDescent="0.35">
      <c r="O433">
        <v>431</v>
      </c>
      <c r="P433">
        <v>111.173877</v>
      </c>
      <c r="Q433" s="14">
        <v>0.90621133508494389</v>
      </c>
      <c r="R433">
        <v>30.715</v>
      </c>
      <c r="S433" s="14">
        <v>0.90513938822419993</v>
      </c>
      <c r="T433">
        <v>54</v>
      </c>
      <c r="V433">
        <v>431</v>
      </c>
      <c r="W433">
        <v>111.758292</v>
      </c>
      <c r="X433" s="14">
        <v>0.91178160336487801</v>
      </c>
      <c r="Y433">
        <v>30.812999999999999</v>
      </c>
      <c r="Z433" s="14">
        <v>0.9095283074561662</v>
      </c>
      <c r="AA433">
        <v>54</v>
      </c>
      <c r="AC433">
        <v>431</v>
      </c>
      <c r="AD433">
        <v>111.058521</v>
      </c>
      <c r="AE433" s="14">
        <v>0.91469284355988401</v>
      </c>
      <c r="AF433">
        <v>30.625</v>
      </c>
      <c r="AG433" s="14">
        <v>0.91164826005417787</v>
      </c>
      <c r="AH433">
        <v>54</v>
      </c>
      <c r="AJ433">
        <v>431</v>
      </c>
      <c r="AK433">
        <v>109.9123</v>
      </c>
      <c r="AL433" s="14">
        <v>0.89308343576235893</v>
      </c>
      <c r="AM433">
        <v>30.347999999999999</v>
      </c>
      <c r="AN433" s="14">
        <v>0.88773182004329254</v>
      </c>
      <c r="AO433">
        <v>54</v>
      </c>
      <c r="AQ433">
        <v>431</v>
      </c>
      <c r="AR433">
        <v>108.951795</v>
      </c>
      <c r="AS433" s="14">
        <v>0.89422174508565333</v>
      </c>
      <c r="AT433">
        <v>30.106999999999999</v>
      </c>
      <c r="AU433" s="14">
        <v>0.88908247940229745</v>
      </c>
      <c r="AV433">
        <v>54</v>
      </c>
      <c r="AX433">
        <v>431</v>
      </c>
      <c r="AY433">
        <v>111.05869800000001</v>
      </c>
      <c r="AZ433" s="14">
        <v>0.89836902855150713</v>
      </c>
      <c r="BA433">
        <v>30.719000000000001</v>
      </c>
      <c r="BB433" s="14">
        <v>0.89497144854912025</v>
      </c>
      <c r="BC433">
        <v>54</v>
      </c>
    </row>
    <row r="434" spans="15:55" x14ac:dyDescent="0.35">
      <c r="O434">
        <v>432</v>
      </c>
      <c r="P434">
        <v>111.169231</v>
      </c>
      <c r="Q434" s="14">
        <v>0.90617346415720057</v>
      </c>
      <c r="R434">
        <v>30.712</v>
      </c>
      <c r="S434" s="14">
        <v>0.90505098131667361</v>
      </c>
      <c r="T434">
        <v>54</v>
      </c>
      <c r="V434">
        <v>432</v>
      </c>
      <c r="W434">
        <v>111.69658200000001</v>
      </c>
      <c r="X434" s="14">
        <v>0.91127814145850206</v>
      </c>
      <c r="Y434">
        <v>30.798999999999999</v>
      </c>
      <c r="Z434" s="14">
        <v>0.90911505992089259</v>
      </c>
      <c r="AA434">
        <v>54</v>
      </c>
      <c r="AC434">
        <v>432</v>
      </c>
      <c r="AD434">
        <v>111.084919</v>
      </c>
      <c r="AE434" s="14">
        <v>0.91491026102111872</v>
      </c>
      <c r="AF434">
        <v>30.626000000000001</v>
      </c>
      <c r="AG434" s="14">
        <v>0.9116780281606286</v>
      </c>
      <c r="AH434">
        <v>54</v>
      </c>
      <c r="AJ434">
        <v>432</v>
      </c>
      <c r="AK434">
        <v>109.859554</v>
      </c>
      <c r="AL434" s="14">
        <v>0.89265485243817488</v>
      </c>
      <c r="AM434">
        <v>30.331</v>
      </c>
      <c r="AN434" s="14">
        <v>0.88723454045515704</v>
      </c>
      <c r="AO434">
        <v>54</v>
      </c>
      <c r="AQ434">
        <v>432</v>
      </c>
      <c r="AR434">
        <v>108.920969</v>
      </c>
      <c r="AS434" s="14">
        <v>0.89396874072244825</v>
      </c>
      <c r="AT434">
        <v>30.097999999999999</v>
      </c>
      <c r="AU434" s="14">
        <v>0.88881670259575341</v>
      </c>
      <c r="AV434">
        <v>54</v>
      </c>
      <c r="AX434">
        <v>432</v>
      </c>
      <c r="AY434">
        <v>111.000129</v>
      </c>
      <c r="AZ434" s="14">
        <v>0.89789525588371277</v>
      </c>
      <c r="BA434">
        <v>30.706</v>
      </c>
      <c r="BB434" s="14">
        <v>0.89459270481295894</v>
      </c>
      <c r="BC434">
        <v>54</v>
      </c>
    </row>
    <row r="435" spans="15:55" x14ac:dyDescent="0.35">
      <c r="O435">
        <v>433</v>
      </c>
      <c r="P435">
        <v>111.13511099999999</v>
      </c>
      <c r="Q435" s="14">
        <v>0.90589534188974474</v>
      </c>
      <c r="R435">
        <v>30.702999999999999</v>
      </c>
      <c r="S435" s="14">
        <v>0.90478576059409443</v>
      </c>
      <c r="T435">
        <v>54</v>
      </c>
      <c r="V435">
        <v>433</v>
      </c>
      <c r="W435">
        <v>111.63801100000001</v>
      </c>
      <c r="X435" s="14">
        <v>0.9108002891279503</v>
      </c>
      <c r="Y435">
        <v>30.783999999999999</v>
      </c>
      <c r="Z435" s="14">
        <v>0.90867229470452793</v>
      </c>
      <c r="AA435">
        <v>54</v>
      </c>
      <c r="AC435">
        <v>433</v>
      </c>
      <c r="AD435">
        <v>111.04721000000001</v>
      </c>
      <c r="AE435" s="14">
        <v>0.91459968464996577</v>
      </c>
      <c r="AF435">
        <v>30.616</v>
      </c>
      <c r="AG435" s="14">
        <v>0.91138034709612115</v>
      </c>
      <c r="AH435">
        <v>54</v>
      </c>
      <c r="AJ435">
        <v>433</v>
      </c>
      <c r="AK435">
        <v>109.846836</v>
      </c>
      <c r="AL435" s="14">
        <v>0.89255151336569594</v>
      </c>
      <c r="AM435">
        <v>30.324999999999999</v>
      </c>
      <c r="AN435" s="14">
        <v>0.8870590300122857</v>
      </c>
      <c r="AO435">
        <v>54</v>
      </c>
      <c r="AQ435">
        <v>433</v>
      </c>
      <c r="AR435">
        <v>108.929936</v>
      </c>
      <c r="AS435" s="14">
        <v>0.89404233736569938</v>
      </c>
      <c r="AT435">
        <v>30.094999999999999</v>
      </c>
      <c r="AU435" s="14">
        <v>0.88872811032690546</v>
      </c>
      <c r="AV435">
        <v>54</v>
      </c>
      <c r="AX435">
        <v>433</v>
      </c>
      <c r="AY435">
        <v>110.960151</v>
      </c>
      <c r="AZ435" s="14">
        <v>0.89757186836278724</v>
      </c>
      <c r="BA435">
        <v>30.693999999999999</v>
      </c>
      <c r="BB435" s="14">
        <v>0.8942430952103485</v>
      </c>
      <c r="BC435">
        <v>54</v>
      </c>
    </row>
    <row r="436" spans="15:55" x14ac:dyDescent="0.35">
      <c r="O436">
        <v>434</v>
      </c>
      <c r="P436">
        <v>111.061435</v>
      </c>
      <c r="Q436" s="14">
        <v>0.90529478690213994</v>
      </c>
      <c r="R436">
        <v>30.687000000000001</v>
      </c>
      <c r="S436" s="14">
        <v>0.90431425708728719</v>
      </c>
      <c r="T436">
        <v>54</v>
      </c>
      <c r="V436">
        <v>434</v>
      </c>
      <c r="W436">
        <v>111.60240400000001</v>
      </c>
      <c r="X436" s="14">
        <v>0.9105097889156617</v>
      </c>
      <c r="Y436">
        <v>30.774999999999999</v>
      </c>
      <c r="Z436" s="14">
        <v>0.90840663557470924</v>
      </c>
      <c r="AA436">
        <v>54</v>
      </c>
      <c r="AC436">
        <v>434</v>
      </c>
      <c r="AD436">
        <v>110.980557</v>
      </c>
      <c r="AE436" s="14">
        <v>0.91405072162080925</v>
      </c>
      <c r="AF436">
        <v>30.6</v>
      </c>
      <c r="AG436" s="14">
        <v>0.91090405739290914</v>
      </c>
      <c r="AH436">
        <v>54</v>
      </c>
      <c r="AJ436">
        <v>434</v>
      </c>
      <c r="AK436">
        <v>109.859514</v>
      </c>
      <c r="AL436" s="14">
        <v>0.89265452742143492</v>
      </c>
      <c r="AM436">
        <v>30.321999999999999</v>
      </c>
      <c r="AN436" s="14">
        <v>0.88697127479085003</v>
      </c>
      <c r="AO436">
        <v>54</v>
      </c>
      <c r="AQ436">
        <v>434</v>
      </c>
      <c r="AR436">
        <v>108.890019</v>
      </c>
      <c r="AS436" s="14">
        <v>0.89371471862937124</v>
      </c>
      <c r="AT436">
        <v>30.085000000000001</v>
      </c>
      <c r="AU436" s="14">
        <v>0.88843280276407888</v>
      </c>
      <c r="AV436">
        <v>54</v>
      </c>
      <c r="AX436">
        <v>434</v>
      </c>
      <c r="AY436">
        <v>110.964566</v>
      </c>
      <c r="AZ436" s="14">
        <v>0.8976075819028565</v>
      </c>
      <c r="BA436">
        <v>30.693000000000001</v>
      </c>
      <c r="BB436" s="14">
        <v>0.89421396107679763</v>
      </c>
      <c r="BC436">
        <v>54</v>
      </c>
    </row>
    <row r="437" spans="15:55" x14ac:dyDescent="0.35">
      <c r="O437">
        <v>435</v>
      </c>
      <c r="P437">
        <v>111.005657</v>
      </c>
      <c r="Q437" s="14">
        <v>0.90484012383548829</v>
      </c>
      <c r="R437">
        <v>30.672999999999998</v>
      </c>
      <c r="S437" s="14">
        <v>0.90390169151883071</v>
      </c>
      <c r="T437">
        <v>54</v>
      </c>
      <c r="V437">
        <v>435</v>
      </c>
      <c r="W437">
        <v>111.61221500000001</v>
      </c>
      <c r="X437" s="14">
        <v>0.91058983209769795</v>
      </c>
      <c r="Y437">
        <v>30.774999999999999</v>
      </c>
      <c r="Z437" s="14">
        <v>0.90840663557470924</v>
      </c>
      <c r="AA437">
        <v>54</v>
      </c>
      <c r="AC437">
        <v>435</v>
      </c>
      <c r="AD437">
        <v>110.921091</v>
      </c>
      <c r="AE437" s="14">
        <v>0.91356095168559526</v>
      </c>
      <c r="AF437">
        <v>30.587</v>
      </c>
      <c r="AG437" s="14">
        <v>0.91051707200904941</v>
      </c>
      <c r="AH437">
        <v>54</v>
      </c>
      <c r="AJ437">
        <v>435</v>
      </c>
      <c r="AK437">
        <v>109.821804</v>
      </c>
      <c r="AL437" s="14">
        <v>0.89234811788981194</v>
      </c>
      <c r="AM437">
        <v>30.31</v>
      </c>
      <c r="AN437" s="14">
        <v>0.88662025390510735</v>
      </c>
      <c r="AO437">
        <v>54</v>
      </c>
      <c r="AQ437">
        <v>435</v>
      </c>
      <c r="AR437">
        <v>108.81863199999999</v>
      </c>
      <c r="AS437" s="14">
        <v>0.89312880990050236</v>
      </c>
      <c r="AT437">
        <v>30.067</v>
      </c>
      <c r="AU437" s="14">
        <v>0.88790124915099078</v>
      </c>
      <c r="AV437">
        <v>54</v>
      </c>
      <c r="AX437">
        <v>435</v>
      </c>
      <c r="AY437">
        <v>110.93848199999999</v>
      </c>
      <c r="AZ437" s="14">
        <v>0.89739658485208296</v>
      </c>
      <c r="BA437">
        <v>30.684000000000001</v>
      </c>
      <c r="BB437" s="14">
        <v>0.89395175387483983</v>
      </c>
      <c r="BC437">
        <v>54</v>
      </c>
    </row>
    <row r="438" spans="15:55" x14ac:dyDescent="0.35">
      <c r="O438">
        <v>436</v>
      </c>
      <c r="P438">
        <v>111.014634</v>
      </c>
      <c r="Q438" s="14">
        <v>0.90491329803229237</v>
      </c>
      <c r="R438">
        <v>30.673999999999999</v>
      </c>
      <c r="S438" s="14">
        <v>0.90393116048800615</v>
      </c>
      <c r="T438">
        <v>54</v>
      </c>
      <c r="V438">
        <v>436</v>
      </c>
      <c r="W438">
        <v>111.59061</v>
      </c>
      <c r="X438" s="14">
        <v>0.91041356740012447</v>
      </c>
      <c r="Y438">
        <v>30.768000000000001</v>
      </c>
      <c r="Z438" s="14">
        <v>0.90820001180707244</v>
      </c>
      <c r="AA438">
        <v>54</v>
      </c>
      <c r="AC438">
        <v>436</v>
      </c>
      <c r="AD438">
        <v>110.89187200000001</v>
      </c>
      <c r="AE438" s="14">
        <v>0.91332030009078446</v>
      </c>
      <c r="AF438">
        <v>30.579000000000001</v>
      </c>
      <c r="AG438" s="14">
        <v>0.91027892715744341</v>
      </c>
      <c r="AH438">
        <v>54</v>
      </c>
      <c r="AJ438">
        <v>436</v>
      </c>
      <c r="AK438">
        <v>109.743959</v>
      </c>
      <c r="AL438" s="14">
        <v>0.89171559468670436</v>
      </c>
      <c r="AM438">
        <v>30.292000000000002</v>
      </c>
      <c r="AN438" s="14">
        <v>0.88609372257649333</v>
      </c>
      <c r="AO438">
        <v>54</v>
      </c>
      <c r="AQ438">
        <v>436</v>
      </c>
      <c r="AR438">
        <v>108.75255199999999</v>
      </c>
      <c r="AS438" s="14">
        <v>0.89258645836865969</v>
      </c>
      <c r="AT438">
        <v>30.053000000000001</v>
      </c>
      <c r="AU438" s="14">
        <v>0.88748781856303338</v>
      </c>
      <c r="AV438">
        <v>54</v>
      </c>
      <c r="AX438">
        <v>436</v>
      </c>
      <c r="AY438">
        <v>110.875603</v>
      </c>
      <c r="AZ438" s="14">
        <v>0.89688794800360949</v>
      </c>
      <c r="BA438">
        <v>30.670999999999999</v>
      </c>
      <c r="BB438" s="14">
        <v>0.89357301013867851</v>
      </c>
      <c r="BC438">
        <v>54</v>
      </c>
    </row>
    <row r="439" spans="15:55" x14ac:dyDescent="0.35">
      <c r="O439">
        <v>437</v>
      </c>
      <c r="P439">
        <v>111.0283</v>
      </c>
      <c r="Q439" s="14">
        <v>0.90502469366262794</v>
      </c>
      <c r="R439">
        <v>30.673999999999999</v>
      </c>
      <c r="S439" s="14">
        <v>0.90393116048800615</v>
      </c>
      <c r="T439">
        <v>54</v>
      </c>
      <c r="V439">
        <v>437</v>
      </c>
      <c r="W439">
        <v>111.531946</v>
      </c>
      <c r="X439" s="14">
        <v>0.90993495632775956</v>
      </c>
      <c r="Y439">
        <v>30.754000000000001</v>
      </c>
      <c r="Z439" s="14">
        <v>0.90778676427179883</v>
      </c>
      <c r="AA439">
        <v>54</v>
      </c>
      <c r="AC439">
        <v>437</v>
      </c>
      <c r="AD439">
        <v>110.90723800000001</v>
      </c>
      <c r="AE439" s="14">
        <v>0.91344685652344348</v>
      </c>
      <c r="AF439">
        <v>30.577999999999999</v>
      </c>
      <c r="AG439" s="14">
        <v>0.91024915905099268</v>
      </c>
      <c r="AH439">
        <v>54</v>
      </c>
      <c r="AJ439">
        <v>437</v>
      </c>
      <c r="AK439">
        <v>109.678245</v>
      </c>
      <c r="AL439" s="14">
        <v>0.89118164093541641</v>
      </c>
      <c r="AM439">
        <v>30.277000000000001</v>
      </c>
      <c r="AN439" s="14">
        <v>0.88565494646931497</v>
      </c>
      <c r="AO439">
        <v>54</v>
      </c>
      <c r="AQ439">
        <v>437</v>
      </c>
      <c r="AR439">
        <v>108.698257</v>
      </c>
      <c r="AS439" s="14">
        <v>0.89214083221216156</v>
      </c>
      <c r="AT439">
        <v>30.039000000000001</v>
      </c>
      <c r="AU439" s="14">
        <v>0.8870743879750761</v>
      </c>
      <c r="AV439">
        <v>54</v>
      </c>
      <c r="AX439">
        <v>437</v>
      </c>
      <c r="AY439">
        <v>110.804203</v>
      </c>
      <c r="AZ439" s="14">
        <v>0.89631038361834559</v>
      </c>
      <c r="BA439">
        <v>30.654</v>
      </c>
      <c r="BB439" s="14">
        <v>0.8930777298683138</v>
      </c>
      <c r="BC439">
        <v>54</v>
      </c>
    </row>
    <row r="440" spans="15:55" x14ac:dyDescent="0.35">
      <c r="O440">
        <v>438</v>
      </c>
      <c r="P440">
        <v>111.010875</v>
      </c>
      <c r="Q440" s="14">
        <v>0.90488265730534723</v>
      </c>
      <c r="R440">
        <v>30.667999999999999</v>
      </c>
      <c r="S440" s="14">
        <v>0.9037543466729534</v>
      </c>
      <c r="T440">
        <v>54</v>
      </c>
      <c r="V440">
        <v>438</v>
      </c>
      <c r="W440">
        <v>111.474192</v>
      </c>
      <c r="X440" s="14">
        <v>0.90946376950324426</v>
      </c>
      <c r="Y440">
        <v>30.741</v>
      </c>
      <c r="Z440" s="14">
        <v>0.90740303441761616</v>
      </c>
      <c r="AA440">
        <v>54</v>
      </c>
      <c r="AC440">
        <v>438</v>
      </c>
      <c r="AD440">
        <v>110.878557</v>
      </c>
      <c r="AE440" s="14">
        <v>0.91321063596864116</v>
      </c>
      <c r="AF440">
        <v>30.57</v>
      </c>
      <c r="AG440" s="14">
        <v>0.91001101419938668</v>
      </c>
      <c r="AH440">
        <v>54</v>
      </c>
      <c r="AJ440">
        <v>438</v>
      </c>
      <c r="AK440">
        <v>109.623829</v>
      </c>
      <c r="AL440" s="14">
        <v>0.89073948816233783</v>
      </c>
      <c r="AM440">
        <v>30.263000000000002</v>
      </c>
      <c r="AN440" s="14">
        <v>0.88524542210261514</v>
      </c>
      <c r="AO440">
        <v>54</v>
      </c>
      <c r="AQ440">
        <v>438</v>
      </c>
      <c r="AR440">
        <v>108.69426900000001</v>
      </c>
      <c r="AS440" s="14">
        <v>0.892108100706275</v>
      </c>
      <c r="AT440">
        <v>30.035</v>
      </c>
      <c r="AU440" s="14">
        <v>0.88695626494994539</v>
      </c>
      <c r="AV440">
        <v>54</v>
      </c>
      <c r="AX440">
        <v>438</v>
      </c>
      <c r="AY440">
        <v>110.776051</v>
      </c>
      <c r="AZ440" s="14">
        <v>0.89608265823215583</v>
      </c>
      <c r="BA440">
        <v>30.645</v>
      </c>
      <c r="BB440" s="14">
        <v>0.89281552266635589</v>
      </c>
      <c r="BC440">
        <v>54</v>
      </c>
    </row>
    <row r="441" spans="15:55" x14ac:dyDescent="0.35">
      <c r="O441">
        <v>439</v>
      </c>
      <c r="P441">
        <v>110.951145</v>
      </c>
      <c r="Q441" s="14">
        <v>0.90439578031135137</v>
      </c>
      <c r="R441">
        <v>30.655000000000001</v>
      </c>
      <c r="S441" s="14">
        <v>0.90337125007367247</v>
      </c>
      <c r="T441">
        <v>54</v>
      </c>
      <c r="V441">
        <v>439</v>
      </c>
      <c r="W441">
        <v>111.44053099999999</v>
      </c>
      <c r="X441" s="14">
        <v>0.90918914575943399</v>
      </c>
      <c r="Y441">
        <v>30.733000000000001</v>
      </c>
      <c r="Z441" s="14">
        <v>0.90716689296888842</v>
      </c>
      <c r="AA441">
        <v>54</v>
      </c>
      <c r="AC441">
        <v>439</v>
      </c>
      <c r="AD441">
        <v>110.82023</v>
      </c>
      <c r="AE441" s="14">
        <v>0.91273024698987626</v>
      </c>
      <c r="AF441">
        <v>30.556999999999999</v>
      </c>
      <c r="AG441" s="14">
        <v>0.90962402881552695</v>
      </c>
      <c r="AH441">
        <v>54</v>
      </c>
      <c r="AJ441">
        <v>439</v>
      </c>
      <c r="AK441">
        <v>109.61827599999999</v>
      </c>
      <c r="AL441" s="14">
        <v>0.89069436771340904</v>
      </c>
      <c r="AM441">
        <v>30.254000000000001</v>
      </c>
      <c r="AN441" s="14">
        <v>0.88498215643830813</v>
      </c>
      <c r="AO441">
        <v>54</v>
      </c>
      <c r="AQ441">
        <v>439</v>
      </c>
      <c r="AR441">
        <v>108.67903800000001</v>
      </c>
      <c r="AS441" s="14">
        <v>0.8919830922894848</v>
      </c>
      <c r="AT441">
        <v>30.029</v>
      </c>
      <c r="AU441" s="14">
        <v>0.8867790804122494</v>
      </c>
      <c r="AV441">
        <v>54</v>
      </c>
      <c r="AX441">
        <v>439</v>
      </c>
      <c r="AY441">
        <v>110.77444</v>
      </c>
      <c r="AZ441" s="14">
        <v>0.89606962663237066</v>
      </c>
      <c r="BA441">
        <v>30.643000000000001</v>
      </c>
      <c r="BB441" s="14">
        <v>0.89275725439925424</v>
      </c>
      <c r="BC441">
        <v>54</v>
      </c>
    </row>
    <row r="442" spans="15:55" x14ac:dyDescent="0.35">
      <c r="O442">
        <v>440</v>
      </c>
      <c r="P442">
        <v>110.950389</v>
      </c>
      <c r="Q442" s="14">
        <v>0.90438961793051331</v>
      </c>
      <c r="R442">
        <v>30.652999999999999</v>
      </c>
      <c r="S442" s="14">
        <v>0.90331231213532148</v>
      </c>
      <c r="T442">
        <v>54</v>
      </c>
      <c r="V442">
        <v>440</v>
      </c>
      <c r="W442">
        <v>111.446133</v>
      </c>
      <c r="X442" s="14">
        <v>0.90923484975553714</v>
      </c>
      <c r="Y442">
        <v>30.731000000000002</v>
      </c>
      <c r="Z442" s="14">
        <v>0.90710785760670642</v>
      </c>
      <c r="AA442">
        <v>54</v>
      </c>
      <c r="AC442">
        <v>440</v>
      </c>
      <c r="AD442">
        <v>110.751705</v>
      </c>
      <c r="AE442" s="14">
        <v>0.91216586591816251</v>
      </c>
      <c r="AF442">
        <v>30.541</v>
      </c>
      <c r="AG442" s="14">
        <v>0.90914773911231495</v>
      </c>
      <c r="AH442">
        <v>54</v>
      </c>
      <c r="AJ442">
        <v>440</v>
      </c>
      <c r="AK442">
        <v>109.600711</v>
      </c>
      <c r="AL442" s="14">
        <v>0.89055164473746229</v>
      </c>
      <c r="AM442">
        <v>30.247</v>
      </c>
      <c r="AN442" s="14">
        <v>0.88477739425495816</v>
      </c>
      <c r="AO442">
        <v>54</v>
      </c>
      <c r="AQ442">
        <v>440</v>
      </c>
      <c r="AR442">
        <v>108.62865600000001</v>
      </c>
      <c r="AS442" s="14">
        <v>0.89156958207645065</v>
      </c>
      <c r="AT442">
        <v>30.015999999999998</v>
      </c>
      <c r="AU442" s="14">
        <v>0.88639518058057465</v>
      </c>
      <c r="AV442">
        <v>54</v>
      </c>
      <c r="AX442">
        <v>440</v>
      </c>
      <c r="AY442">
        <v>110.749475</v>
      </c>
      <c r="AZ442" s="14">
        <v>0.89586768132595462</v>
      </c>
      <c r="BA442">
        <v>30.635000000000002</v>
      </c>
      <c r="BB442" s="14">
        <v>0.89252418133084732</v>
      </c>
      <c r="BC442">
        <v>54</v>
      </c>
    </row>
    <row r="443" spans="15:55" x14ac:dyDescent="0.35">
      <c r="O443">
        <v>441</v>
      </c>
      <c r="P443">
        <v>110.669603</v>
      </c>
      <c r="Q443" s="14">
        <v>0.90210084773737542</v>
      </c>
      <c r="R443">
        <v>30.594000000000001</v>
      </c>
      <c r="S443" s="14">
        <v>0.90157364295396958</v>
      </c>
      <c r="T443">
        <v>54</v>
      </c>
      <c r="V443">
        <v>441</v>
      </c>
      <c r="W443">
        <v>111.425144</v>
      </c>
      <c r="X443" s="14">
        <v>0.90906361070266195</v>
      </c>
      <c r="Y443">
        <v>30.724</v>
      </c>
      <c r="Z443" s="14">
        <v>0.90690123383906962</v>
      </c>
      <c r="AA443">
        <v>54</v>
      </c>
      <c r="AC443">
        <v>441</v>
      </c>
      <c r="AD443">
        <v>110.726348</v>
      </c>
      <c r="AE443" s="14">
        <v>0.91195702227226028</v>
      </c>
      <c r="AF443">
        <v>30.533999999999999</v>
      </c>
      <c r="AG443" s="14">
        <v>0.90893936236715966</v>
      </c>
      <c r="AH443">
        <v>54</v>
      </c>
      <c r="AJ443">
        <v>441</v>
      </c>
      <c r="AK443">
        <v>109.54627000000001</v>
      </c>
      <c r="AL443" s="14">
        <v>0.89010928882892126</v>
      </c>
      <c r="AM443">
        <v>30.234000000000002</v>
      </c>
      <c r="AN443" s="14">
        <v>0.88439712162873696</v>
      </c>
      <c r="AO443">
        <v>54</v>
      </c>
      <c r="AQ443">
        <v>441</v>
      </c>
      <c r="AR443">
        <v>108.56647</v>
      </c>
      <c r="AS443" s="14">
        <v>0.89105919054559146</v>
      </c>
      <c r="AT443">
        <v>30.001999999999999</v>
      </c>
      <c r="AU443" s="14">
        <v>0.88598174999261725</v>
      </c>
      <c r="AV443">
        <v>54</v>
      </c>
      <c r="AX443">
        <v>441</v>
      </c>
      <c r="AY443">
        <v>110.683601</v>
      </c>
      <c r="AZ443" s="14">
        <v>0.89533481751202071</v>
      </c>
      <c r="BA443">
        <v>30.62</v>
      </c>
      <c r="BB443" s="14">
        <v>0.89208716932758425</v>
      </c>
      <c r="BC443">
        <v>54</v>
      </c>
    </row>
    <row r="444" spans="15:55" x14ac:dyDescent="0.35">
      <c r="O444">
        <v>442</v>
      </c>
      <c r="P444">
        <v>110.500441</v>
      </c>
      <c r="Q444" s="14">
        <v>0.90072195796576449</v>
      </c>
      <c r="R444">
        <v>30.559000000000001</v>
      </c>
      <c r="S444" s="14">
        <v>0.90054222903282855</v>
      </c>
      <c r="T444">
        <v>54</v>
      </c>
      <c r="V444">
        <v>442</v>
      </c>
      <c r="W444">
        <v>111.36026699999999</v>
      </c>
      <c r="X444" s="14">
        <v>0.90853431078206626</v>
      </c>
      <c r="Y444">
        <v>30.710999999999999</v>
      </c>
      <c r="Z444" s="14">
        <v>0.90651750398488695</v>
      </c>
      <c r="AA444">
        <v>54</v>
      </c>
      <c r="AC444">
        <v>442</v>
      </c>
      <c r="AD444">
        <v>110.73309999999999</v>
      </c>
      <c r="AE444" s="14">
        <v>0.91201263264798016</v>
      </c>
      <c r="AF444">
        <v>30.533000000000001</v>
      </c>
      <c r="AG444" s="14">
        <v>0.90890959426070905</v>
      </c>
      <c r="AH444">
        <v>54</v>
      </c>
      <c r="AJ444">
        <v>442</v>
      </c>
      <c r="AK444">
        <v>109.48349399999999</v>
      </c>
      <c r="AL444" s="14">
        <v>0.88959920755718525</v>
      </c>
      <c r="AM444">
        <v>30.219000000000001</v>
      </c>
      <c r="AN444" s="14">
        <v>0.88395834552155861</v>
      </c>
      <c r="AO444">
        <v>54</v>
      </c>
      <c r="AQ444">
        <v>442</v>
      </c>
      <c r="AR444">
        <v>108.519587</v>
      </c>
      <c r="AS444" s="14">
        <v>0.89067439837144835</v>
      </c>
      <c r="AT444">
        <v>29.99</v>
      </c>
      <c r="AU444" s="14">
        <v>0.88562738091722526</v>
      </c>
      <c r="AV444">
        <v>54</v>
      </c>
      <c r="AX444">
        <v>442</v>
      </c>
      <c r="AY444">
        <v>110.62626299999999</v>
      </c>
      <c r="AZ444" s="14">
        <v>0.89487100257193297</v>
      </c>
      <c r="BA444">
        <v>30.608000000000001</v>
      </c>
      <c r="BB444" s="14">
        <v>0.89173755972497382</v>
      </c>
      <c r="BC444">
        <v>54</v>
      </c>
    </row>
    <row r="445" spans="15:55" x14ac:dyDescent="0.35">
      <c r="O445">
        <v>443</v>
      </c>
      <c r="P445">
        <v>110.381907</v>
      </c>
      <c r="Q445" s="14">
        <v>0.8997557520791698</v>
      </c>
      <c r="R445">
        <v>30.532</v>
      </c>
      <c r="S445" s="14">
        <v>0.89974656686509114</v>
      </c>
      <c r="T445">
        <v>54</v>
      </c>
      <c r="V445">
        <v>443</v>
      </c>
      <c r="W445">
        <v>111.300072</v>
      </c>
      <c r="X445" s="14">
        <v>0.90804320902458291</v>
      </c>
      <c r="Y445">
        <v>30.696999999999999</v>
      </c>
      <c r="Z445" s="14">
        <v>0.90610425644961334</v>
      </c>
      <c r="AA445">
        <v>54</v>
      </c>
      <c r="AC445">
        <v>443</v>
      </c>
      <c r="AD445">
        <v>110.703993</v>
      </c>
      <c r="AE445" s="14">
        <v>0.91177290350016005</v>
      </c>
      <c r="AF445">
        <v>30.524000000000001</v>
      </c>
      <c r="AG445" s="14">
        <v>0.90864168130265222</v>
      </c>
      <c r="AH445">
        <v>54</v>
      </c>
      <c r="AJ445">
        <v>443</v>
      </c>
      <c r="AK445">
        <v>109.439305</v>
      </c>
      <c r="AL445" s="14">
        <v>0.8892401534391029</v>
      </c>
      <c r="AM445">
        <v>30.209</v>
      </c>
      <c r="AN445" s="14">
        <v>0.88366582811677297</v>
      </c>
      <c r="AO445">
        <v>54</v>
      </c>
      <c r="AQ445">
        <v>443</v>
      </c>
      <c r="AR445">
        <v>108.517498</v>
      </c>
      <c r="AS445" s="14">
        <v>0.89065725290610298</v>
      </c>
      <c r="AT445">
        <v>29.986999999999998</v>
      </c>
      <c r="AU445" s="14">
        <v>0.88553878864837721</v>
      </c>
      <c r="AV445">
        <v>54</v>
      </c>
      <c r="AX445">
        <v>443</v>
      </c>
      <c r="AY445">
        <v>110.592855</v>
      </c>
      <c r="AZ445" s="14">
        <v>0.89460076068141636</v>
      </c>
      <c r="BA445">
        <v>30.597000000000001</v>
      </c>
      <c r="BB445" s="14">
        <v>0.89141708425591437</v>
      </c>
      <c r="BC445">
        <v>54</v>
      </c>
    </row>
    <row r="446" spans="15:55" x14ac:dyDescent="0.35">
      <c r="O446">
        <v>444</v>
      </c>
      <c r="P446">
        <v>110.269474</v>
      </c>
      <c r="Q446" s="14">
        <v>0.89883927725804247</v>
      </c>
      <c r="R446">
        <v>30.509</v>
      </c>
      <c r="S446" s="14">
        <v>0.89906878057405559</v>
      </c>
      <c r="T446">
        <v>54</v>
      </c>
      <c r="V446">
        <v>444</v>
      </c>
      <c r="W446">
        <v>111.27758799999999</v>
      </c>
      <c r="X446" s="14">
        <v>0.9078597729930975</v>
      </c>
      <c r="Y446">
        <v>30.69</v>
      </c>
      <c r="Z446" s="14">
        <v>0.90589763268197654</v>
      </c>
      <c r="AA446">
        <v>54</v>
      </c>
      <c r="AC446">
        <v>444</v>
      </c>
      <c r="AD446">
        <v>110.63459899999999</v>
      </c>
      <c r="AE446" s="14">
        <v>0.911201365228135</v>
      </c>
      <c r="AF446">
        <v>30.509</v>
      </c>
      <c r="AG446" s="14">
        <v>0.90819515970589104</v>
      </c>
      <c r="AH446">
        <v>54</v>
      </c>
      <c r="AJ446">
        <v>444</v>
      </c>
      <c r="AK446">
        <v>109.424211</v>
      </c>
      <c r="AL446" s="14">
        <v>0.88911750837226877</v>
      </c>
      <c r="AM446">
        <v>30.202000000000002</v>
      </c>
      <c r="AN446" s="14">
        <v>0.88346106593342311</v>
      </c>
      <c r="AO446">
        <v>54</v>
      </c>
      <c r="AQ446">
        <v>444</v>
      </c>
      <c r="AR446">
        <v>108.509012</v>
      </c>
      <c r="AS446" s="14">
        <v>0.89058760406985571</v>
      </c>
      <c r="AT446">
        <v>29.981999999999999</v>
      </c>
      <c r="AU446" s="14">
        <v>0.88539113486696397</v>
      </c>
      <c r="AV446">
        <v>54</v>
      </c>
      <c r="AX446">
        <v>444</v>
      </c>
      <c r="AY446">
        <v>110.610344</v>
      </c>
      <c r="AZ446" s="14">
        <v>0.8947422315992577</v>
      </c>
      <c r="BA446">
        <v>30.597999999999999</v>
      </c>
      <c r="BB446" s="14">
        <v>0.89144621838946514</v>
      </c>
      <c r="BC446">
        <v>54</v>
      </c>
    </row>
    <row r="447" spans="15:55" x14ac:dyDescent="0.35">
      <c r="O447">
        <v>445</v>
      </c>
      <c r="P447">
        <v>110.21562400000001</v>
      </c>
      <c r="Q447" s="14">
        <v>0.89840032989278762</v>
      </c>
      <c r="R447">
        <v>30.495999999999999</v>
      </c>
      <c r="S447" s="14">
        <v>0.89868568397477455</v>
      </c>
      <c r="T447">
        <v>54</v>
      </c>
      <c r="V447">
        <v>445</v>
      </c>
      <c r="W447">
        <v>111.301188</v>
      </c>
      <c r="X447" s="14">
        <v>0.90805231392634134</v>
      </c>
      <c r="Y447">
        <v>30.692</v>
      </c>
      <c r="Z447" s="14">
        <v>0.90595666804415842</v>
      </c>
      <c r="AA447">
        <v>54</v>
      </c>
      <c r="AC447">
        <v>445</v>
      </c>
      <c r="AD447">
        <v>110.576453</v>
      </c>
      <c r="AE447" s="14">
        <v>0.91072246698959614</v>
      </c>
      <c r="AF447">
        <v>30.495999999999999</v>
      </c>
      <c r="AG447" s="14">
        <v>0.9078081743220312</v>
      </c>
      <c r="AH447">
        <v>54</v>
      </c>
      <c r="AJ447">
        <v>445</v>
      </c>
      <c r="AK447">
        <v>109.44059</v>
      </c>
      <c r="AL447" s="14">
        <v>0.88925059460187494</v>
      </c>
      <c r="AM447">
        <v>30.207000000000001</v>
      </c>
      <c r="AN447" s="14">
        <v>0.88360732463581582</v>
      </c>
      <c r="AO447">
        <v>54</v>
      </c>
      <c r="AQ447">
        <v>445</v>
      </c>
      <c r="AR447">
        <v>108.448797</v>
      </c>
      <c r="AS447" s="14">
        <v>0.89009338951946371</v>
      </c>
      <c r="AT447">
        <v>29.968</v>
      </c>
      <c r="AU447" s="14">
        <v>0.88497770427900657</v>
      </c>
      <c r="AV447">
        <v>54</v>
      </c>
      <c r="AX447">
        <v>445</v>
      </c>
      <c r="AY447">
        <v>110.5899</v>
      </c>
      <c r="AZ447" s="14">
        <v>0.89457685728143799</v>
      </c>
      <c r="BA447">
        <v>30.591999999999999</v>
      </c>
      <c r="BB447" s="14">
        <v>0.89127141358815987</v>
      </c>
      <c r="BC447">
        <v>54</v>
      </c>
    </row>
    <row r="448" spans="15:55" x14ac:dyDescent="0.35">
      <c r="O448">
        <v>446</v>
      </c>
      <c r="P448">
        <v>110.242538</v>
      </c>
      <c r="Q448" s="14">
        <v>0.89861971391114348</v>
      </c>
      <c r="R448">
        <v>30.5</v>
      </c>
      <c r="S448" s="14">
        <v>0.89880355985147642</v>
      </c>
      <c r="T448">
        <v>54</v>
      </c>
      <c r="V448">
        <v>446</v>
      </c>
      <c r="W448">
        <v>111.289784</v>
      </c>
      <c r="X448" s="14">
        <v>0.90795927423131118</v>
      </c>
      <c r="Y448">
        <v>30.687999999999999</v>
      </c>
      <c r="Z448" s="14">
        <v>0.90583859731979455</v>
      </c>
      <c r="AA448">
        <v>54</v>
      </c>
      <c r="AC448">
        <v>446</v>
      </c>
      <c r="AD448">
        <v>110.546353</v>
      </c>
      <c r="AE448" s="14">
        <v>0.91047455936086807</v>
      </c>
      <c r="AF448">
        <v>30.489000000000001</v>
      </c>
      <c r="AG448" s="14">
        <v>0.90759979757687603</v>
      </c>
      <c r="AH448">
        <v>54</v>
      </c>
      <c r="AJ448">
        <v>446</v>
      </c>
      <c r="AK448">
        <v>109.37464300000001</v>
      </c>
      <c r="AL448" s="14">
        <v>0.88871474762807667</v>
      </c>
      <c r="AM448">
        <v>30.190999999999999</v>
      </c>
      <c r="AN448" s="14">
        <v>0.88313929678815883</v>
      </c>
      <c r="AO448">
        <v>54</v>
      </c>
      <c r="AQ448">
        <v>446</v>
      </c>
      <c r="AR448">
        <v>108.392005</v>
      </c>
      <c r="AS448" s="14">
        <v>0.88962726923804103</v>
      </c>
      <c r="AT448">
        <v>29.954999999999998</v>
      </c>
      <c r="AU448" s="14">
        <v>0.88459380444733182</v>
      </c>
      <c r="AV448">
        <v>54</v>
      </c>
      <c r="AX448">
        <v>446</v>
      </c>
      <c r="AY448">
        <v>110.546361</v>
      </c>
      <c r="AZ448" s="14">
        <v>0.8942246643434828</v>
      </c>
      <c r="BA448">
        <v>30.58</v>
      </c>
      <c r="BB448" s="14">
        <v>0.89092180398554943</v>
      </c>
      <c r="BC448">
        <v>54</v>
      </c>
    </row>
    <row r="449" spans="15:55" x14ac:dyDescent="0.35">
      <c r="O449">
        <v>447</v>
      </c>
      <c r="P449">
        <v>110.233161</v>
      </c>
      <c r="Q449" s="14">
        <v>0.89854327919537758</v>
      </c>
      <c r="R449">
        <v>30.495999999999999</v>
      </c>
      <c r="S449" s="14">
        <v>0.89868568397477455</v>
      </c>
      <c r="T449">
        <v>54</v>
      </c>
      <c r="V449">
        <v>447</v>
      </c>
      <c r="W449">
        <v>111.240694</v>
      </c>
      <c r="X449" s="14">
        <v>0.9075587727731359</v>
      </c>
      <c r="Y449">
        <v>30.675999999999998</v>
      </c>
      <c r="Z449" s="14">
        <v>0.90548438514670282</v>
      </c>
      <c r="AA449">
        <v>54</v>
      </c>
      <c r="AC449">
        <v>447</v>
      </c>
      <c r="AD449">
        <v>110.566311</v>
      </c>
      <c r="AE449" s="14">
        <v>0.91063893612014235</v>
      </c>
      <c r="AF449">
        <v>30.488</v>
      </c>
      <c r="AG449" s="14">
        <v>0.90757002947042531</v>
      </c>
      <c r="AH449">
        <v>54</v>
      </c>
      <c r="AJ449">
        <v>447</v>
      </c>
      <c r="AK449">
        <v>109.31259799999999</v>
      </c>
      <c r="AL449" s="14">
        <v>0.88821060603726387</v>
      </c>
      <c r="AM449">
        <v>30.177</v>
      </c>
      <c r="AN449" s="14">
        <v>0.88272977242145911</v>
      </c>
      <c r="AO449">
        <v>54</v>
      </c>
      <c r="AQ449">
        <v>447</v>
      </c>
      <c r="AR449">
        <v>108.325945</v>
      </c>
      <c r="AS449" s="14">
        <v>0.88908508185617774</v>
      </c>
      <c r="AT449">
        <v>29.940999999999999</v>
      </c>
      <c r="AU449" s="14">
        <v>0.88418037385937454</v>
      </c>
      <c r="AV449">
        <v>54</v>
      </c>
      <c r="AX449">
        <v>447</v>
      </c>
      <c r="AY449">
        <v>110.503978</v>
      </c>
      <c r="AZ449" s="14">
        <v>0.89388182244795555</v>
      </c>
      <c r="BA449">
        <v>30.571000000000002</v>
      </c>
      <c r="BB449" s="14">
        <v>0.89065959678359174</v>
      </c>
      <c r="BC449">
        <v>54</v>
      </c>
    </row>
    <row r="450" spans="15:55" x14ac:dyDescent="0.35">
      <c r="O450">
        <v>448</v>
      </c>
      <c r="P450">
        <v>110.21277499999999</v>
      </c>
      <c r="Q450" s="14">
        <v>0.89837710684648087</v>
      </c>
      <c r="R450">
        <v>30.49</v>
      </c>
      <c r="S450" s="14">
        <v>0.89850887015972181</v>
      </c>
      <c r="T450">
        <v>54</v>
      </c>
      <c r="V450">
        <v>448</v>
      </c>
      <c r="W450">
        <v>111.203692</v>
      </c>
      <c r="X450" s="14">
        <v>0.90725689143364918</v>
      </c>
      <c r="Y450">
        <v>30.667000000000002</v>
      </c>
      <c r="Z450" s="14">
        <v>0.90521872601688413</v>
      </c>
      <c r="AA450">
        <v>54</v>
      </c>
      <c r="AC450">
        <v>448</v>
      </c>
      <c r="AD450">
        <v>110.56357800000001</v>
      </c>
      <c r="AE450" s="14">
        <v>0.91061642676634458</v>
      </c>
      <c r="AF450">
        <v>30.486000000000001</v>
      </c>
      <c r="AG450" s="14">
        <v>0.90751049325752386</v>
      </c>
      <c r="AH450">
        <v>54</v>
      </c>
      <c r="AJ450">
        <v>448</v>
      </c>
      <c r="AK450">
        <v>109.24984600000001</v>
      </c>
      <c r="AL450" s="14">
        <v>0.88770071977557208</v>
      </c>
      <c r="AM450">
        <v>30.163</v>
      </c>
      <c r="AN450" s="14">
        <v>0.88232024805475928</v>
      </c>
      <c r="AO450">
        <v>54</v>
      </c>
      <c r="AQ450">
        <v>448</v>
      </c>
      <c r="AR450">
        <v>108.330237</v>
      </c>
      <c r="AS450" s="14">
        <v>0.88912030844175072</v>
      </c>
      <c r="AT450">
        <v>29.936</v>
      </c>
      <c r="AU450" s="14">
        <v>0.88403272007796119</v>
      </c>
      <c r="AV450">
        <v>54</v>
      </c>
      <c r="AX450">
        <v>448</v>
      </c>
      <c r="AY450">
        <v>110.446172</v>
      </c>
      <c r="AZ450" s="14">
        <v>0.89341422179172925</v>
      </c>
      <c r="BA450">
        <v>30.556000000000001</v>
      </c>
      <c r="BB450" s="14">
        <v>0.89022258478032867</v>
      </c>
      <c r="BC450">
        <v>54</v>
      </c>
    </row>
    <row r="451" spans="15:55" x14ac:dyDescent="0.35">
      <c r="O451">
        <v>449</v>
      </c>
      <c r="P451">
        <v>110.18709</v>
      </c>
      <c r="Q451" s="14">
        <v>0.8981677407726355</v>
      </c>
      <c r="R451">
        <v>30.483000000000001</v>
      </c>
      <c r="S451" s="14">
        <v>0.89830258737549373</v>
      </c>
      <c r="T451">
        <v>54</v>
      </c>
      <c r="V451">
        <v>449</v>
      </c>
      <c r="W451">
        <v>111.117099</v>
      </c>
      <c r="X451" s="14">
        <v>0.90655042122041274</v>
      </c>
      <c r="Y451">
        <v>30.646000000000001</v>
      </c>
      <c r="Z451" s="14">
        <v>0.90459885471397372</v>
      </c>
      <c r="AA451">
        <v>54</v>
      </c>
      <c r="AC451">
        <v>449</v>
      </c>
      <c r="AD451">
        <v>110.51413599999999</v>
      </c>
      <c r="AE451" s="14">
        <v>0.9102092158367906</v>
      </c>
      <c r="AF451">
        <v>30.475000000000001</v>
      </c>
      <c r="AG451" s="14">
        <v>0.90718304408656558</v>
      </c>
      <c r="AH451">
        <v>54</v>
      </c>
      <c r="AJ451">
        <v>449</v>
      </c>
      <c r="AK451">
        <v>109.254274</v>
      </c>
      <c r="AL451" s="14">
        <v>0.88773669912868858</v>
      </c>
      <c r="AM451">
        <v>30.158999999999999</v>
      </c>
      <c r="AN451" s="14">
        <v>0.88220324109284498</v>
      </c>
      <c r="AO451">
        <v>54</v>
      </c>
      <c r="AQ451">
        <v>449</v>
      </c>
      <c r="AR451">
        <v>108.330715</v>
      </c>
      <c r="AS451" s="14">
        <v>0.88912423162625775</v>
      </c>
      <c r="AT451">
        <v>29.936</v>
      </c>
      <c r="AU451" s="14">
        <v>0.88403272007796119</v>
      </c>
      <c r="AV451">
        <v>54</v>
      </c>
      <c r="AX451">
        <v>449</v>
      </c>
      <c r="AY451">
        <v>110.179677</v>
      </c>
      <c r="AZ451" s="14">
        <v>0.89125850721398547</v>
      </c>
      <c r="BA451">
        <v>30.504000000000001</v>
      </c>
      <c r="BB451" s="14">
        <v>0.88870760983568353</v>
      </c>
      <c r="BC451">
        <v>54</v>
      </c>
    </row>
    <row r="452" spans="15:55" x14ac:dyDescent="0.35">
      <c r="O452">
        <v>450</v>
      </c>
      <c r="P452">
        <v>110.16333899999999</v>
      </c>
      <c r="Q452" s="14">
        <v>0.89797413930797132</v>
      </c>
      <c r="R452">
        <v>30.477</v>
      </c>
      <c r="S452" s="14">
        <v>0.89812577356044088</v>
      </c>
      <c r="T452">
        <v>54</v>
      </c>
      <c r="V452">
        <v>450</v>
      </c>
      <c r="W452">
        <v>110.846752</v>
      </c>
      <c r="X452" s="14">
        <v>0.90434479140347812</v>
      </c>
      <c r="Y452">
        <v>30.594000000000001</v>
      </c>
      <c r="Z452" s="14">
        <v>0.90306393529724305</v>
      </c>
      <c r="AA452">
        <v>54</v>
      </c>
      <c r="AC452">
        <v>450</v>
      </c>
      <c r="AD452">
        <v>110.46742999999999</v>
      </c>
      <c r="AE452" s="14">
        <v>0.90982453896943605</v>
      </c>
      <c r="AF452">
        <v>30.463999999999999</v>
      </c>
      <c r="AG452" s="14">
        <v>0.9068555949156073</v>
      </c>
      <c r="AH452">
        <v>54</v>
      </c>
      <c r="AJ452">
        <v>450</v>
      </c>
      <c r="AK452">
        <v>109.256685</v>
      </c>
      <c r="AL452" s="14">
        <v>0.88775628951269137</v>
      </c>
      <c r="AM452">
        <v>30.158000000000001</v>
      </c>
      <c r="AN452" s="14">
        <v>0.88217398935236646</v>
      </c>
      <c r="AO452">
        <v>54</v>
      </c>
      <c r="AQ452">
        <v>450</v>
      </c>
      <c r="AR452">
        <v>108.28165199999999</v>
      </c>
      <c r="AS452" s="14">
        <v>0.88872154710436313</v>
      </c>
      <c r="AT452">
        <v>29.922000000000001</v>
      </c>
      <c r="AU452" s="14">
        <v>0.8836192894900039</v>
      </c>
      <c r="AV452">
        <v>54</v>
      </c>
      <c r="AX452">
        <v>450</v>
      </c>
      <c r="AY452">
        <v>110.082027</v>
      </c>
      <c r="AZ452" s="14">
        <v>0.89046860298119812</v>
      </c>
      <c r="BA452">
        <v>30.484000000000002</v>
      </c>
      <c r="BB452" s="14">
        <v>0.88812492716466618</v>
      </c>
      <c r="BC452">
        <v>54</v>
      </c>
    </row>
    <row r="453" spans="15:55" x14ac:dyDescent="0.35">
      <c r="O453">
        <v>451</v>
      </c>
      <c r="P453">
        <v>110.319856</v>
      </c>
      <c r="Q453" s="14">
        <v>0.89924995592389712</v>
      </c>
      <c r="R453">
        <v>30.501999999999999</v>
      </c>
      <c r="S453" s="14">
        <v>0.8988624977898273</v>
      </c>
      <c r="T453">
        <v>26</v>
      </c>
      <c r="V453">
        <v>451</v>
      </c>
      <c r="W453">
        <v>110.411554</v>
      </c>
      <c r="X453" s="14">
        <v>0.90079422237526507</v>
      </c>
      <c r="Y453">
        <v>30.503</v>
      </c>
      <c r="Z453" s="14">
        <v>0.90037782631796448</v>
      </c>
      <c r="AA453">
        <v>26</v>
      </c>
      <c r="AC453">
        <v>451</v>
      </c>
      <c r="AD453">
        <v>109.692992</v>
      </c>
      <c r="AE453" s="14">
        <v>0.90344616394694843</v>
      </c>
      <c r="AF453">
        <v>30.306999999999999</v>
      </c>
      <c r="AG453" s="14">
        <v>0.90218200220283973</v>
      </c>
      <c r="AH453">
        <v>26</v>
      </c>
      <c r="AJ453">
        <v>451</v>
      </c>
      <c r="AK453">
        <v>108.942224</v>
      </c>
      <c r="AL453" s="14">
        <v>0.88520116228586354</v>
      </c>
      <c r="AM453">
        <v>30.09</v>
      </c>
      <c r="AN453" s="14">
        <v>0.88018487099982445</v>
      </c>
      <c r="AO453">
        <v>26</v>
      </c>
      <c r="AQ453">
        <v>451</v>
      </c>
      <c r="AR453">
        <v>108.025792</v>
      </c>
      <c r="AS453" s="14">
        <v>0.88662157641826644</v>
      </c>
      <c r="AT453">
        <v>29.866</v>
      </c>
      <c r="AU453" s="14">
        <v>0.88196556713817442</v>
      </c>
      <c r="AV453">
        <v>26</v>
      </c>
      <c r="AX453">
        <v>451</v>
      </c>
      <c r="AY453">
        <v>109.686944</v>
      </c>
      <c r="AZ453" s="14">
        <v>0.88727272244866007</v>
      </c>
      <c r="BA453">
        <v>30.398</v>
      </c>
      <c r="BB453" s="14">
        <v>0.88561939167929149</v>
      </c>
      <c r="BC453">
        <v>26</v>
      </c>
    </row>
    <row r="454" spans="15:55" x14ac:dyDescent="0.35">
      <c r="O454">
        <v>452</v>
      </c>
      <c r="P454">
        <v>110.471695</v>
      </c>
      <c r="Q454" s="14">
        <v>0.90048764077056265</v>
      </c>
      <c r="R454">
        <v>30.53</v>
      </c>
      <c r="S454" s="14">
        <v>0.89968762892674026</v>
      </c>
      <c r="T454">
        <v>26</v>
      </c>
      <c r="V454">
        <v>452</v>
      </c>
      <c r="W454">
        <v>110.54694499999999</v>
      </c>
      <c r="X454" s="14">
        <v>0.90189881176055353</v>
      </c>
      <c r="Y454">
        <v>30.526</v>
      </c>
      <c r="Z454" s="14">
        <v>0.90105673298305689</v>
      </c>
      <c r="AA454">
        <v>26</v>
      </c>
      <c r="AC454">
        <v>452</v>
      </c>
      <c r="AD454">
        <v>109.81655600000001</v>
      </c>
      <c r="AE454" s="14">
        <v>0.90446385358934545</v>
      </c>
      <c r="AF454">
        <v>30.327999999999999</v>
      </c>
      <c r="AG454" s="14">
        <v>0.90280713243830546</v>
      </c>
      <c r="AH454">
        <v>26</v>
      </c>
      <c r="AJ454">
        <v>452</v>
      </c>
      <c r="AK454">
        <v>109.08917</v>
      </c>
      <c r="AL454" s="14">
        <v>0.88639516003271746</v>
      </c>
      <c r="AM454">
        <v>30.113</v>
      </c>
      <c r="AN454" s="14">
        <v>0.8808576610308313</v>
      </c>
      <c r="AO454">
        <v>26</v>
      </c>
      <c r="AQ454">
        <v>452</v>
      </c>
      <c r="AR454">
        <v>108.01573399999999</v>
      </c>
      <c r="AS454" s="14">
        <v>0.8865390253936406</v>
      </c>
      <c r="AT454">
        <v>29.86</v>
      </c>
      <c r="AU454" s="14">
        <v>0.88178838260047843</v>
      </c>
      <c r="AV454">
        <v>26</v>
      </c>
      <c r="AX454">
        <v>452</v>
      </c>
      <c r="AY454">
        <v>109.851491</v>
      </c>
      <c r="AZ454" s="14">
        <v>0.88860376568258193</v>
      </c>
      <c r="BA454">
        <v>30.425999999999998</v>
      </c>
      <c r="BB454" s="14">
        <v>0.88643514741871576</v>
      </c>
      <c r="BC454">
        <v>26</v>
      </c>
    </row>
    <row r="455" spans="15:55" x14ac:dyDescent="0.35">
      <c r="O455">
        <v>453</v>
      </c>
      <c r="P455">
        <v>110.420428</v>
      </c>
      <c r="Q455" s="14">
        <v>0.90006974820650465</v>
      </c>
      <c r="R455">
        <v>30.516999999999999</v>
      </c>
      <c r="S455" s="14">
        <v>0.89930453232745922</v>
      </c>
      <c r="T455">
        <v>26</v>
      </c>
      <c r="V455">
        <v>453</v>
      </c>
      <c r="W455">
        <v>110.554367</v>
      </c>
      <c r="X455" s="14">
        <v>0.90195936425235601</v>
      </c>
      <c r="Y455">
        <v>30.524999999999999</v>
      </c>
      <c r="Z455" s="14">
        <v>0.90102721530196583</v>
      </c>
      <c r="AA455">
        <v>26</v>
      </c>
      <c r="AC455">
        <v>453</v>
      </c>
      <c r="AD455">
        <v>109.80435199999999</v>
      </c>
      <c r="AE455" s="14">
        <v>0.90436333981190364</v>
      </c>
      <c r="AF455">
        <v>30.323</v>
      </c>
      <c r="AG455" s="14">
        <v>0.90265829190605174</v>
      </c>
      <c r="AH455">
        <v>26</v>
      </c>
      <c r="AJ455">
        <v>453</v>
      </c>
      <c r="AK455">
        <v>108.873205</v>
      </c>
      <c r="AL455" s="14">
        <v>0.88464035402643415</v>
      </c>
      <c r="AM455">
        <v>30.068999999999999</v>
      </c>
      <c r="AN455" s="14">
        <v>0.87957058444977476</v>
      </c>
      <c r="AO455">
        <v>26</v>
      </c>
      <c r="AQ455">
        <v>453</v>
      </c>
      <c r="AR455">
        <v>107.775097</v>
      </c>
      <c r="AS455" s="14">
        <v>0.88456399746434244</v>
      </c>
      <c r="AT455">
        <v>29.814</v>
      </c>
      <c r="AU455" s="14">
        <v>0.88042996781147564</v>
      </c>
      <c r="AV455">
        <v>26</v>
      </c>
      <c r="AX455">
        <v>453</v>
      </c>
      <c r="AY455">
        <v>109.90621</v>
      </c>
      <c r="AZ455" s="14">
        <v>0.88904639517273953</v>
      </c>
      <c r="BA455">
        <v>30.431999999999999</v>
      </c>
      <c r="BB455" s="14">
        <v>0.88660995222002104</v>
      </c>
      <c r="BC455">
        <v>26</v>
      </c>
    </row>
    <row r="456" spans="15:55" x14ac:dyDescent="0.35">
      <c r="O456">
        <v>454</v>
      </c>
      <c r="P456">
        <v>110.380456</v>
      </c>
      <c r="Q456" s="14">
        <v>0.89974392454663521</v>
      </c>
      <c r="R456">
        <v>30.507999999999999</v>
      </c>
      <c r="S456" s="14">
        <v>0.89903931160488015</v>
      </c>
      <c r="T456">
        <v>26</v>
      </c>
      <c r="V456">
        <v>454</v>
      </c>
      <c r="W456">
        <v>110.592206</v>
      </c>
      <c r="X456" s="14">
        <v>0.90226807426816158</v>
      </c>
      <c r="Y456">
        <v>30.530999999999999</v>
      </c>
      <c r="Z456" s="14">
        <v>0.9012043213885117</v>
      </c>
      <c r="AA456">
        <v>26</v>
      </c>
      <c r="AC456">
        <v>454</v>
      </c>
      <c r="AD456">
        <v>109.770653</v>
      </c>
      <c r="AE456" s="14">
        <v>0.90408579033746828</v>
      </c>
      <c r="AF456">
        <v>30.315000000000001</v>
      </c>
      <c r="AG456" s="14">
        <v>0.90242014705444584</v>
      </c>
      <c r="AH456">
        <v>26</v>
      </c>
      <c r="AJ456">
        <v>454</v>
      </c>
      <c r="AK456">
        <v>108.65339299999999</v>
      </c>
      <c r="AL456" s="14">
        <v>0.88285428953518252</v>
      </c>
      <c r="AM456">
        <v>30.027000000000001</v>
      </c>
      <c r="AN456" s="14">
        <v>0.87834201134967538</v>
      </c>
      <c r="AO456">
        <v>26</v>
      </c>
      <c r="AQ456">
        <v>454</v>
      </c>
      <c r="AR456">
        <v>107.69266399999999</v>
      </c>
      <c r="AS456" s="14">
        <v>0.88388742870186676</v>
      </c>
      <c r="AT456">
        <v>29.795000000000002</v>
      </c>
      <c r="AU456" s="14">
        <v>0.87986888344210501</v>
      </c>
      <c r="AV456">
        <v>26</v>
      </c>
      <c r="AX456">
        <v>454</v>
      </c>
      <c r="AY456">
        <v>110.018924</v>
      </c>
      <c r="AZ456" s="14">
        <v>0.88995815416602575</v>
      </c>
      <c r="BA456">
        <v>30.452000000000002</v>
      </c>
      <c r="BB456" s="14">
        <v>0.88719263489103839</v>
      </c>
      <c r="BC456">
        <v>26</v>
      </c>
    </row>
    <row r="457" spans="15:55" x14ac:dyDescent="0.35">
      <c r="O457">
        <v>455</v>
      </c>
      <c r="P457">
        <v>110.4135</v>
      </c>
      <c r="Q457" s="14">
        <v>0.90001327601808345</v>
      </c>
      <c r="R457">
        <v>30.512</v>
      </c>
      <c r="S457" s="14">
        <v>0.89915718748158202</v>
      </c>
      <c r="T457">
        <v>26</v>
      </c>
      <c r="V457">
        <v>455</v>
      </c>
      <c r="W457">
        <v>110.745097</v>
      </c>
      <c r="X457" s="14">
        <v>0.90351543765055875</v>
      </c>
      <c r="Y457">
        <v>30.556999999999999</v>
      </c>
      <c r="Z457" s="14">
        <v>0.90197178109687703</v>
      </c>
      <c r="AA457">
        <v>26</v>
      </c>
      <c r="AC457">
        <v>455</v>
      </c>
      <c r="AD457">
        <v>109.764133</v>
      </c>
      <c r="AE457" s="14">
        <v>0.90403209074480029</v>
      </c>
      <c r="AF457">
        <v>30.312000000000001</v>
      </c>
      <c r="AG457" s="14">
        <v>0.90233084273509356</v>
      </c>
      <c r="AH457">
        <v>26</v>
      </c>
      <c r="AJ457">
        <v>455</v>
      </c>
      <c r="AK457">
        <v>108.556123</v>
      </c>
      <c r="AL457" s="14">
        <v>0.88206393007771866</v>
      </c>
      <c r="AM457">
        <v>30.004000000000001</v>
      </c>
      <c r="AN457" s="14">
        <v>0.87766922131866854</v>
      </c>
      <c r="AO457">
        <v>26</v>
      </c>
      <c r="AQ457">
        <v>455</v>
      </c>
      <c r="AR457">
        <v>107.55062100000001</v>
      </c>
      <c r="AS457" s="14">
        <v>0.8827216109258752</v>
      </c>
      <c r="AT457">
        <v>29.766999999999999</v>
      </c>
      <c r="AU457" s="14">
        <v>0.87904202226619021</v>
      </c>
      <c r="AV457">
        <v>26</v>
      </c>
      <c r="AX457">
        <v>455</v>
      </c>
      <c r="AY457">
        <v>110.042872</v>
      </c>
      <c r="AZ457" s="14">
        <v>0.89015187282006358</v>
      </c>
      <c r="BA457">
        <v>30.452999999999999</v>
      </c>
      <c r="BB457" s="14">
        <v>0.88722176902458927</v>
      </c>
      <c r="BC457">
        <v>26</v>
      </c>
    </row>
    <row r="458" spans="15:55" x14ac:dyDescent="0.35">
      <c r="O458">
        <v>456</v>
      </c>
      <c r="P458">
        <v>110.435363</v>
      </c>
      <c r="Q458" s="14">
        <v>0.90019148783324709</v>
      </c>
      <c r="R458">
        <v>30.513999999999999</v>
      </c>
      <c r="S458" s="14">
        <v>0.8992161254199329</v>
      </c>
      <c r="T458">
        <v>26</v>
      </c>
      <c r="V458">
        <v>456</v>
      </c>
      <c r="W458">
        <v>110.76875099999999</v>
      </c>
      <c r="X458" s="14">
        <v>0.90370841914356503</v>
      </c>
      <c r="Y458">
        <v>30.56</v>
      </c>
      <c r="Z458" s="14">
        <v>0.90206033414014986</v>
      </c>
      <c r="AA458">
        <v>26</v>
      </c>
      <c r="AC458">
        <v>456</v>
      </c>
      <c r="AD458">
        <v>109.82178</v>
      </c>
      <c r="AE458" s="14">
        <v>0.90450687915255068</v>
      </c>
      <c r="AF458">
        <v>30.318999999999999</v>
      </c>
      <c r="AG458" s="14">
        <v>0.90253921948024873</v>
      </c>
      <c r="AH458">
        <v>26</v>
      </c>
      <c r="AJ458">
        <v>456</v>
      </c>
      <c r="AK458">
        <v>108.404132</v>
      </c>
      <c r="AL458" s="14">
        <v>0.8808289395945339</v>
      </c>
      <c r="AM458">
        <v>29.974</v>
      </c>
      <c r="AN458" s="14">
        <v>0.87679166910431172</v>
      </c>
      <c r="AO458">
        <v>26</v>
      </c>
      <c r="AQ458">
        <v>456</v>
      </c>
      <c r="AR458">
        <v>107.480017</v>
      </c>
      <c r="AS458" s="14">
        <v>0.88214212866869868</v>
      </c>
      <c r="AT458">
        <v>29.75</v>
      </c>
      <c r="AU458" s="14">
        <v>0.87853999940938488</v>
      </c>
      <c r="AV458">
        <v>26</v>
      </c>
      <c r="AX458">
        <v>456</v>
      </c>
      <c r="AY458">
        <v>110.02484200000001</v>
      </c>
      <c r="AZ458" s="14">
        <v>0.89000602567907894</v>
      </c>
      <c r="BA458">
        <v>30.446000000000002</v>
      </c>
      <c r="BB458" s="14">
        <v>0.88701783008973323</v>
      </c>
      <c r="BC458">
        <v>26</v>
      </c>
    </row>
    <row r="459" spans="15:55" x14ac:dyDescent="0.35">
      <c r="O459">
        <v>457</v>
      </c>
      <c r="P459">
        <v>110.39946399999999</v>
      </c>
      <c r="Q459" s="14">
        <v>0.89989886440770794</v>
      </c>
      <c r="R459">
        <v>30.506</v>
      </c>
      <c r="S459" s="14">
        <v>0.89898037366652916</v>
      </c>
      <c r="T459">
        <v>26</v>
      </c>
      <c r="V459">
        <v>457</v>
      </c>
      <c r="W459">
        <v>110.74096</v>
      </c>
      <c r="X459" s="14">
        <v>0.90348168587764233</v>
      </c>
      <c r="Y459">
        <v>30.552</v>
      </c>
      <c r="Z459" s="14">
        <v>0.90182419269142211</v>
      </c>
      <c r="AA459">
        <v>26</v>
      </c>
      <c r="AC459">
        <v>457</v>
      </c>
      <c r="AD459">
        <v>109.968934</v>
      </c>
      <c r="AE459" s="14">
        <v>0.90571885919234618</v>
      </c>
      <c r="AF459">
        <v>30.344999999999999</v>
      </c>
      <c r="AG459" s="14">
        <v>0.90331319024796819</v>
      </c>
      <c r="AH459">
        <v>26</v>
      </c>
      <c r="AJ459">
        <v>457</v>
      </c>
      <c r="AK459">
        <v>108.336872</v>
      </c>
      <c r="AL459" s="14">
        <v>0.88028242394624534</v>
      </c>
      <c r="AM459">
        <v>29.957999999999998</v>
      </c>
      <c r="AN459" s="14">
        <v>0.87632364125665474</v>
      </c>
      <c r="AO459">
        <v>26</v>
      </c>
      <c r="AQ459">
        <v>457</v>
      </c>
      <c r="AR459">
        <v>107.468622</v>
      </c>
      <c r="AS459" s="14">
        <v>0.88204860421795184</v>
      </c>
      <c r="AT459">
        <v>29.744</v>
      </c>
      <c r="AU459" s="14">
        <v>0.87836281487168888</v>
      </c>
      <c r="AV459">
        <v>26</v>
      </c>
      <c r="AX459">
        <v>457</v>
      </c>
      <c r="AY459">
        <v>109.989723</v>
      </c>
      <c r="AZ459" s="14">
        <v>0.88972194327507204</v>
      </c>
      <c r="BA459">
        <v>30.439</v>
      </c>
      <c r="BB459" s="14">
        <v>0.88681389115487708</v>
      </c>
      <c r="BC459">
        <v>26</v>
      </c>
    </row>
    <row r="460" spans="15:55" x14ac:dyDescent="0.35">
      <c r="O460">
        <v>458</v>
      </c>
      <c r="P460">
        <v>110.354721</v>
      </c>
      <c r="Q460" s="14">
        <v>0.89953415090791966</v>
      </c>
      <c r="R460">
        <v>30.495000000000001</v>
      </c>
      <c r="S460" s="14">
        <v>0.89865621500559922</v>
      </c>
      <c r="T460">
        <v>26</v>
      </c>
      <c r="V460">
        <v>458</v>
      </c>
      <c r="W460">
        <v>110.738243</v>
      </c>
      <c r="X460" s="14">
        <v>0.90345951919477685</v>
      </c>
      <c r="Y460">
        <v>30.548999999999999</v>
      </c>
      <c r="Z460" s="14">
        <v>0.90173563964814918</v>
      </c>
      <c r="AA460">
        <v>26</v>
      </c>
      <c r="AC460">
        <v>458</v>
      </c>
      <c r="AD460">
        <v>110.019694</v>
      </c>
      <c r="AE460" s="14">
        <v>0.90613692534630741</v>
      </c>
      <c r="AF460">
        <v>30.353000000000002</v>
      </c>
      <c r="AG460" s="14">
        <v>0.9035513350995743</v>
      </c>
      <c r="AH460">
        <v>26</v>
      </c>
      <c r="AJ460">
        <v>458</v>
      </c>
      <c r="AK460">
        <v>108.214241</v>
      </c>
      <c r="AL460" s="14">
        <v>0.87928599575021116</v>
      </c>
      <c r="AM460">
        <v>29.92</v>
      </c>
      <c r="AN460" s="14">
        <v>0.87521207511846955</v>
      </c>
      <c r="AO460">
        <v>26</v>
      </c>
      <c r="AQ460">
        <v>458</v>
      </c>
      <c r="AR460">
        <v>107.47626200000001</v>
      </c>
      <c r="AS460" s="14">
        <v>0.88211130951007177</v>
      </c>
      <c r="AT460">
        <v>29.744</v>
      </c>
      <c r="AU460" s="14">
        <v>0.87836281487168888</v>
      </c>
      <c r="AV460">
        <v>26</v>
      </c>
      <c r="AX460">
        <v>458</v>
      </c>
      <c r="AY460">
        <v>109.995785</v>
      </c>
      <c r="AZ460" s="14">
        <v>0.8897709796238602</v>
      </c>
      <c r="BA460">
        <v>30.437000000000001</v>
      </c>
      <c r="BB460" s="14">
        <v>0.88675562288777543</v>
      </c>
      <c r="BC460">
        <v>26</v>
      </c>
    </row>
    <row r="461" spans="15:55" x14ac:dyDescent="0.35">
      <c r="O461">
        <v>459</v>
      </c>
      <c r="P461">
        <v>110.301134</v>
      </c>
      <c r="Q461" s="14">
        <v>0.89909734733388225</v>
      </c>
      <c r="R461">
        <v>30.481999999999999</v>
      </c>
      <c r="S461" s="14">
        <v>0.89827311840631818</v>
      </c>
      <c r="T461">
        <v>26</v>
      </c>
      <c r="V461">
        <v>459</v>
      </c>
      <c r="W461">
        <v>110.745244</v>
      </c>
      <c r="X461" s="14">
        <v>0.90351663695213447</v>
      </c>
      <c r="Y461">
        <v>30.548999999999999</v>
      </c>
      <c r="Z461" s="14">
        <v>0.90173563964814918</v>
      </c>
      <c r="AA461">
        <v>26</v>
      </c>
      <c r="AC461">
        <v>459</v>
      </c>
      <c r="AD461">
        <v>109.99005099999999</v>
      </c>
      <c r="AE461" s="14">
        <v>0.90589278163074638</v>
      </c>
      <c r="AF461">
        <v>30.344999999999999</v>
      </c>
      <c r="AG461" s="14">
        <v>0.90331319024796819</v>
      </c>
      <c r="AH461">
        <v>26</v>
      </c>
      <c r="AJ461">
        <v>459</v>
      </c>
      <c r="AK461">
        <v>108.33141500000001</v>
      </c>
      <c r="AL461" s="14">
        <v>0.88023808353749267</v>
      </c>
      <c r="AM461">
        <v>29.946000000000002</v>
      </c>
      <c r="AN461" s="14">
        <v>0.87597262037091217</v>
      </c>
      <c r="AO461">
        <v>26</v>
      </c>
      <c r="AQ461">
        <v>459</v>
      </c>
      <c r="AR461">
        <v>107.463499</v>
      </c>
      <c r="AS461" s="14">
        <v>0.88200655720073595</v>
      </c>
      <c r="AT461">
        <v>29.738</v>
      </c>
      <c r="AU461" s="14">
        <v>0.87818563033399288</v>
      </c>
      <c r="AV461">
        <v>26</v>
      </c>
      <c r="AX461">
        <v>459</v>
      </c>
      <c r="AY461">
        <v>110.004097</v>
      </c>
      <c r="AZ461" s="14">
        <v>0.88983821653100748</v>
      </c>
      <c r="BA461">
        <v>30.437000000000001</v>
      </c>
      <c r="BB461" s="14">
        <v>0.88675562288777543</v>
      </c>
      <c r="BC461">
        <v>26</v>
      </c>
    </row>
    <row r="462" spans="15:55" x14ac:dyDescent="0.35">
      <c r="O462">
        <v>460</v>
      </c>
      <c r="P462">
        <v>110.324572</v>
      </c>
      <c r="Q462" s="14">
        <v>0.8992883974424587</v>
      </c>
      <c r="R462">
        <v>30.484999999999999</v>
      </c>
      <c r="S462" s="14">
        <v>0.89836152531384461</v>
      </c>
      <c r="T462">
        <v>26</v>
      </c>
      <c r="V462">
        <v>460</v>
      </c>
      <c r="W462">
        <v>110.752144</v>
      </c>
      <c r="X462" s="14">
        <v>0.9035729306995659</v>
      </c>
      <c r="Y462">
        <v>30.547000000000001</v>
      </c>
      <c r="Z462" s="14">
        <v>0.9016766042859673</v>
      </c>
      <c r="AA462">
        <v>26</v>
      </c>
      <c r="AC462">
        <v>460</v>
      </c>
      <c r="AD462">
        <v>109.977819</v>
      </c>
      <c r="AE462" s="14">
        <v>0.90579203724155699</v>
      </c>
      <c r="AF462">
        <v>30.341000000000001</v>
      </c>
      <c r="AG462" s="14">
        <v>0.9031941178221653</v>
      </c>
      <c r="AH462">
        <v>26</v>
      </c>
      <c r="AJ462">
        <v>460</v>
      </c>
      <c r="AK462">
        <v>108.324265</v>
      </c>
      <c r="AL462" s="14">
        <v>0.88017998679521992</v>
      </c>
      <c r="AM462">
        <v>29.943999999999999</v>
      </c>
      <c r="AN462" s="14">
        <v>0.87591411688995491</v>
      </c>
      <c r="AO462">
        <v>26</v>
      </c>
      <c r="AQ462">
        <v>460</v>
      </c>
      <c r="AR462">
        <v>107.435732</v>
      </c>
      <c r="AS462" s="14">
        <v>0.88177865957687585</v>
      </c>
      <c r="AT462">
        <v>29.731000000000002</v>
      </c>
      <c r="AU462" s="14">
        <v>0.87797891504001424</v>
      </c>
      <c r="AV462">
        <v>26</v>
      </c>
      <c r="AX462">
        <v>460</v>
      </c>
      <c r="AY462">
        <v>109.97626700000001</v>
      </c>
      <c r="AZ462" s="14">
        <v>0.88961309584694737</v>
      </c>
      <c r="BA462">
        <v>30.428000000000001</v>
      </c>
      <c r="BB462" s="14">
        <v>0.88649341568581763</v>
      </c>
      <c r="BC462">
        <v>26</v>
      </c>
    </row>
    <row r="463" spans="15:55" x14ac:dyDescent="0.35">
      <c r="O463">
        <v>461</v>
      </c>
      <c r="P463">
        <v>110.360209</v>
      </c>
      <c r="Q463" s="14">
        <v>0.89957888522807783</v>
      </c>
      <c r="R463">
        <v>30.49</v>
      </c>
      <c r="S463" s="14">
        <v>0.89850887015972181</v>
      </c>
      <c r="T463">
        <v>26</v>
      </c>
      <c r="V463">
        <v>461</v>
      </c>
      <c r="W463">
        <v>110.728759</v>
      </c>
      <c r="X463" s="14">
        <v>0.903382143846858</v>
      </c>
      <c r="Y463">
        <v>30.541</v>
      </c>
      <c r="Z463" s="14">
        <v>0.90149949819942143</v>
      </c>
      <c r="AA463">
        <v>26</v>
      </c>
      <c r="AC463">
        <v>461</v>
      </c>
      <c r="AD463">
        <v>109.988865</v>
      </c>
      <c r="AE463" s="14">
        <v>0.90588301357600653</v>
      </c>
      <c r="AF463">
        <v>30.341000000000001</v>
      </c>
      <c r="AG463" s="14">
        <v>0.9031941178221653</v>
      </c>
      <c r="AH463">
        <v>26</v>
      </c>
      <c r="AJ463">
        <v>461</v>
      </c>
      <c r="AK463">
        <v>108.287485</v>
      </c>
      <c r="AL463" s="14">
        <v>0.87988113390280176</v>
      </c>
      <c r="AM463">
        <v>29.933</v>
      </c>
      <c r="AN463" s="14">
        <v>0.87559234774469086</v>
      </c>
      <c r="AO463">
        <v>26</v>
      </c>
      <c r="AQ463">
        <v>461</v>
      </c>
      <c r="AR463">
        <v>107.394519</v>
      </c>
      <c r="AS463" s="14">
        <v>0.88144040392188439</v>
      </c>
      <c r="AT463">
        <v>29.72</v>
      </c>
      <c r="AU463" s="14">
        <v>0.87765407672090479</v>
      </c>
      <c r="AV463">
        <v>26</v>
      </c>
      <c r="AX463">
        <v>461</v>
      </c>
      <c r="AY463">
        <v>109.923524</v>
      </c>
      <c r="AZ463" s="14">
        <v>0.8891864504915975</v>
      </c>
      <c r="BA463">
        <v>30.416</v>
      </c>
      <c r="BB463" s="14">
        <v>0.8861438060832072</v>
      </c>
      <c r="BC463">
        <v>26</v>
      </c>
    </row>
    <row r="464" spans="15:55" x14ac:dyDescent="0.35">
      <c r="O464">
        <v>462</v>
      </c>
      <c r="P464">
        <v>110.322782</v>
      </c>
      <c r="Q464" s="14">
        <v>0.89927380662010392</v>
      </c>
      <c r="R464">
        <v>30.48</v>
      </c>
      <c r="S464" s="14">
        <v>0.8982141804679673</v>
      </c>
      <c r="T464">
        <v>26</v>
      </c>
      <c r="V464">
        <v>462</v>
      </c>
      <c r="W464">
        <v>110.676137</v>
      </c>
      <c r="X464" s="14">
        <v>0.90295282651680908</v>
      </c>
      <c r="Y464">
        <v>30.529</v>
      </c>
      <c r="Z464" s="14">
        <v>0.90114528602632982</v>
      </c>
      <c r="AA464">
        <v>26</v>
      </c>
      <c r="AC464">
        <v>462</v>
      </c>
      <c r="AD464">
        <v>110.000452</v>
      </c>
      <c r="AE464" s="14">
        <v>0.90597844565886598</v>
      </c>
      <c r="AF464">
        <v>30.34</v>
      </c>
      <c r="AG464" s="14">
        <v>0.90316434971571447</v>
      </c>
      <c r="AH464">
        <v>26</v>
      </c>
      <c r="AJ464">
        <v>462</v>
      </c>
      <c r="AK464">
        <v>108.252208</v>
      </c>
      <c r="AL464" s="14">
        <v>0.87959449351438845</v>
      </c>
      <c r="AM464">
        <v>29.923999999999999</v>
      </c>
      <c r="AN464" s="14">
        <v>0.87532908208038374</v>
      </c>
      <c r="AO464">
        <v>26</v>
      </c>
      <c r="AQ464">
        <v>462</v>
      </c>
      <c r="AR464">
        <v>107.38513</v>
      </c>
      <c r="AS464" s="14">
        <v>0.88136334371406855</v>
      </c>
      <c r="AT464">
        <v>29.716999999999999</v>
      </c>
      <c r="AU464" s="14">
        <v>0.87756548445205684</v>
      </c>
      <c r="AV464">
        <v>26</v>
      </c>
      <c r="AX464">
        <v>462</v>
      </c>
      <c r="AY464">
        <v>109.899175</v>
      </c>
      <c r="AZ464" s="14">
        <v>0.88898948809360323</v>
      </c>
      <c r="BA464">
        <v>30.408999999999999</v>
      </c>
      <c r="BB464" s="14">
        <v>0.88593986714835105</v>
      </c>
      <c r="BC464">
        <v>26</v>
      </c>
    </row>
    <row r="465" spans="15:55" x14ac:dyDescent="0.35">
      <c r="O465">
        <v>463</v>
      </c>
      <c r="P465">
        <v>110.254983</v>
      </c>
      <c r="Q465" s="14">
        <v>0.89872115680734777</v>
      </c>
      <c r="R465">
        <v>30.465</v>
      </c>
      <c r="S465" s="14">
        <v>0.89777214593033539</v>
      </c>
      <c r="T465">
        <v>26</v>
      </c>
      <c r="V465">
        <v>463</v>
      </c>
      <c r="W465">
        <v>110.660709</v>
      </c>
      <c r="X465" s="14">
        <v>0.90282695696095805</v>
      </c>
      <c r="Y465">
        <v>30.523</v>
      </c>
      <c r="Z465" s="14">
        <v>0.90096817993978395</v>
      </c>
      <c r="AA465">
        <v>26</v>
      </c>
      <c r="AC465">
        <v>463</v>
      </c>
      <c r="AD465">
        <v>109.985574</v>
      </c>
      <c r="AE465" s="14">
        <v>0.90585590845952335</v>
      </c>
      <c r="AF465">
        <v>30.334</v>
      </c>
      <c r="AG465" s="14">
        <v>0.90298574107701002</v>
      </c>
      <c r="AH465">
        <v>26</v>
      </c>
      <c r="AJ465">
        <v>463</v>
      </c>
      <c r="AK465">
        <v>108.253427</v>
      </c>
      <c r="AL465" s="14">
        <v>0.87960439839953963</v>
      </c>
      <c r="AM465">
        <v>29.920999999999999</v>
      </c>
      <c r="AN465" s="14">
        <v>0.87524132685894807</v>
      </c>
      <c r="AO465">
        <v>26</v>
      </c>
      <c r="AQ465">
        <v>463</v>
      </c>
      <c r="AR465">
        <v>107.42200800000001</v>
      </c>
      <c r="AS465" s="14">
        <v>0.88166601986103132</v>
      </c>
      <c r="AT465">
        <v>29.72</v>
      </c>
      <c r="AU465" s="14">
        <v>0.87765407672090479</v>
      </c>
      <c r="AV465">
        <v>26</v>
      </c>
      <c r="AX465">
        <v>463</v>
      </c>
      <c r="AY465">
        <v>109.922449</v>
      </c>
      <c r="AZ465" s="14">
        <v>0.8891777546692704</v>
      </c>
      <c r="BA465">
        <v>30.411000000000001</v>
      </c>
      <c r="BB465" s="14">
        <v>0.8859981354154528</v>
      </c>
      <c r="BC465">
        <v>26</v>
      </c>
    </row>
    <row r="466" spans="15:55" x14ac:dyDescent="0.35">
      <c r="O466">
        <v>464</v>
      </c>
      <c r="P466">
        <v>110.208961</v>
      </c>
      <c r="Q466" s="14">
        <v>0.89834601779817858</v>
      </c>
      <c r="R466">
        <v>30.454999999999998</v>
      </c>
      <c r="S466" s="14">
        <v>0.89747745623858077</v>
      </c>
      <c r="T466">
        <v>26</v>
      </c>
      <c r="V466">
        <v>464</v>
      </c>
      <c r="W466">
        <v>110.681321</v>
      </c>
      <c r="X466" s="14">
        <v>0.90299512025400985</v>
      </c>
      <c r="Y466">
        <v>30.524999999999999</v>
      </c>
      <c r="Z466" s="14">
        <v>0.90102721530196583</v>
      </c>
      <c r="AA466">
        <v>26</v>
      </c>
      <c r="AC466">
        <v>464</v>
      </c>
      <c r="AD466">
        <v>109.927091</v>
      </c>
      <c r="AE466" s="14">
        <v>0.90537423464387878</v>
      </c>
      <c r="AF466">
        <v>30.323</v>
      </c>
      <c r="AG466" s="14">
        <v>0.90265829190605174</v>
      </c>
      <c r="AH466">
        <v>26</v>
      </c>
      <c r="AJ466">
        <v>464</v>
      </c>
      <c r="AK466">
        <v>108.297146</v>
      </c>
      <c r="AL466" s="14">
        <v>0.8799596335709271</v>
      </c>
      <c r="AM466">
        <v>29.93</v>
      </c>
      <c r="AN466" s="14">
        <v>0.87550459252325508</v>
      </c>
      <c r="AO466">
        <v>26</v>
      </c>
      <c r="AQ466">
        <v>464</v>
      </c>
      <c r="AR466">
        <v>107.529308</v>
      </c>
      <c r="AS466" s="14">
        <v>0.88254668450035811</v>
      </c>
      <c r="AT466">
        <v>29.736999999999998</v>
      </c>
      <c r="AU466" s="14">
        <v>0.87815609957771013</v>
      </c>
      <c r="AV466">
        <v>26</v>
      </c>
      <c r="AX466">
        <v>464</v>
      </c>
      <c r="AY466">
        <v>109.93092</v>
      </c>
      <c r="AZ466" s="14">
        <v>0.88924627774920828</v>
      </c>
      <c r="BA466">
        <v>30.408000000000001</v>
      </c>
      <c r="BB466" s="14">
        <v>0.88591073301480028</v>
      </c>
      <c r="BC466">
        <v>26</v>
      </c>
    </row>
    <row r="467" spans="15:55" x14ac:dyDescent="0.35">
      <c r="O467">
        <v>465</v>
      </c>
      <c r="P467">
        <v>110.210251</v>
      </c>
      <c r="Q467" s="14">
        <v>0.89835653297183093</v>
      </c>
      <c r="R467">
        <v>30.452999999999999</v>
      </c>
      <c r="S467" s="14">
        <v>0.89741851830022989</v>
      </c>
      <c r="T467">
        <v>26</v>
      </c>
      <c r="V467">
        <v>465</v>
      </c>
      <c r="W467">
        <v>110.693063</v>
      </c>
      <c r="X467" s="14">
        <v>0.9030909175268127</v>
      </c>
      <c r="Y467">
        <v>30.524999999999999</v>
      </c>
      <c r="Z467" s="14">
        <v>0.90102721530196583</v>
      </c>
      <c r="AA467">
        <v>26</v>
      </c>
      <c r="AC467">
        <v>465</v>
      </c>
      <c r="AD467">
        <v>109.888671</v>
      </c>
      <c r="AE467" s="14">
        <v>0.90505780238156219</v>
      </c>
      <c r="AF467">
        <v>30.312000000000001</v>
      </c>
      <c r="AG467" s="14">
        <v>0.90233084273509356</v>
      </c>
      <c r="AH467">
        <v>26</v>
      </c>
      <c r="AJ467">
        <v>465</v>
      </c>
      <c r="AK467">
        <v>108.44354199999999</v>
      </c>
      <c r="AL467" s="14">
        <v>0.88114916233760621</v>
      </c>
      <c r="AM467">
        <v>29.954999999999998</v>
      </c>
      <c r="AN467" s="14">
        <v>0.87623588603521907</v>
      </c>
      <c r="AO467">
        <v>26</v>
      </c>
      <c r="AQ467">
        <v>465</v>
      </c>
      <c r="AR467">
        <v>107.564044</v>
      </c>
      <c r="AS467" s="14">
        <v>0.88283178018453012</v>
      </c>
      <c r="AT467">
        <v>29.74</v>
      </c>
      <c r="AU467" s="14">
        <v>0.87824469184655818</v>
      </c>
      <c r="AV467">
        <v>26</v>
      </c>
      <c r="AX467">
        <v>465</v>
      </c>
      <c r="AY467">
        <v>109.887078</v>
      </c>
      <c r="AZ467" s="14">
        <v>0.8888916338027274</v>
      </c>
      <c r="BA467">
        <v>30.399000000000001</v>
      </c>
      <c r="BB467" s="14">
        <v>0.88564852581284237</v>
      </c>
      <c r="BC467">
        <v>26</v>
      </c>
    </row>
    <row r="468" spans="15:55" x14ac:dyDescent="0.35">
      <c r="O468">
        <v>466</v>
      </c>
      <c r="P468">
        <v>110.15419</v>
      </c>
      <c r="Q468" s="14">
        <v>0.89789956308801366</v>
      </c>
      <c r="R468">
        <v>30.437000000000001</v>
      </c>
      <c r="S468" s="14">
        <v>0.89694701479342265</v>
      </c>
      <c r="T468">
        <v>26</v>
      </c>
      <c r="V468">
        <v>466</v>
      </c>
      <c r="W468">
        <v>110.654595</v>
      </c>
      <c r="X468" s="14">
        <v>0.90277707580562538</v>
      </c>
      <c r="Y468">
        <v>30.515999999999998</v>
      </c>
      <c r="Z468" s="14">
        <v>0.90076155617214704</v>
      </c>
      <c r="AA468">
        <v>26</v>
      </c>
      <c r="AC468">
        <v>466</v>
      </c>
      <c r="AD468">
        <v>109.93266199999999</v>
      </c>
      <c r="AE468" s="14">
        <v>0.90542011814552803</v>
      </c>
      <c r="AF468">
        <v>30.318999999999999</v>
      </c>
      <c r="AG468" s="14">
        <v>0.90253921948024873</v>
      </c>
      <c r="AH468">
        <v>26</v>
      </c>
      <c r="AJ468">
        <v>466</v>
      </c>
      <c r="AK468">
        <v>108.453412</v>
      </c>
      <c r="AL468" s="14">
        <v>0.88122936021819809</v>
      </c>
      <c r="AM468">
        <v>29.954999999999998</v>
      </c>
      <c r="AN468" s="14">
        <v>0.87623588603521907</v>
      </c>
      <c r="AO468">
        <v>26</v>
      </c>
      <c r="AQ468">
        <v>466</v>
      </c>
      <c r="AR468">
        <v>107.535847</v>
      </c>
      <c r="AS468" s="14">
        <v>0.88260035333611353</v>
      </c>
      <c r="AT468">
        <v>29.733000000000001</v>
      </c>
      <c r="AU468" s="14">
        <v>0.87803797655257954</v>
      </c>
      <c r="AV468">
        <v>26</v>
      </c>
      <c r="AX468">
        <v>466</v>
      </c>
      <c r="AY468">
        <v>109.83997100000001</v>
      </c>
      <c r="AZ468" s="14">
        <v>0.88851057882378304</v>
      </c>
      <c r="BA468">
        <v>30.387</v>
      </c>
      <c r="BB468" s="14">
        <v>0.88529891621023193</v>
      </c>
      <c r="BC468">
        <v>26</v>
      </c>
    </row>
    <row r="469" spans="15:55" x14ac:dyDescent="0.35">
      <c r="O469">
        <v>467</v>
      </c>
      <c r="P469">
        <v>109.73192299999999</v>
      </c>
      <c r="Q469" s="14">
        <v>0.89445753918673054</v>
      </c>
      <c r="R469">
        <v>30.353999999999999</v>
      </c>
      <c r="S469" s="14">
        <v>0.89450109035185954</v>
      </c>
      <c r="T469">
        <v>26</v>
      </c>
      <c r="V469">
        <v>467</v>
      </c>
      <c r="W469">
        <v>110.60113800000001</v>
      </c>
      <c r="X469" s="14">
        <v>0.9023409461162859</v>
      </c>
      <c r="Y469">
        <v>30.504000000000001</v>
      </c>
      <c r="Z469" s="14">
        <v>0.90040734399905542</v>
      </c>
      <c r="AA469">
        <v>26</v>
      </c>
      <c r="AC469">
        <v>467</v>
      </c>
      <c r="AD469">
        <v>109.944306</v>
      </c>
      <c r="AE469" s="14">
        <v>0.90551601968801676</v>
      </c>
      <c r="AF469">
        <v>30.318000000000001</v>
      </c>
      <c r="AG469" s="14">
        <v>0.90250945137379801</v>
      </c>
      <c r="AH469">
        <v>26</v>
      </c>
      <c r="AJ469">
        <v>467</v>
      </c>
      <c r="AK469">
        <v>108.421836</v>
      </c>
      <c r="AL469" s="14">
        <v>0.88097279200365219</v>
      </c>
      <c r="AM469">
        <v>29.946000000000002</v>
      </c>
      <c r="AN469" s="14">
        <v>0.87597262037091217</v>
      </c>
      <c r="AO469">
        <v>26</v>
      </c>
      <c r="AQ469">
        <v>467</v>
      </c>
      <c r="AR469">
        <v>107.505945</v>
      </c>
      <c r="AS469" s="14">
        <v>0.88235493270195553</v>
      </c>
      <c r="AT469">
        <v>29.725000000000001</v>
      </c>
      <c r="AU469" s="14">
        <v>0.87780173050231824</v>
      </c>
      <c r="AV469">
        <v>26</v>
      </c>
      <c r="AX469">
        <v>467</v>
      </c>
      <c r="AY469">
        <v>109.795711</v>
      </c>
      <c r="AZ469" s="14">
        <v>0.88815255361801582</v>
      </c>
      <c r="BA469">
        <v>30.376999999999999</v>
      </c>
      <c r="BB469" s="14">
        <v>0.88500757487472326</v>
      </c>
      <c r="BC469">
        <v>26</v>
      </c>
    </row>
    <row r="470" spans="15:55" x14ac:dyDescent="0.35">
      <c r="O470">
        <v>468</v>
      </c>
      <c r="P470">
        <v>109.581063</v>
      </c>
      <c r="Q470" s="14">
        <v>0.89322783446022436</v>
      </c>
      <c r="R470">
        <v>30.321999999999999</v>
      </c>
      <c r="S470" s="14">
        <v>0.89355808333824482</v>
      </c>
      <c r="T470">
        <v>26</v>
      </c>
      <c r="V470">
        <v>468</v>
      </c>
      <c r="W470">
        <v>110.58119600000001</v>
      </c>
      <c r="X470" s="14">
        <v>0.90217824902769483</v>
      </c>
      <c r="Y470">
        <v>30.498000000000001</v>
      </c>
      <c r="Z470" s="14">
        <v>0.90023023791250967</v>
      </c>
      <c r="AA470">
        <v>26</v>
      </c>
      <c r="AC470">
        <v>468</v>
      </c>
      <c r="AD470">
        <v>109.900462</v>
      </c>
      <c r="AE470" s="14">
        <v>0.90515491463572606</v>
      </c>
      <c r="AF470">
        <v>30.308</v>
      </c>
      <c r="AG470" s="14">
        <v>0.90221177030929056</v>
      </c>
      <c r="AH470">
        <v>26</v>
      </c>
      <c r="AJ470">
        <v>468</v>
      </c>
      <c r="AK470">
        <v>108.404945</v>
      </c>
      <c r="AL470" s="14">
        <v>0.88083554555977406</v>
      </c>
      <c r="AM470">
        <v>29.94</v>
      </c>
      <c r="AN470" s="14">
        <v>0.87579710992804072</v>
      </c>
      <c r="AO470">
        <v>26</v>
      </c>
      <c r="AQ470">
        <v>468</v>
      </c>
      <c r="AR470">
        <v>107.517979</v>
      </c>
      <c r="AS470" s="14">
        <v>0.88245370174454318</v>
      </c>
      <c r="AT470">
        <v>29.725000000000001</v>
      </c>
      <c r="AU470" s="14">
        <v>0.87780173050231824</v>
      </c>
      <c r="AV470">
        <v>26</v>
      </c>
      <c r="AX470">
        <v>468</v>
      </c>
      <c r="AY470">
        <v>109.81641999999999</v>
      </c>
      <c r="AZ470" s="14">
        <v>0.88832007155715342</v>
      </c>
      <c r="BA470">
        <v>30.376999999999999</v>
      </c>
      <c r="BB470" s="14">
        <v>0.88500757487472326</v>
      </c>
      <c r="BC470">
        <v>26</v>
      </c>
    </row>
    <row r="471" spans="15:55" x14ac:dyDescent="0.35">
      <c r="O471">
        <v>469</v>
      </c>
      <c r="P471">
        <v>109.510756</v>
      </c>
      <c r="Q471" s="14">
        <v>0.89265474119357668</v>
      </c>
      <c r="R471">
        <v>30.308</v>
      </c>
      <c r="S471" s="14">
        <v>0.89314551776978846</v>
      </c>
      <c r="T471">
        <v>26</v>
      </c>
      <c r="V471">
        <v>469</v>
      </c>
      <c r="W471">
        <v>110.61285100000001</v>
      </c>
      <c r="X471" s="14">
        <v>0.90243650679217935</v>
      </c>
      <c r="Y471">
        <v>30.501000000000001</v>
      </c>
      <c r="Z471" s="14">
        <v>0.9003187909557826</v>
      </c>
      <c r="AA471">
        <v>26</v>
      </c>
      <c r="AC471">
        <v>469</v>
      </c>
      <c r="AD471">
        <v>109.85657500000001</v>
      </c>
      <c r="AE471" s="14">
        <v>0.90479345542967993</v>
      </c>
      <c r="AF471">
        <v>30.297999999999998</v>
      </c>
      <c r="AG471" s="14">
        <v>0.901914089244783</v>
      </c>
      <c r="AH471">
        <v>26</v>
      </c>
      <c r="AJ471">
        <v>469</v>
      </c>
      <c r="AK471">
        <v>108.40950100000001</v>
      </c>
      <c r="AL471" s="14">
        <v>0.88087256496645872</v>
      </c>
      <c r="AM471">
        <v>29.937999999999999</v>
      </c>
      <c r="AN471" s="14">
        <v>0.87573860644708357</v>
      </c>
      <c r="AO471">
        <v>26</v>
      </c>
      <c r="AQ471">
        <v>469</v>
      </c>
      <c r="AR471">
        <v>107.53091999999999</v>
      </c>
      <c r="AS471" s="14">
        <v>0.88255991498869535</v>
      </c>
      <c r="AT471">
        <v>29.724</v>
      </c>
      <c r="AU471" s="14">
        <v>0.87777219974603549</v>
      </c>
      <c r="AV471">
        <v>26</v>
      </c>
      <c r="AX471">
        <v>469</v>
      </c>
      <c r="AY471">
        <v>109.82939399999999</v>
      </c>
      <c r="AZ471" s="14">
        <v>0.88842502002122081</v>
      </c>
      <c r="BA471">
        <v>30.376999999999999</v>
      </c>
      <c r="BB471" s="14">
        <v>0.88500757487472326</v>
      </c>
      <c r="BC471">
        <v>26</v>
      </c>
    </row>
    <row r="472" spans="15:55" x14ac:dyDescent="0.35">
      <c r="O472">
        <v>470</v>
      </c>
      <c r="P472">
        <v>109.73038099999999</v>
      </c>
      <c r="Q472" s="14">
        <v>0.89444496988613209</v>
      </c>
      <c r="R472">
        <v>30.347999999999999</v>
      </c>
      <c r="S472" s="14">
        <v>0.89432427653680679</v>
      </c>
      <c r="T472">
        <v>26</v>
      </c>
      <c r="V472">
        <v>470</v>
      </c>
      <c r="W472">
        <v>110.628117</v>
      </c>
      <c r="X472" s="14">
        <v>0.90256105466874281</v>
      </c>
      <c r="Y472">
        <v>30.501999999999999</v>
      </c>
      <c r="Z472" s="14">
        <v>0.90034830863687343</v>
      </c>
      <c r="AA472">
        <v>26</v>
      </c>
      <c r="AC472">
        <v>470</v>
      </c>
      <c r="AD472">
        <v>109.810473</v>
      </c>
      <c r="AE472" s="14">
        <v>0.90441375318716766</v>
      </c>
      <c r="AF472">
        <v>30.286999999999999</v>
      </c>
      <c r="AG472" s="14">
        <v>0.90158664007382483</v>
      </c>
      <c r="AH472">
        <v>26</v>
      </c>
      <c r="AJ472">
        <v>470</v>
      </c>
      <c r="AK472">
        <v>108.421346</v>
      </c>
      <c r="AL472" s="14">
        <v>0.88096881054858733</v>
      </c>
      <c r="AM472">
        <v>29.937999999999999</v>
      </c>
      <c r="AN472" s="14">
        <v>0.87573860644708357</v>
      </c>
      <c r="AO472">
        <v>26</v>
      </c>
      <c r="AQ472">
        <v>470</v>
      </c>
      <c r="AR472">
        <v>107.503243</v>
      </c>
      <c r="AS472" s="14">
        <v>0.88233275603974248</v>
      </c>
      <c r="AT472">
        <v>29.716000000000001</v>
      </c>
      <c r="AU472" s="14">
        <v>0.8775359536957742</v>
      </c>
      <c r="AV472">
        <v>26</v>
      </c>
      <c r="AX472">
        <v>470</v>
      </c>
      <c r="AY472">
        <v>109.79177300000001</v>
      </c>
      <c r="AZ472" s="14">
        <v>0.88812069859631881</v>
      </c>
      <c r="BA472">
        <v>30.367000000000001</v>
      </c>
      <c r="BB472" s="14">
        <v>0.88471623353921458</v>
      </c>
      <c r="BC472">
        <v>26</v>
      </c>
    </row>
    <row r="473" spans="15:55" x14ac:dyDescent="0.35">
      <c r="O473">
        <v>471</v>
      </c>
      <c r="P473">
        <v>109.784813</v>
      </c>
      <c r="Q473" s="14">
        <v>0.89488866130647671</v>
      </c>
      <c r="R473">
        <v>30.358000000000001</v>
      </c>
      <c r="S473" s="14">
        <v>0.89461896622856141</v>
      </c>
      <c r="T473">
        <v>26</v>
      </c>
      <c r="V473">
        <v>471</v>
      </c>
      <c r="W473">
        <v>110.57082800000001</v>
      </c>
      <c r="X473" s="14">
        <v>0.90209366155329351</v>
      </c>
      <c r="Y473">
        <v>30.49</v>
      </c>
      <c r="Z473" s="14">
        <v>0.8999940964637817</v>
      </c>
      <c r="AA473">
        <v>26</v>
      </c>
      <c r="AC473">
        <v>471</v>
      </c>
      <c r="AD473">
        <v>109.840036</v>
      </c>
      <c r="AE473" s="14">
        <v>0.90465723801202103</v>
      </c>
      <c r="AF473">
        <v>30.289000000000001</v>
      </c>
      <c r="AG473" s="14">
        <v>0.90164617628672639</v>
      </c>
      <c r="AH473">
        <v>26</v>
      </c>
      <c r="AJ473">
        <v>471</v>
      </c>
      <c r="AK473">
        <v>108.39688</v>
      </c>
      <c r="AL473" s="14">
        <v>0.88077001405957411</v>
      </c>
      <c r="AM473">
        <v>29.931000000000001</v>
      </c>
      <c r="AN473" s="14">
        <v>0.87553384426373371</v>
      </c>
      <c r="AO473">
        <v>26</v>
      </c>
      <c r="AQ473">
        <v>471</v>
      </c>
      <c r="AR473">
        <v>107.454758</v>
      </c>
      <c r="AS473" s="14">
        <v>0.88193481545225172</v>
      </c>
      <c r="AT473">
        <v>29.704999999999998</v>
      </c>
      <c r="AU473" s="14">
        <v>0.87721111537666474</v>
      </c>
      <c r="AV473">
        <v>26</v>
      </c>
      <c r="AX473">
        <v>471</v>
      </c>
      <c r="AY473">
        <v>109.733113</v>
      </c>
      <c r="AZ473" s="14">
        <v>0.88764618981705301</v>
      </c>
      <c r="BA473">
        <v>30.353999999999999</v>
      </c>
      <c r="BB473" s="14">
        <v>0.88433748980305327</v>
      </c>
      <c r="BC473">
        <v>26</v>
      </c>
    </row>
    <row r="474" spans="15:55" x14ac:dyDescent="0.35">
      <c r="O474">
        <v>472</v>
      </c>
      <c r="P474">
        <v>109.767528</v>
      </c>
      <c r="Q474" s="14">
        <v>0.89474776613083273</v>
      </c>
      <c r="R474">
        <v>30.352</v>
      </c>
      <c r="S474" s="14">
        <v>0.89444215241350866</v>
      </c>
      <c r="T474">
        <v>26</v>
      </c>
      <c r="V474">
        <v>472</v>
      </c>
      <c r="W474">
        <v>110.516362</v>
      </c>
      <c r="X474" s="14">
        <v>0.90164929992320642</v>
      </c>
      <c r="Y474">
        <v>30.477</v>
      </c>
      <c r="Z474" s="14">
        <v>0.89961036660959914</v>
      </c>
      <c r="AA474">
        <v>26</v>
      </c>
      <c r="AC474">
        <v>472</v>
      </c>
      <c r="AD474">
        <v>109.865094</v>
      </c>
      <c r="AE474" s="14">
        <v>0.90486361905390367</v>
      </c>
      <c r="AF474">
        <v>30.292000000000002</v>
      </c>
      <c r="AG474" s="14">
        <v>0.90173548060607855</v>
      </c>
      <c r="AH474">
        <v>26</v>
      </c>
      <c r="AJ474">
        <v>472</v>
      </c>
      <c r="AK474">
        <v>108.345326</v>
      </c>
      <c r="AL474" s="14">
        <v>0.88035111623424167</v>
      </c>
      <c r="AM474">
        <v>29.917999999999999</v>
      </c>
      <c r="AN474" s="14">
        <v>0.8751535716375124</v>
      </c>
      <c r="AO474">
        <v>26</v>
      </c>
      <c r="AQ474">
        <v>472</v>
      </c>
      <c r="AR474">
        <v>107.43734499999999</v>
      </c>
      <c r="AS474" s="14">
        <v>0.88179189827271209</v>
      </c>
      <c r="AT474">
        <v>29.7</v>
      </c>
      <c r="AU474" s="14">
        <v>0.87706346159525139</v>
      </c>
      <c r="AV474">
        <v>26</v>
      </c>
      <c r="AX474">
        <v>472</v>
      </c>
      <c r="AY474">
        <v>109.688479</v>
      </c>
      <c r="AZ474" s="14">
        <v>0.88728513927402963</v>
      </c>
      <c r="BA474">
        <v>30.344000000000001</v>
      </c>
      <c r="BB474" s="14">
        <v>0.8840461484675447</v>
      </c>
      <c r="BC474">
        <v>26</v>
      </c>
    </row>
    <row r="475" spans="15:55" x14ac:dyDescent="0.35">
      <c r="O475">
        <v>473</v>
      </c>
      <c r="P475">
        <v>109.770993</v>
      </c>
      <c r="Q475" s="14">
        <v>0.8947760103763408</v>
      </c>
      <c r="R475">
        <v>30.352</v>
      </c>
      <c r="S475" s="14">
        <v>0.89444215241350866</v>
      </c>
      <c r="T475">
        <v>26</v>
      </c>
      <c r="V475">
        <v>473</v>
      </c>
      <c r="W475">
        <v>110.477473</v>
      </c>
      <c r="X475" s="14">
        <v>0.90133202346757435</v>
      </c>
      <c r="Y475">
        <v>30.466999999999999</v>
      </c>
      <c r="Z475" s="14">
        <v>0.89931518979868941</v>
      </c>
      <c r="AA475">
        <v>26</v>
      </c>
      <c r="AC475">
        <v>473</v>
      </c>
      <c r="AD475">
        <v>109.82728899999999</v>
      </c>
      <c r="AE475" s="14">
        <v>0.90455225201390144</v>
      </c>
      <c r="AF475">
        <v>30.282</v>
      </c>
      <c r="AG475" s="14">
        <v>0.90143779954157111</v>
      </c>
      <c r="AH475">
        <v>26</v>
      </c>
      <c r="AJ475">
        <v>473</v>
      </c>
      <c r="AK475">
        <v>108.330331</v>
      </c>
      <c r="AL475" s="14">
        <v>0.88022927558383901</v>
      </c>
      <c r="AM475">
        <v>29.913</v>
      </c>
      <c r="AN475" s="14">
        <v>0.87500731293511969</v>
      </c>
      <c r="AO475">
        <v>26</v>
      </c>
      <c r="AQ475">
        <v>473</v>
      </c>
      <c r="AR475">
        <v>107.46379399999999</v>
      </c>
      <c r="AS475" s="14">
        <v>0.88200897841293158</v>
      </c>
      <c r="AT475">
        <v>29.7</v>
      </c>
      <c r="AU475" s="14">
        <v>0.87706346159525139</v>
      </c>
      <c r="AV475">
        <v>26</v>
      </c>
      <c r="AX475">
        <v>473</v>
      </c>
      <c r="AY475">
        <v>109.687657</v>
      </c>
      <c r="AZ475" s="14">
        <v>0.88727849000337566</v>
      </c>
      <c r="BA475">
        <v>30.34</v>
      </c>
      <c r="BB475" s="14">
        <v>0.88392961193334119</v>
      </c>
      <c r="BC475">
        <v>26</v>
      </c>
    </row>
    <row r="476" spans="15:55" x14ac:dyDescent="0.35">
      <c r="O476">
        <v>474</v>
      </c>
      <c r="P476">
        <v>109.757656</v>
      </c>
      <c r="Q476" s="14">
        <v>0.89466729652285137</v>
      </c>
      <c r="R476">
        <v>30.347000000000001</v>
      </c>
      <c r="S476" s="14">
        <v>0.89429480756763136</v>
      </c>
      <c r="T476">
        <v>26</v>
      </c>
      <c r="V476">
        <v>474</v>
      </c>
      <c r="W476">
        <v>110.487431</v>
      </c>
      <c r="X476" s="14">
        <v>0.9014132659511862</v>
      </c>
      <c r="Y476">
        <v>30.466999999999999</v>
      </c>
      <c r="Z476" s="14">
        <v>0.89931518979868941</v>
      </c>
      <c r="AA476">
        <v>26</v>
      </c>
      <c r="AC476">
        <v>474</v>
      </c>
      <c r="AD476">
        <v>109.75980800000001</v>
      </c>
      <c r="AE476" s="14">
        <v>0.9039964694659216</v>
      </c>
      <c r="AF476">
        <v>30.268999999999998</v>
      </c>
      <c r="AG476" s="14">
        <v>0.90105081415771127</v>
      </c>
      <c r="AH476">
        <v>26</v>
      </c>
      <c r="AJ476">
        <v>474</v>
      </c>
      <c r="AK476">
        <v>108.37552100000001</v>
      </c>
      <c r="AL476" s="14">
        <v>0.88059646324583951</v>
      </c>
      <c r="AM476">
        <v>29.919</v>
      </c>
      <c r="AN476" s="14">
        <v>0.87518282337799103</v>
      </c>
      <c r="AO476">
        <v>26</v>
      </c>
      <c r="AQ476">
        <v>474</v>
      </c>
      <c r="AR476">
        <v>107.473342</v>
      </c>
      <c r="AS476" s="14">
        <v>0.8820873436130835</v>
      </c>
      <c r="AT476">
        <v>29.7</v>
      </c>
      <c r="AU476" s="14">
        <v>0.87706346159525139</v>
      </c>
      <c r="AV476">
        <v>26</v>
      </c>
      <c r="AX476">
        <v>474</v>
      </c>
      <c r="AY476">
        <v>109.606545</v>
      </c>
      <c r="AZ476" s="14">
        <v>0.88662236391909666</v>
      </c>
      <c r="BA476">
        <v>30.323</v>
      </c>
      <c r="BB476" s="14">
        <v>0.88343433166297636</v>
      </c>
      <c r="BC476">
        <v>26</v>
      </c>
    </row>
    <row r="477" spans="15:55" x14ac:dyDescent="0.35">
      <c r="O477">
        <v>475</v>
      </c>
      <c r="P477">
        <v>109.71445900000001</v>
      </c>
      <c r="Q477" s="14">
        <v>0.89431518492885109</v>
      </c>
      <c r="R477">
        <v>30.337</v>
      </c>
      <c r="S477" s="14">
        <v>0.89400011787587674</v>
      </c>
      <c r="T477">
        <v>26</v>
      </c>
      <c r="V477">
        <v>475</v>
      </c>
      <c r="W477">
        <v>110.33127399999999</v>
      </c>
      <c r="X477" s="14">
        <v>0.9001392568616714</v>
      </c>
      <c r="Y477">
        <v>30.434999999999999</v>
      </c>
      <c r="Z477" s="14">
        <v>0.89837062400377821</v>
      </c>
      <c r="AA477">
        <v>26</v>
      </c>
      <c r="AC477">
        <v>475</v>
      </c>
      <c r="AD477">
        <v>109.71220099999999</v>
      </c>
      <c r="AE477" s="14">
        <v>0.90360437184197284</v>
      </c>
      <c r="AF477">
        <v>30.257999999999999</v>
      </c>
      <c r="AG477" s="14">
        <v>0.90072336498675309</v>
      </c>
      <c r="AH477">
        <v>26</v>
      </c>
      <c r="AJ477">
        <v>475</v>
      </c>
      <c r="AK477">
        <v>108.377617</v>
      </c>
      <c r="AL477" s="14">
        <v>0.88061349412301482</v>
      </c>
      <c r="AM477">
        <v>29.914999999999999</v>
      </c>
      <c r="AN477" s="14">
        <v>0.87506581641607672</v>
      </c>
      <c r="AO477">
        <v>26</v>
      </c>
      <c r="AQ477">
        <v>475</v>
      </c>
      <c r="AR477">
        <v>107.440389</v>
      </c>
      <c r="AS477" s="14">
        <v>0.88181688189957241</v>
      </c>
      <c r="AT477">
        <v>29.692</v>
      </c>
      <c r="AU477" s="14">
        <v>0.8768272155449901</v>
      </c>
      <c r="AV477">
        <v>26</v>
      </c>
      <c r="AX477">
        <v>475</v>
      </c>
      <c r="AY477">
        <v>109.236884</v>
      </c>
      <c r="AZ477" s="14">
        <v>0.88363212542860603</v>
      </c>
      <c r="BA477">
        <v>30.253</v>
      </c>
      <c r="BB477" s="14">
        <v>0.88139494231441562</v>
      </c>
      <c r="BC477">
        <v>26</v>
      </c>
    </row>
    <row r="478" spans="15:55" x14ac:dyDescent="0.35">
      <c r="O478">
        <v>476</v>
      </c>
      <c r="P478">
        <v>109.67576200000001</v>
      </c>
      <c r="Q478" s="14">
        <v>0.8939997541731729</v>
      </c>
      <c r="R478">
        <v>30.327000000000002</v>
      </c>
      <c r="S478" s="14">
        <v>0.89370542818412224</v>
      </c>
      <c r="T478">
        <v>26</v>
      </c>
      <c r="V478">
        <v>476</v>
      </c>
      <c r="W478">
        <v>109.989255</v>
      </c>
      <c r="X478" s="14">
        <v>0.8973488900206924</v>
      </c>
      <c r="Y478">
        <v>30.369</v>
      </c>
      <c r="Z478" s="14">
        <v>0.89642245705177404</v>
      </c>
      <c r="AA478">
        <v>26</v>
      </c>
      <c r="AC478">
        <v>476</v>
      </c>
      <c r="AD478">
        <v>109.716689</v>
      </c>
      <c r="AE478" s="14">
        <v>0.90364133561066828</v>
      </c>
      <c r="AF478">
        <v>30.256</v>
      </c>
      <c r="AG478" s="14">
        <v>0.90066382877385165</v>
      </c>
      <c r="AH478">
        <v>26</v>
      </c>
      <c r="AJ478">
        <v>476</v>
      </c>
      <c r="AK478">
        <v>108.338097</v>
      </c>
      <c r="AL478" s="14">
        <v>0.88029237758390755</v>
      </c>
      <c r="AM478">
        <v>29.905999999999999</v>
      </c>
      <c r="AN478" s="14">
        <v>0.87480255075176971</v>
      </c>
      <c r="AO478">
        <v>26</v>
      </c>
      <c r="AQ478">
        <v>476</v>
      </c>
      <c r="AR478">
        <v>107.40248699999999</v>
      </c>
      <c r="AS478" s="14">
        <v>0.88150580127366585</v>
      </c>
      <c r="AT478">
        <v>29.681000000000001</v>
      </c>
      <c r="AU478" s="14">
        <v>0.87650237722588076</v>
      </c>
      <c r="AV478">
        <v>26</v>
      </c>
      <c r="AX478">
        <v>476</v>
      </c>
      <c r="AY478">
        <v>109.112993</v>
      </c>
      <c r="AZ478" s="14">
        <v>0.88262995415052858</v>
      </c>
      <c r="BA478">
        <v>30.228000000000002</v>
      </c>
      <c r="BB478" s="14">
        <v>0.88066658897564398</v>
      </c>
      <c r="BC478">
        <v>26</v>
      </c>
    </row>
    <row r="479" spans="15:55" x14ac:dyDescent="0.35">
      <c r="O479">
        <v>477</v>
      </c>
      <c r="P479">
        <v>109.681979</v>
      </c>
      <c r="Q479" s="14">
        <v>0.89405043078913926</v>
      </c>
      <c r="R479">
        <v>30.327000000000002</v>
      </c>
      <c r="S479" s="14">
        <v>0.89370542818412224</v>
      </c>
      <c r="T479">
        <v>26</v>
      </c>
      <c r="V479">
        <v>477</v>
      </c>
      <c r="W479">
        <v>109.877816</v>
      </c>
      <c r="X479" s="14">
        <v>0.89643971336561801</v>
      </c>
      <c r="Y479">
        <v>30.346</v>
      </c>
      <c r="Z479" s="14">
        <v>0.89574355038668163</v>
      </c>
      <c r="AA479">
        <v>26</v>
      </c>
      <c r="AC479">
        <v>477</v>
      </c>
      <c r="AD479">
        <v>109.683527</v>
      </c>
      <c r="AE479" s="14">
        <v>0.9033682089401075</v>
      </c>
      <c r="AF479">
        <v>30.242999999999999</v>
      </c>
      <c r="AG479" s="14">
        <v>0.90027684338999181</v>
      </c>
      <c r="AH479">
        <v>26</v>
      </c>
      <c r="AJ479">
        <v>477</v>
      </c>
      <c r="AK479">
        <v>108.291353</v>
      </c>
      <c r="AL479" s="14">
        <v>0.8799125630215584</v>
      </c>
      <c r="AM479">
        <v>29.895</v>
      </c>
      <c r="AN479" s="14">
        <v>0.87448078160650555</v>
      </c>
      <c r="AO479">
        <v>26</v>
      </c>
      <c r="AQ479">
        <v>477</v>
      </c>
      <c r="AR479">
        <v>107.343383</v>
      </c>
      <c r="AS479" s="14">
        <v>0.88102070525462794</v>
      </c>
      <c r="AT479">
        <v>29.667999999999999</v>
      </c>
      <c r="AU479" s="14">
        <v>0.87611847739420601</v>
      </c>
      <c r="AV479">
        <v>26</v>
      </c>
      <c r="AX479">
        <v>477</v>
      </c>
      <c r="AY479">
        <v>109.045805</v>
      </c>
      <c r="AZ479" s="14">
        <v>0.88208646121051304</v>
      </c>
      <c r="BA479">
        <v>30.213999999999999</v>
      </c>
      <c r="BB479" s="14">
        <v>0.88025871110593168</v>
      </c>
      <c r="BC479">
        <v>26</v>
      </c>
    </row>
    <row r="480" spans="15:55" x14ac:dyDescent="0.35">
      <c r="O480">
        <v>478</v>
      </c>
      <c r="P480">
        <v>109.689598</v>
      </c>
      <c r="Q480" s="14">
        <v>0.89411253552406733</v>
      </c>
      <c r="R480">
        <v>30.326000000000001</v>
      </c>
      <c r="S480" s="14">
        <v>0.89367595921494669</v>
      </c>
      <c r="T480">
        <v>26</v>
      </c>
      <c r="V480">
        <v>478</v>
      </c>
      <c r="W480">
        <v>109.857866</v>
      </c>
      <c r="X480" s="14">
        <v>0.89627695100891414</v>
      </c>
      <c r="Y480">
        <v>30.343</v>
      </c>
      <c r="Z480" s="14">
        <v>0.8956549973434087</v>
      </c>
      <c r="AA480">
        <v>26</v>
      </c>
      <c r="AC480">
        <v>478</v>
      </c>
      <c r="AD480">
        <v>109.231476</v>
      </c>
      <c r="AE480" s="14">
        <v>0.89964505639943859</v>
      </c>
      <c r="AF480">
        <v>30.161000000000001</v>
      </c>
      <c r="AG480" s="14">
        <v>0.89783585866103055</v>
      </c>
      <c r="AH480">
        <v>26</v>
      </c>
      <c r="AJ480">
        <v>478</v>
      </c>
      <c r="AK480">
        <v>108.22758</v>
      </c>
      <c r="AL480" s="14">
        <v>0.87939438070757836</v>
      </c>
      <c r="AM480">
        <v>29.881</v>
      </c>
      <c r="AN480" s="14">
        <v>0.87407125723980572</v>
      </c>
      <c r="AO480">
        <v>26</v>
      </c>
      <c r="AQ480">
        <v>478</v>
      </c>
      <c r="AR480">
        <v>107.338627</v>
      </c>
      <c r="AS480" s="14">
        <v>0.88098167038953346</v>
      </c>
      <c r="AT480">
        <v>29.664000000000001</v>
      </c>
      <c r="AU480" s="14">
        <v>0.87600035436907542</v>
      </c>
      <c r="AV480">
        <v>26</v>
      </c>
      <c r="AX480">
        <v>478</v>
      </c>
      <c r="AY480">
        <v>109.23799200000001</v>
      </c>
      <c r="AZ480" s="14">
        <v>0.88364108819245579</v>
      </c>
      <c r="BA480">
        <v>30.245999999999999</v>
      </c>
      <c r="BB480" s="14">
        <v>0.88119100337955947</v>
      </c>
      <c r="BC480">
        <v>26</v>
      </c>
    </row>
    <row r="481" spans="15:55" x14ac:dyDescent="0.35">
      <c r="O481">
        <v>479</v>
      </c>
      <c r="P481">
        <v>109.672327</v>
      </c>
      <c r="Q481" s="14">
        <v>0.89397175446658694</v>
      </c>
      <c r="R481">
        <v>30.321000000000002</v>
      </c>
      <c r="S481" s="14">
        <v>0.8935286143690695</v>
      </c>
      <c r="T481">
        <v>26</v>
      </c>
      <c r="V481">
        <v>479</v>
      </c>
      <c r="W481">
        <v>110.046864</v>
      </c>
      <c r="X481" s="14">
        <v>0.89781889386066027</v>
      </c>
      <c r="Y481">
        <v>30.375</v>
      </c>
      <c r="Z481" s="14">
        <v>0.8965995631383199</v>
      </c>
      <c r="AA481">
        <v>26</v>
      </c>
      <c r="AC481">
        <v>479</v>
      </c>
      <c r="AD481">
        <v>109.07182400000001</v>
      </c>
      <c r="AE481" s="14">
        <v>0.8983301411588509</v>
      </c>
      <c r="AF481">
        <v>30.128</v>
      </c>
      <c r="AG481" s="14">
        <v>0.89685351114815581</v>
      </c>
      <c r="AH481">
        <v>26</v>
      </c>
      <c r="AJ481">
        <v>479</v>
      </c>
      <c r="AK481">
        <v>108.228511</v>
      </c>
      <c r="AL481" s="14">
        <v>0.87940194547220152</v>
      </c>
      <c r="AM481">
        <v>29.876999999999999</v>
      </c>
      <c r="AN481" s="14">
        <v>0.87395425027789153</v>
      </c>
      <c r="AO481">
        <v>26</v>
      </c>
      <c r="AQ481">
        <v>479</v>
      </c>
      <c r="AR481">
        <v>107.356166</v>
      </c>
      <c r="AS481" s="14">
        <v>0.88112562171394304</v>
      </c>
      <c r="AT481">
        <v>29.664999999999999</v>
      </c>
      <c r="AU481" s="14">
        <v>0.87602988512535807</v>
      </c>
      <c r="AV481">
        <v>26</v>
      </c>
      <c r="AX481">
        <v>479</v>
      </c>
      <c r="AY481">
        <v>109.271536</v>
      </c>
      <c r="AZ481" s="14">
        <v>0.88391243020561105</v>
      </c>
      <c r="BA481">
        <v>30.248000000000001</v>
      </c>
      <c r="BB481" s="14">
        <v>0.88124927164666134</v>
      </c>
      <c r="BC481">
        <v>26</v>
      </c>
    </row>
    <row r="482" spans="15:55" x14ac:dyDescent="0.35">
      <c r="O482">
        <v>480</v>
      </c>
      <c r="P482">
        <v>109.61491100000001</v>
      </c>
      <c r="Q482" s="14">
        <v>0.89350373957478613</v>
      </c>
      <c r="R482">
        <v>30.309000000000001</v>
      </c>
      <c r="S482" s="14">
        <v>0.89317498673896401</v>
      </c>
      <c r="T482">
        <v>26</v>
      </c>
      <c r="V482">
        <v>480</v>
      </c>
      <c r="W482">
        <v>110.086736</v>
      </c>
      <c r="X482" s="14">
        <v>0.89814419013567282</v>
      </c>
      <c r="Y482">
        <v>30.379000000000001</v>
      </c>
      <c r="Z482" s="14">
        <v>0.89671763386268377</v>
      </c>
      <c r="AA482">
        <v>26</v>
      </c>
      <c r="AC482">
        <v>480</v>
      </c>
      <c r="AD482">
        <v>108.990083</v>
      </c>
      <c r="AE482" s="14">
        <v>0.89765691134224435</v>
      </c>
      <c r="AF482">
        <v>30.11</v>
      </c>
      <c r="AG482" s="14">
        <v>0.89631768523204225</v>
      </c>
      <c r="AH482">
        <v>26</v>
      </c>
      <c r="AJ482">
        <v>480</v>
      </c>
      <c r="AK482">
        <v>108.24739599999999</v>
      </c>
      <c r="AL482" s="14">
        <v>0.87955539400056804</v>
      </c>
      <c r="AM482">
        <v>29.879000000000001</v>
      </c>
      <c r="AN482" s="14">
        <v>0.87401275375884868</v>
      </c>
      <c r="AO482">
        <v>26</v>
      </c>
      <c r="AQ482">
        <v>480</v>
      </c>
      <c r="AR482">
        <v>107.355425</v>
      </c>
      <c r="AS482" s="14">
        <v>0.88111953995720738</v>
      </c>
      <c r="AT482">
        <v>29.661000000000001</v>
      </c>
      <c r="AU482" s="14">
        <v>0.87591176210022748</v>
      </c>
      <c r="AV482">
        <v>26</v>
      </c>
      <c r="AX482">
        <v>480</v>
      </c>
      <c r="AY482">
        <v>109.257234</v>
      </c>
      <c r="AZ482" s="14">
        <v>0.88379673936754322</v>
      </c>
      <c r="BA482">
        <v>30.244</v>
      </c>
      <c r="BB482" s="14">
        <v>0.88113273511245782</v>
      </c>
      <c r="BC482">
        <v>26</v>
      </c>
    </row>
    <row r="483" spans="15:55" x14ac:dyDescent="0.35">
      <c r="O483">
        <v>481</v>
      </c>
      <c r="P483">
        <v>109.586297</v>
      </c>
      <c r="Q483" s="14">
        <v>0.89327049835084171</v>
      </c>
      <c r="R483">
        <v>30.3</v>
      </c>
      <c r="S483" s="14">
        <v>0.89290976601638483</v>
      </c>
      <c r="T483">
        <v>26</v>
      </c>
      <c r="V483">
        <v>481</v>
      </c>
      <c r="W483">
        <v>110.069857</v>
      </c>
      <c r="X483" s="14">
        <v>0.89800648257583282</v>
      </c>
      <c r="Y483">
        <v>30.376000000000001</v>
      </c>
      <c r="Z483" s="14">
        <v>0.89662908081941084</v>
      </c>
      <c r="AA483">
        <v>26</v>
      </c>
      <c r="AC483">
        <v>481</v>
      </c>
      <c r="AD483">
        <v>109.23632600000001</v>
      </c>
      <c r="AE483" s="14">
        <v>0.89968500164858578</v>
      </c>
      <c r="AF483">
        <v>30.155000000000001</v>
      </c>
      <c r="AG483" s="14">
        <v>0.89765725002232599</v>
      </c>
      <c r="AH483">
        <v>26</v>
      </c>
      <c r="AJ483">
        <v>481</v>
      </c>
      <c r="AK483">
        <v>108.243886</v>
      </c>
      <c r="AL483" s="14">
        <v>0.87952687378163419</v>
      </c>
      <c r="AM483">
        <v>29.875</v>
      </c>
      <c r="AN483" s="14">
        <v>0.87389574679693438</v>
      </c>
      <c r="AO483">
        <v>26</v>
      </c>
      <c r="AQ483">
        <v>481</v>
      </c>
      <c r="AR483">
        <v>107.290639</v>
      </c>
      <c r="AS483" s="14">
        <v>0.88058780892902999</v>
      </c>
      <c r="AT483">
        <v>29.646999999999998</v>
      </c>
      <c r="AU483" s="14">
        <v>0.87549833151226997</v>
      </c>
      <c r="AV483">
        <v>26</v>
      </c>
      <c r="AX483">
        <v>481</v>
      </c>
      <c r="AY483">
        <v>109.252672</v>
      </c>
      <c r="AZ483" s="14">
        <v>0.88375983672432801</v>
      </c>
      <c r="BA483">
        <v>30.241</v>
      </c>
      <c r="BB483" s="14">
        <v>0.88104533271180518</v>
      </c>
      <c r="BC483">
        <v>26</v>
      </c>
    </row>
    <row r="484" spans="15:55" x14ac:dyDescent="0.35">
      <c r="O484">
        <v>482</v>
      </c>
      <c r="P484">
        <v>109.58279</v>
      </c>
      <c r="Q484" s="14">
        <v>0.89324191175084267</v>
      </c>
      <c r="R484">
        <v>30.298999999999999</v>
      </c>
      <c r="S484" s="14">
        <v>0.89288029704720939</v>
      </c>
      <c r="T484">
        <v>26</v>
      </c>
      <c r="V484">
        <v>482</v>
      </c>
      <c r="W484">
        <v>110.076108</v>
      </c>
      <c r="X484" s="14">
        <v>0.89805748144760011</v>
      </c>
      <c r="Y484">
        <v>30.373000000000001</v>
      </c>
      <c r="Z484" s="14">
        <v>0.89654052777613791</v>
      </c>
      <c r="AA484">
        <v>26</v>
      </c>
      <c r="AC484">
        <v>482</v>
      </c>
      <c r="AD484">
        <v>109.298829</v>
      </c>
      <c r="AE484" s="14">
        <v>0.90019978472228634</v>
      </c>
      <c r="AF484">
        <v>30.164999999999999</v>
      </c>
      <c r="AG484" s="14">
        <v>0.89795493108683344</v>
      </c>
      <c r="AH484">
        <v>26</v>
      </c>
      <c r="AJ484">
        <v>482</v>
      </c>
      <c r="AK484">
        <v>108.169696</v>
      </c>
      <c r="AL484" s="14">
        <v>0.87892404898314291</v>
      </c>
      <c r="AM484">
        <v>29.858000000000001</v>
      </c>
      <c r="AN484" s="14">
        <v>0.87339846720879899</v>
      </c>
      <c r="AO484">
        <v>26</v>
      </c>
      <c r="AQ484">
        <v>482</v>
      </c>
      <c r="AR484">
        <v>107.243139</v>
      </c>
      <c r="AS484" s="14">
        <v>0.88019795272802326</v>
      </c>
      <c r="AT484">
        <v>29.635999999999999</v>
      </c>
      <c r="AU484" s="14">
        <v>0.87517349319316062</v>
      </c>
      <c r="AV484">
        <v>26</v>
      </c>
      <c r="AX484">
        <v>482</v>
      </c>
      <c r="AY484">
        <v>109.239405</v>
      </c>
      <c r="AZ484" s="14">
        <v>0.8836525181431053</v>
      </c>
      <c r="BA484">
        <v>30.236000000000001</v>
      </c>
      <c r="BB484" s="14">
        <v>0.8808996620440509</v>
      </c>
      <c r="BC484">
        <v>26</v>
      </c>
    </row>
    <row r="485" spans="15:55" x14ac:dyDescent="0.35">
      <c r="O485">
        <v>483</v>
      </c>
      <c r="P485">
        <v>109.59290900000001</v>
      </c>
      <c r="Q485" s="14">
        <v>0.89332439472928316</v>
      </c>
      <c r="R485">
        <v>30.298999999999999</v>
      </c>
      <c r="S485" s="14">
        <v>0.89288029704720939</v>
      </c>
      <c r="T485">
        <v>26</v>
      </c>
      <c r="V485">
        <v>483</v>
      </c>
      <c r="W485">
        <v>110.050785</v>
      </c>
      <c r="X485" s="14">
        <v>0.89785088339452679</v>
      </c>
      <c r="Y485">
        <v>30.367000000000001</v>
      </c>
      <c r="Z485" s="14">
        <v>0.89636342168959204</v>
      </c>
      <c r="AA485">
        <v>26</v>
      </c>
      <c r="AC485">
        <v>483</v>
      </c>
      <c r="AD485">
        <v>109.29825599999999</v>
      </c>
      <c r="AE485" s="14">
        <v>0.9001950654175932</v>
      </c>
      <c r="AF485">
        <v>30.163</v>
      </c>
      <c r="AG485" s="14">
        <v>0.897895394873932</v>
      </c>
      <c r="AH485">
        <v>26</v>
      </c>
      <c r="AJ485">
        <v>483</v>
      </c>
      <c r="AK485">
        <v>108.12070799999999</v>
      </c>
      <c r="AL485" s="14">
        <v>0.87852600098168054</v>
      </c>
      <c r="AM485">
        <v>29.847000000000001</v>
      </c>
      <c r="AN485" s="14">
        <v>0.87307669806353483</v>
      </c>
      <c r="AO485">
        <v>26</v>
      </c>
      <c r="AQ485">
        <v>483</v>
      </c>
      <c r="AR485">
        <v>107.22317099999999</v>
      </c>
      <c r="AS485" s="14">
        <v>0.88003406538861895</v>
      </c>
      <c r="AT485">
        <v>29.629000000000001</v>
      </c>
      <c r="AU485" s="14">
        <v>0.87496677789918209</v>
      </c>
      <c r="AV485">
        <v>26</v>
      </c>
      <c r="AX485">
        <v>483</v>
      </c>
      <c r="AY485">
        <v>109.187057</v>
      </c>
      <c r="AZ485" s="14">
        <v>0.88322906799688961</v>
      </c>
      <c r="BA485">
        <v>30.222999999999999</v>
      </c>
      <c r="BB485" s="14">
        <v>0.88052091830788959</v>
      </c>
      <c r="BC485">
        <v>26</v>
      </c>
    </row>
    <row r="486" spans="15:55" x14ac:dyDescent="0.35">
      <c r="O486">
        <v>484</v>
      </c>
      <c r="P486">
        <v>109.46959699999999</v>
      </c>
      <c r="Q486" s="14">
        <v>0.89231924194368761</v>
      </c>
      <c r="R486">
        <v>30.271999999999998</v>
      </c>
      <c r="S486" s="14">
        <v>0.89208463487947198</v>
      </c>
      <c r="T486">
        <v>26</v>
      </c>
      <c r="V486">
        <v>484</v>
      </c>
      <c r="W486">
        <v>110.005872</v>
      </c>
      <c r="X486" s="14">
        <v>0.89748446004983273</v>
      </c>
      <c r="Y486">
        <v>30.356999999999999</v>
      </c>
      <c r="Z486" s="14">
        <v>0.89606824487868231</v>
      </c>
      <c r="AA486">
        <v>26</v>
      </c>
      <c r="AC486">
        <v>484</v>
      </c>
      <c r="AD486">
        <v>109.277259</v>
      </c>
      <c r="AE486" s="14">
        <v>0.90002213131525433</v>
      </c>
      <c r="AF486">
        <v>30.155999999999999</v>
      </c>
      <c r="AG486" s="14">
        <v>0.89768701812877671</v>
      </c>
      <c r="AH486">
        <v>26</v>
      </c>
      <c r="AJ486">
        <v>484</v>
      </c>
      <c r="AK486">
        <v>108.11319399999999</v>
      </c>
      <c r="AL486" s="14">
        <v>0.87846494658707397</v>
      </c>
      <c r="AM486">
        <v>29.843</v>
      </c>
      <c r="AN486" s="14">
        <v>0.87295969110162053</v>
      </c>
      <c r="AO486">
        <v>26</v>
      </c>
      <c r="AQ486">
        <v>484</v>
      </c>
      <c r="AR486">
        <v>107.22411200000001</v>
      </c>
      <c r="AS486" s="14">
        <v>0.88004178864514837</v>
      </c>
      <c r="AT486">
        <v>29.628</v>
      </c>
      <c r="AU486" s="14">
        <v>0.87493724714289933</v>
      </c>
      <c r="AV486">
        <v>26</v>
      </c>
      <c r="AX486">
        <v>484</v>
      </c>
      <c r="AY486">
        <v>109.15357400000001</v>
      </c>
      <c r="AZ486" s="14">
        <v>0.88295821942109431</v>
      </c>
      <c r="BA486">
        <v>30.215</v>
      </c>
      <c r="BB486" s="14">
        <v>0.88028784523948267</v>
      </c>
      <c r="BC486">
        <v>26</v>
      </c>
    </row>
    <row r="487" spans="15:55" x14ac:dyDescent="0.35">
      <c r="O487">
        <v>485</v>
      </c>
      <c r="P487">
        <v>109.545185</v>
      </c>
      <c r="Q487" s="14">
        <v>0.89293538221193069</v>
      </c>
      <c r="R487">
        <v>30.285</v>
      </c>
      <c r="S487" s="14">
        <v>0.89246773147875291</v>
      </c>
      <c r="T487">
        <v>26</v>
      </c>
      <c r="V487">
        <v>485</v>
      </c>
      <c r="W487">
        <v>109.974765</v>
      </c>
      <c r="X487" s="14">
        <v>0.8972306731510864</v>
      </c>
      <c r="Y487">
        <v>30.347999999999999</v>
      </c>
      <c r="Z487" s="14">
        <v>0.89580258574886351</v>
      </c>
      <c r="AA487">
        <v>26</v>
      </c>
      <c r="AC487">
        <v>485</v>
      </c>
      <c r="AD487">
        <v>109.292925</v>
      </c>
      <c r="AE487" s="14">
        <v>0.90015115858806671</v>
      </c>
      <c r="AF487">
        <v>30.158000000000001</v>
      </c>
      <c r="AG487" s="14">
        <v>0.89774655434167827</v>
      </c>
      <c r="AH487">
        <v>26</v>
      </c>
      <c r="AJ487">
        <v>485</v>
      </c>
      <c r="AK487">
        <v>108.11318</v>
      </c>
      <c r="AL487" s="14">
        <v>0.87846483283121501</v>
      </c>
      <c r="AM487">
        <v>29.838999999999999</v>
      </c>
      <c r="AN487" s="14">
        <v>0.87284268413970623</v>
      </c>
      <c r="AO487">
        <v>26</v>
      </c>
      <c r="AQ487">
        <v>485</v>
      </c>
      <c r="AR487">
        <v>106.984876</v>
      </c>
      <c r="AS487" s="14">
        <v>0.87807825942190509</v>
      </c>
      <c r="AT487">
        <v>29.582000000000001</v>
      </c>
      <c r="AU487" s="14">
        <v>0.87357883235389666</v>
      </c>
      <c r="AV487">
        <v>26</v>
      </c>
      <c r="AX487">
        <v>485</v>
      </c>
      <c r="AY487">
        <v>109.139822</v>
      </c>
      <c r="AZ487" s="14">
        <v>0.88284697760840314</v>
      </c>
      <c r="BA487">
        <v>30.209</v>
      </c>
      <c r="BB487" s="14">
        <v>0.8801130404381774</v>
      </c>
      <c r="BC487">
        <v>26</v>
      </c>
    </row>
    <row r="488" spans="15:55" x14ac:dyDescent="0.35">
      <c r="O488">
        <v>486</v>
      </c>
      <c r="P488">
        <v>109.60470599999999</v>
      </c>
      <c r="Q488" s="14">
        <v>0.89342055558476885</v>
      </c>
      <c r="R488">
        <v>30.295999999999999</v>
      </c>
      <c r="S488" s="14">
        <v>0.89279189013968296</v>
      </c>
      <c r="T488">
        <v>26</v>
      </c>
      <c r="V488">
        <v>486</v>
      </c>
      <c r="W488">
        <v>109.983262</v>
      </c>
      <c r="X488" s="14">
        <v>0.8972999960455682</v>
      </c>
      <c r="Y488">
        <v>30.347999999999999</v>
      </c>
      <c r="Z488" s="14">
        <v>0.89580258574886351</v>
      </c>
      <c r="AA488">
        <v>26</v>
      </c>
      <c r="AC488">
        <v>486</v>
      </c>
      <c r="AD488">
        <v>109.232783</v>
      </c>
      <c r="AE488" s="14">
        <v>0.89965582102637365</v>
      </c>
      <c r="AF488">
        <v>30.143999999999998</v>
      </c>
      <c r="AG488" s="14">
        <v>0.89732980085136771</v>
      </c>
      <c r="AH488">
        <v>26</v>
      </c>
      <c r="AJ488">
        <v>486</v>
      </c>
      <c r="AK488">
        <v>107.77075499999999</v>
      </c>
      <c r="AL488" s="14">
        <v>0.87568248640146207</v>
      </c>
      <c r="AM488">
        <v>29.776</v>
      </c>
      <c r="AN488" s="14">
        <v>0.87099982448955715</v>
      </c>
      <c r="AO488">
        <v>26</v>
      </c>
      <c r="AQ488">
        <v>486</v>
      </c>
      <c r="AR488">
        <v>106.69705</v>
      </c>
      <c r="AS488" s="14">
        <v>0.87571592782377938</v>
      </c>
      <c r="AT488">
        <v>29.526</v>
      </c>
      <c r="AU488" s="14">
        <v>0.87192511000206718</v>
      </c>
      <c r="AV488">
        <v>26</v>
      </c>
      <c r="AX488">
        <v>486</v>
      </c>
      <c r="AY488">
        <v>109.146468</v>
      </c>
      <c r="AZ488" s="14">
        <v>0.88290073801322755</v>
      </c>
      <c r="BA488">
        <v>30.207999999999998</v>
      </c>
      <c r="BB488" s="14">
        <v>0.88008390630462652</v>
      </c>
      <c r="BC488">
        <v>26</v>
      </c>
    </row>
    <row r="489" spans="15:55" x14ac:dyDescent="0.35">
      <c r="O489">
        <v>487</v>
      </c>
      <c r="P489">
        <v>109.557318</v>
      </c>
      <c r="Q489" s="14">
        <v>0.89303428190334455</v>
      </c>
      <c r="R489">
        <v>30.283999999999999</v>
      </c>
      <c r="S489" s="14">
        <v>0.89243826250957747</v>
      </c>
      <c r="T489">
        <v>26</v>
      </c>
      <c r="V489">
        <v>487</v>
      </c>
      <c r="W489">
        <v>109.98777699999999</v>
      </c>
      <c r="X489" s="14">
        <v>0.89733683173682222</v>
      </c>
      <c r="Y489">
        <v>30.347000000000001</v>
      </c>
      <c r="Z489" s="14">
        <v>0.89577306806777268</v>
      </c>
      <c r="AA489">
        <v>26</v>
      </c>
      <c r="AC489">
        <v>487</v>
      </c>
      <c r="AD489">
        <v>109.193589</v>
      </c>
      <c r="AE489" s="14">
        <v>0.89933301399646115</v>
      </c>
      <c r="AF489">
        <v>30.135000000000002</v>
      </c>
      <c r="AG489" s="14">
        <v>0.89706188789331109</v>
      </c>
      <c r="AH489">
        <v>26</v>
      </c>
      <c r="AJ489">
        <v>487</v>
      </c>
      <c r="AK489">
        <v>107.498001</v>
      </c>
      <c r="AL489" s="14">
        <v>0.87346624600400047</v>
      </c>
      <c r="AM489">
        <v>29.722000000000001</v>
      </c>
      <c r="AN489" s="14">
        <v>0.86942023050371497</v>
      </c>
      <c r="AO489">
        <v>26</v>
      </c>
      <c r="AQ489">
        <v>487</v>
      </c>
      <c r="AR489">
        <v>106.60358100000001</v>
      </c>
      <c r="AS489" s="14">
        <v>0.8749487811026867</v>
      </c>
      <c r="AT489">
        <v>29.506</v>
      </c>
      <c r="AU489" s="14">
        <v>0.87133449487641379</v>
      </c>
      <c r="AV489">
        <v>26</v>
      </c>
      <c r="AX489">
        <v>487</v>
      </c>
      <c r="AY489">
        <v>109.135407</v>
      </c>
      <c r="AZ489" s="14">
        <v>0.88281126406833399</v>
      </c>
      <c r="BA489">
        <v>30.202999999999999</v>
      </c>
      <c r="BB489" s="14">
        <v>0.87993823563687223</v>
      </c>
      <c r="BC489">
        <v>26</v>
      </c>
    </row>
    <row r="490" spans="15:55" x14ac:dyDescent="0.35">
      <c r="O490">
        <v>488</v>
      </c>
      <c r="P490">
        <v>109.52524200000001</v>
      </c>
      <c r="Q490" s="14">
        <v>0.89277282088778442</v>
      </c>
      <c r="R490">
        <v>30.276</v>
      </c>
      <c r="S490" s="14">
        <v>0.89220251075617385</v>
      </c>
      <c r="T490">
        <v>26</v>
      </c>
      <c r="V490">
        <v>488</v>
      </c>
      <c r="W490">
        <v>109.960041</v>
      </c>
      <c r="X490" s="14">
        <v>0.89711054718917616</v>
      </c>
      <c r="Y490">
        <v>30.34</v>
      </c>
      <c r="Z490" s="14">
        <v>0.89556644430013577</v>
      </c>
      <c r="AA490">
        <v>26</v>
      </c>
      <c r="AC490">
        <v>488</v>
      </c>
      <c r="AD490">
        <v>109.18243699999999</v>
      </c>
      <c r="AE490" s="14">
        <v>0.89924116463182402</v>
      </c>
      <c r="AF490">
        <v>30.13</v>
      </c>
      <c r="AG490" s="14">
        <v>0.89691304736105726</v>
      </c>
      <c r="AH490">
        <v>26</v>
      </c>
      <c r="AJ490">
        <v>488</v>
      </c>
      <c r="AK490">
        <v>107.39136999999999</v>
      </c>
      <c r="AL490" s="14">
        <v>0.87259982450396101</v>
      </c>
      <c r="AM490">
        <v>29.699000000000002</v>
      </c>
      <c r="AN490" s="14">
        <v>0.86874744047270813</v>
      </c>
      <c r="AO490">
        <v>26</v>
      </c>
      <c r="AQ490">
        <v>488</v>
      </c>
      <c r="AR490">
        <v>106.63480800000001</v>
      </c>
      <c r="AS490" s="14">
        <v>0.87520507667297798</v>
      </c>
      <c r="AT490">
        <v>29.507999999999999</v>
      </c>
      <c r="AU490" s="14">
        <v>0.87139355638897908</v>
      </c>
      <c r="AV490">
        <v>26</v>
      </c>
      <c r="AX490">
        <v>488</v>
      </c>
      <c r="AY490">
        <v>109.08346400000001</v>
      </c>
      <c r="AZ490" s="14">
        <v>0.88239109002262306</v>
      </c>
      <c r="BA490">
        <v>30.190999999999999</v>
      </c>
      <c r="BB490" s="14">
        <v>0.8795886260342618</v>
      </c>
      <c r="BC490">
        <v>26</v>
      </c>
    </row>
    <row r="491" spans="15:55" x14ac:dyDescent="0.35">
      <c r="O491">
        <v>489</v>
      </c>
      <c r="P491">
        <v>109.48591500000001</v>
      </c>
      <c r="Q491" s="14">
        <v>0.89245225481474111</v>
      </c>
      <c r="R491">
        <v>30.265999999999998</v>
      </c>
      <c r="S491" s="14">
        <v>0.89190782106441913</v>
      </c>
      <c r="T491">
        <v>26</v>
      </c>
      <c r="V491">
        <v>489</v>
      </c>
      <c r="W491">
        <v>109.91108</v>
      </c>
      <c r="X491" s="14">
        <v>0.89671109817932237</v>
      </c>
      <c r="Y491">
        <v>30.327999999999999</v>
      </c>
      <c r="Z491" s="14">
        <v>0.89521223212704404</v>
      </c>
      <c r="AA491">
        <v>26</v>
      </c>
      <c r="AC491">
        <v>489</v>
      </c>
      <c r="AD491">
        <v>109.205196</v>
      </c>
      <c r="AE491" s="14">
        <v>0.89942861080199754</v>
      </c>
      <c r="AF491">
        <v>30.132999999999999</v>
      </c>
      <c r="AG491" s="14">
        <v>0.89700235168040954</v>
      </c>
      <c r="AH491">
        <v>26</v>
      </c>
      <c r="AJ491">
        <v>489</v>
      </c>
      <c r="AK491">
        <v>107.516947</v>
      </c>
      <c r="AL491" s="14">
        <v>0.87362019018289538</v>
      </c>
      <c r="AM491">
        <v>29.719000000000001</v>
      </c>
      <c r="AN491" s="14">
        <v>0.8693324752822793</v>
      </c>
      <c r="AO491">
        <v>26</v>
      </c>
      <c r="AQ491">
        <v>489</v>
      </c>
      <c r="AR491">
        <v>106.787049</v>
      </c>
      <c r="AS491" s="14">
        <v>0.87645459452345098</v>
      </c>
      <c r="AT491">
        <v>29.533999999999999</v>
      </c>
      <c r="AU491" s="14">
        <v>0.87216135605232847</v>
      </c>
      <c r="AV491">
        <v>26</v>
      </c>
      <c r="AX491">
        <v>489</v>
      </c>
      <c r="AY491">
        <v>109.05296</v>
      </c>
      <c r="AZ491" s="14">
        <v>0.88214433898609512</v>
      </c>
      <c r="BA491">
        <v>30.183</v>
      </c>
      <c r="BB491" s="14">
        <v>0.87935555296585488</v>
      </c>
      <c r="BC491">
        <v>26</v>
      </c>
    </row>
    <row r="492" spans="15:55" x14ac:dyDescent="0.35">
      <c r="O492">
        <v>490</v>
      </c>
      <c r="P492">
        <v>109.52009200000001</v>
      </c>
      <c r="Q492" s="14">
        <v>0.89273084170614914</v>
      </c>
      <c r="R492">
        <v>30.271000000000001</v>
      </c>
      <c r="S492" s="14">
        <v>0.89205516591029654</v>
      </c>
      <c r="T492">
        <v>26</v>
      </c>
      <c r="V492">
        <v>490</v>
      </c>
      <c r="W492">
        <v>109.88604100000001</v>
      </c>
      <c r="X492" s="14">
        <v>0.89650681714425928</v>
      </c>
      <c r="Y492">
        <v>30.321000000000002</v>
      </c>
      <c r="Z492" s="14">
        <v>0.89500560835940735</v>
      </c>
      <c r="AA492">
        <v>26</v>
      </c>
      <c r="AC492">
        <v>490</v>
      </c>
      <c r="AD492">
        <v>109.207964</v>
      </c>
      <c r="AE492" s="14">
        <v>0.89945140842047999</v>
      </c>
      <c r="AF492">
        <v>30.131</v>
      </c>
      <c r="AG492" s="14">
        <v>0.89694281546750798</v>
      </c>
      <c r="AH492">
        <v>26</v>
      </c>
      <c r="AJ492">
        <v>490</v>
      </c>
      <c r="AK492">
        <v>107.650897</v>
      </c>
      <c r="AL492" s="14">
        <v>0.87470858999092749</v>
      </c>
      <c r="AM492">
        <v>29.741</v>
      </c>
      <c r="AN492" s="14">
        <v>0.86997601357280763</v>
      </c>
      <c r="AO492">
        <v>26</v>
      </c>
      <c r="AQ492">
        <v>490</v>
      </c>
      <c r="AR492">
        <v>106.82875300000001</v>
      </c>
      <c r="AS492" s="14">
        <v>0.8767968800604361</v>
      </c>
      <c r="AT492">
        <v>29.539000000000001</v>
      </c>
      <c r="AU492" s="14">
        <v>0.87230900983374193</v>
      </c>
      <c r="AV492">
        <v>26</v>
      </c>
      <c r="AX492">
        <v>490</v>
      </c>
      <c r="AY492">
        <v>109.034299</v>
      </c>
      <c r="AZ492" s="14">
        <v>0.88199338759963286</v>
      </c>
      <c r="BA492">
        <v>30.177</v>
      </c>
      <c r="BB492" s="14">
        <v>0.87918074816454961</v>
      </c>
      <c r="BC492">
        <v>26</v>
      </c>
    </row>
    <row r="493" spans="15:55" x14ac:dyDescent="0.35">
      <c r="O493">
        <v>491</v>
      </c>
      <c r="P493">
        <v>109.52744</v>
      </c>
      <c r="Q493" s="14">
        <v>0.89279073743948034</v>
      </c>
      <c r="R493">
        <v>30.271000000000001</v>
      </c>
      <c r="S493" s="14">
        <v>0.89205516591029654</v>
      </c>
      <c r="T493">
        <v>26</v>
      </c>
      <c r="V493">
        <v>491</v>
      </c>
      <c r="W493">
        <v>109.888538</v>
      </c>
      <c r="X493" s="14">
        <v>0.89652718895401806</v>
      </c>
      <c r="Y493">
        <v>30.32</v>
      </c>
      <c r="Z493" s="14">
        <v>0.89497609067831629</v>
      </c>
      <c r="AA493">
        <v>26</v>
      </c>
      <c r="AC493">
        <v>491</v>
      </c>
      <c r="AD493">
        <v>109.13749900000001</v>
      </c>
      <c r="AE493" s="14">
        <v>0.89887104924910721</v>
      </c>
      <c r="AF493">
        <v>30.114999999999998</v>
      </c>
      <c r="AG493" s="14">
        <v>0.89646652576429597</v>
      </c>
      <c r="AH493">
        <v>26</v>
      </c>
      <c r="AJ493">
        <v>491</v>
      </c>
      <c r="AK493">
        <v>107.69355</v>
      </c>
      <c r="AL493" s="14">
        <v>0.87505516346619439</v>
      </c>
      <c r="AM493">
        <v>29.747</v>
      </c>
      <c r="AN493" s="14">
        <v>0.87015152401567897</v>
      </c>
      <c r="AO493">
        <v>26</v>
      </c>
      <c r="AQ493">
        <v>491</v>
      </c>
      <c r="AR493">
        <v>106.797527</v>
      </c>
      <c r="AS493" s="14">
        <v>0.87654059269764373</v>
      </c>
      <c r="AT493">
        <v>29.532</v>
      </c>
      <c r="AU493" s="14">
        <v>0.87210229453976318</v>
      </c>
      <c r="AV493">
        <v>26</v>
      </c>
      <c r="AX493">
        <v>491</v>
      </c>
      <c r="AY493">
        <v>109.03345400000001</v>
      </c>
      <c r="AZ493" s="14">
        <v>0.88198655227882683</v>
      </c>
      <c r="BA493">
        <v>30.173999999999999</v>
      </c>
      <c r="BB493" s="14">
        <v>0.87909334576389697</v>
      </c>
      <c r="BC493">
        <v>26</v>
      </c>
    </row>
    <row r="494" spans="15:55" x14ac:dyDescent="0.35">
      <c r="O494">
        <v>492</v>
      </c>
      <c r="P494">
        <v>109.51197500000001</v>
      </c>
      <c r="Q494" s="14">
        <v>0.89266467762511337</v>
      </c>
      <c r="R494">
        <v>30.266999999999999</v>
      </c>
      <c r="S494" s="14">
        <v>0.89193729003359468</v>
      </c>
      <c r="T494">
        <v>26</v>
      </c>
      <c r="V494">
        <v>492</v>
      </c>
      <c r="W494">
        <v>109.888684</v>
      </c>
      <c r="X494" s="14">
        <v>0.89652838009707969</v>
      </c>
      <c r="Y494">
        <v>30.318000000000001</v>
      </c>
      <c r="Z494" s="14">
        <v>0.89491705531613441</v>
      </c>
      <c r="AA494">
        <v>26</v>
      </c>
      <c r="AC494">
        <v>492</v>
      </c>
      <c r="AD494">
        <v>109.11391399999999</v>
      </c>
      <c r="AE494" s="14">
        <v>0.89867680003237782</v>
      </c>
      <c r="AF494">
        <v>30.109000000000002</v>
      </c>
      <c r="AG494" s="14">
        <v>0.89628791712559164</v>
      </c>
      <c r="AH494">
        <v>26</v>
      </c>
      <c r="AJ494">
        <v>492</v>
      </c>
      <c r="AK494">
        <v>107.64628500000001</v>
      </c>
      <c r="AL494" s="14">
        <v>0.87467111556080701</v>
      </c>
      <c r="AM494">
        <v>29.736000000000001</v>
      </c>
      <c r="AN494" s="14">
        <v>0.86982975487041481</v>
      </c>
      <c r="AO494">
        <v>26</v>
      </c>
      <c r="AQ494">
        <v>492</v>
      </c>
      <c r="AR494">
        <v>106.799581</v>
      </c>
      <c r="AS494" s="14">
        <v>0.87655745090052517</v>
      </c>
      <c r="AT494">
        <v>29.529</v>
      </c>
      <c r="AU494" s="14">
        <v>0.87201370227091513</v>
      </c>
      <c r="AV494">
        <v>26</v>
      </c>
      <c r="AX494">
        <v>492</v>
      </c>
      <c r="AY494">
        <v>108.96205</v>
      </c>
      <c r="AZ494" s="14">
        <v>0.88140895553701482</v>
      </c>
      <c r="BA494">
        <v>30.16</v>
      </c>
      <c r="BB494" s="14">
        <v>0.87868546789418489</v>
      </c>
      <c r="BC494">
        <v>26</v>
      </c>
    </row>
    <row r="495" spans="15:55" x14ac:dyDescent="0.35">
      <c r="O495">
        <v>493</v>
      </c>
      <c r="P495">
        <v>109.48713600000001</v>
      </c>
      <c r="Q495" s="14">
        <v>0.89246220754887262</v>
      </c>
      <c r="R495">
        <v>30.26</v>
      </c>
      <c r="S495" s="14">
        <v>0.89173100724936649</v>
      </c>
      <c r="T495">
        <v>26</v>
      </c>
      <c r="V495">
        <v>493</v>
      </c>
      <c r="W495">
        <v>109.770436</v>
      </c>
      <c r="X495" s="14">
        <v>0.89556365211935895</v>
      </c>
      <c r="Y495">
        <v>30.295000000000002</v>
      </c>
      <c r="Z495" s="14">
        <v>0.89423814865104201</v>
      </c>
      <c r="AA495">
        <v>26</v>
      </c>
      <c r="AC495">
        <v>493</v>
      </c>
      <c r="AD495">
        <v>109.08121800000001</v>
      </c>
      <c r="AE495" s="14">
        <v>0.89840751140018882</v>
      </c>
      <c r="AF495">
        <v>30.102</v>
      </c>
      <c r="AG495" s="14">
        <v>0.89607954038043636</v>
      </c>
      <c r="AH495">
        <v>26</v>
      </c>
      <c r="AJ495">
        <v>493</v>
      </c>
      <c r="AK495">
        <v>107.67376</v>
      </c>
      <c r="AL495" s="14">
        <v>0.87489436143408572</v>
      </c>
      <c r="AM495">
        <v>29.738</v>
      </c>
      <c r="AN495" s="14">
        <v>0.86988825835137185</v>
      </c>
      <c r="AO495">
        <v>26</v>
      </c>
      <c r="AQ495">
        <v>493</v>
      </c>
      <c r="AR495">
        <v>106.77058599999999</v>
      </c>
      <c r="AS495" s="14">
        <v>0.87631947446793157</v>
      </c>
      <c r="AT495">
        <v>29.521000000000001</v>
      </c>
      <c r="AU495" s="14">
        <v>0.87177745622065383</v>
      </c>
      <c r="AV495">
        <v>26</v>
      </c>
      <c r="AX495">
        <v>493</v>
      </c>
      <c r="AY495">
        <v>108.938671</v>
      </c>
      <c r="AZ495" s="14">
        <v>0.88121983960195749</v>
      </c>
      <c r="BA495">
        <v>30.151</v>
      </c>
      <c r="BB495" s="14">
        <v>0.87842326069222709</v>
      </c>
      <c r="BC495">
        <v>26</v>
      </c>
    </row>
    <row r="496" spans="15:55" x14ac:dyDescent="0.35">
      <c r="O496">
        <v>494</v>
      </c>
      <c r="P496">
        <v>109.470984</v>
      </c>
      <c r="Q496" s="14">
        <v>0.89233054779318832</v>
      </c>
      <c r="R496">
        <v>30.254999999999999</v>
      </c>
      <c r="S496" s="14">
        <v>0.89158366240348919</v>
      </c>
      <c r="T496">
        <v>26</v>
      </c>
      <c r="V496">
        <v>494</v>
      </c>
      <c r="W496">
        <v>109.863314</v>
      </c>
      <c r="X496" s="14">
        <v>0.89632139859384263</v>
      </c>
      <c r="Y496">
        <v>30.309000000000001</v>
      </c>
      <c r="Z496" s="14">
        <v>0.89465139618631562</v>
      </c>
      <c r="AA496">
        <v>26</v>
      </c>
      <c r="AC496">
        <v>494</v>
      </c>
      <c r="AD496">
        <v>109.117107</v>
      </c>
      <c r="AE496" s="14">
        <v>0.89870309800774439</v>
      </c>
      <c r="AF496">
        <v>30.106000000000002</v>
      </c>
      <c r="AG496" s="14">
        <v>0.89619861280623936</v>
      </c>
      <c r="AH496">
        <v>26</v>
      </c>
      <c r="AJ496">
        <v>494</v>
      </c>
      <c r="AK496">
        <v>107.61446100000001</v>
      </c>
      <c r="AL496" s="14">
        <v>0.87441253224247317</v>
      </c>
      <c r="AM496">
        <v>29.725000000000001</v>
      </c>
      <c r="AN496" s="14">
        <v>0.86950798572515064</v>
      </c>
      <c r="AO496">
        <v>26</v>
      </c>
      <c r="AQ496">
        <v>494</v>
      </c>
      <c r="AR496">
        <v>106.71532500000001</v>
      </c>
      <c r="AS496" s="14">
        <v>0.8758659198674299</v>
      </c>
      <c r="AT496">
        <v>29.509</v>
      </c>
      <c r="AU496" s="14">
        <v>0.87142308714526184</v>
      </c>
      <c r="AV496">
        <v>26</v>
      </c>
      <c r="AX496">
        <v>494</v>
      </c>
      <c r="AY496">
        <v>109.01437300000001</v>
      </c>
      <c r="AZ496" s="14">
        <v>0.88183220345480418</v>
      </c>
      <c r="BA496">
        <v>30.161999999999999</v>
      </c>
      <c r="BB496" s="14">
        <v>0.87874373616128654</v>
      </c>
      <c r="BC496">
        <v>26</v>
      </c>
    </row>
    <row r="497" spans="15:55" x14ac:dyDescent="0.35">
      <c r="O497">
        <v>495</v>
      </c>
      <c r="P497">
        <v>109.439868</v>
      </c>
      <c r="Q497" s="14">
        <v>0.89207691202313677</v>
      </c>
      <c r="R497">
        <v>30.247</v>
      </c>
      <c r="S497" s="14">
        <v>0.89134791065008556</v>
      </c>
      <c r="T497">
        <v>26</v>
      </c>
      <c r="V497">
        <v>495</v>
      </c>
      <c r="W497">
        <v>109.907295</v>
      </c>
      <c r="X497" s="14">
        <v>0.89668021820337629</v>
      </c>
      <c r="Y497">
        <v>30.315999999999999</v>
      </c>
      <c r="Z497" s="14">
        <v>0.89485801995395242</v>
      </c>
      <c r="AA497">
        <v>26</v>
      </c>
      <c r="AC497">
        <v>495</v>
      </c>
      <c r="AD497">
        <v>109.081087</v>
      </c>
      <c r="AE497" s="14">
        <v>0.89840643246665508</v>
      </c>
      <c r="AF497">
        <v>30.094999999999999</v>
      </c>
      <c r="AG497" s="14">
        <v>0.89587116363528108</v>
      </c>
      <c r="AH497">
        <v>26</v>
      </c>
      <c r="AJ497">
        <v>495</v>
      </c>
      <c r="AK497">
        <v>107.559623</v>
      </c>
      <c r="AL497" s="14">
        <v>0.87396695054278772</v>
      </c>
      <c r="AM497">
        <v>29.712</v>
      </c>
      <c r="AN497" s="14">
        <v>0.86912771309892933</v>
      </c>
      <c r="AO497">
        <v>26</v>
      </c>
      <c r="AQ497">
        <v>495</v>
      </c>
      <c r="AR497">
        <v>106.676889</v>
      </c>
      <c r="AS497" s="14">
        <v>0.87555045643707408</v>
      </c>
      <c r="AT497">
        <v>29.498999999999999</v>
      </c>
      <c r="AU497" s="14">
        <v>0.87112777958243504</v>
      </c>
      <c r="AV497">
        <v>26</v>
      </c>
      <c r="AX497">
        <v>495</v>
      </c>
      <c r="AY497">
        <v>108.979798</v>
      </c>
      <c r="AZ497" s="14">
        <v>0.88155252154135177</v>
      </c>
      <c r="BA497">
        <v>30.154</v>
      </c>
      <c r="BB497" s="14">
        <v>0.87851066309287962</v>
      </c>
      <c r="BC497">
        <v>26</v>
      </c>
    </row>
    <row r="498" spans="15:55" x14ac:dyDescent="0.35">
      <c r="O498">
        <v>496</v>
      </c>
      <c r="P498">
        <v>109.433728</v>
      </c>
      <c r="Q498" s="14">
        <v>0.89202686305707057</v>
      </c>
      <c r="R498">
        <v>30.244</v>
      </c>
      <c r="S498" s="14">
        <v>0.89125950374255913</v>
      </c>
      <c r="T498">
        <v>26</v>
      </c>
      <c r="V498">
        <v>496</v>
      </c>
      <c r="W498">
        <v>109.86077</v>
      </c>
      <c r="X498" s="14">
        <v>0.89630064333392012</v>
      </c>
      <c r="Y498">
        <v>30.303999999999998</v>
      </c>
      <c r="Z498" s="14">
        <v>0.89450380778086069</v>
      </c>
      <c r="AA498">
        <v>26</v>
      </c>
      <c r="AC498">
        <v>496</v>
      </c>
      <c r="AD498">
        <v>108.95464699999999</v>
      </c>
      <c r="AE498" s="14">
        <v>0.89736505570332048</v>
      </c>
      <c r="AF498">
        <v>30.074000000000002</v>
      </c>
      <c r="AG498" s="14">
        <v>0.89524603339981534</v>
      </c>
      <c r="AH498">
        <v>26</v>
      </c>
      <c r="AJ498">
        <v>496</v>
      </c>
      <c r="AK498">
        <v>107.51528399999999</v>
      </c>
      <c r="AL498" s="14">
        <v>0.87360667761193034</v>
      </c>
      <c r="AM498">
        <v>29.702000000000002</v>
      </c>
      <c r="AN498" s="14">
        <v>0.8688351956941438</v>
      </c>
      <c r="AO498">
        <v>26</v>
      </c>
      <c r="AQ498">
        <v>496</v>
      </c>
      <c r="AR498">
        <v>106.682864</v>
      </c>
      <c r="AS498" s="14">
        <v>0.87559949624341127</v>
      </c>
      <c r="AT498">
        <v>29.497</v>
      </c>
      <c r="AU498" s="14">
        <v>0.87106871806986974</v>
      </c>
      <c r="AV498">
        <v>26</v>
      </c>
      <c r="AX498">
        <v>496</v>
      </c>
      <c r="AY498">
        <v>108.92866600000001</v>
      </c>
      <c r="AZ498" s="14">
        <v>0.88113890778578718</v>
      </c>
      <c r="BA498">
        <v>30.141999999999999</v>
      </c>
      <c r="BB498" s="14">
        <v>0.87816105349026918</v>
      </c>
      <c r="BC498">
        <v>26</v>
      </c>
    </row>
    <row r="499" spans="15:55" x14ac:dyDescent="0.35">
      <c r="O499">
        <v>497</v>
      </c>
      <c r="P499">
        <v>109.402985</v>
      </c>
      <c r="Q499" s="14">
        <v>0.8917762677209512</v>
      </c>
      <c r="R499">
        <v>30.236000000000001</v>
      </c>
      <c r="S499" s="14">
        <v>0.89102375198915551</v>
      </c>
      <c r="T499">
        <v>26</v>
      </c>
      <c r="V499">
        <v>497</v>
      </c>
      <c r="W499">
        <v>109.82527899999999</v>
      </c>
      <c r="X499" s="14">
        <v>0.89601108950926933</v>
      </c>
      <c r="Y499">
        <v>30.297000000000001</v>
      </c>
      <c r="Z499" s="14">
        <v>0.89429718401322389</v>
      </c>
      <c r="AA499">
        <v>26</v>
      </c>
      <c r="AC499">
        <v>497</v>
      </c>
      <c r="AD499">
        <v>109.16807900000001</v>
      </c>
      <c r="AE499" s="14">
        <v>0.8991229102220808</v>
      </c>
      <c r="AF499">
        <v>30.109000000000002</v>
      </c>
      <c r="AG499" s="14">
        <v>0.89628791712559164</v>
      </c>
      <c r="AH499">
        <v>26</v>
      </c>
      <c r="AJ499">
        <v>497</v>
      </c>
      <c r="AK499">
        <v>107.54277399999999</v>
      </c>
      <c r="AL499" s="14">
        <v>0.87383004536648656</v>
      </c>
      <c r="AM499">
        <v>29.704000000000001</v>
      </c>
      <c r="AN499" s="14">
        <v>0.86889369917510095</v>
      </c>
      <c r="AO499">
        <v>26</v>
      </c>
      <c r="AQ499">
        <v>497</v>
      </c>
      <c r="AR499">
        <v>106.684335</v>
      </c>
      <c r="AS499" s="14">
        <v>0.875611569474394</v>
      </c>
      <c r="AT499">
        <v>29.495999999999999</v>
      </c>
      <c r="AU499" s="14">
        <v>0.87103918731358709</v>
      </c>
      <c r="AV499">
        <v>26</v>
      </c>
      <c r="AX499">
        <v>497</v>
      </c>
      <c r="AY499">
        <v>108.903353</v>
      </c>
      <c r="AZ499" s="14">
        <v>0.88093414745967813</v>
      </c>
      <c r="BA499">
        <v>30.135000000000002</v>
      </c>
      <c r="BB499" s="14">
        <v>0.87795711455541325</v>
      </c>
      <c r="BC499">
        <v>26</v>
      </c>
    </row>
    <row r="500" spans="15:55" x14ac:dyDescent="0.35">
      <c r="O500">
        <v>498</v>
      </c>
      <c r="P500">
        <v>109.373501</v>
      </c>
      <c r="Q500" s="14">
        <v>0.89153593486826455</v>
      </c>
      <c r="R500">
        <v>30.228999999999999</v>
      </c>
      <c r="S500" s="14">
        <v>0.89081746920492721</v>
      </c>
      <c r="T500">
        <v>26</v>
      </c>
      <c r="V500">
        <v>498</v>
      </c>
      <c r="W500">
        <v>109.792625</v>
      </c>
      <c r="X500" s="14">
        <v>0.89574468138917862</v>
      </c>
      <c r="Y500">
        <v>30.286999999999999</v>
      </c>
      <c r="Z500" s="14">
        <v>0.89400200720231415</v>
      </c>
      <c r="AA500">
        <v>26</v>
      </c>
      <c r="AC500">
        <v>498</v>
      </c>
      <c r="AD500">
        <v>109.13132899999999</v>
      </c>
      <c r="AE500" s="14">
        <v>0.89882023230328478</v>
      </c>
      <c r="AF500">
        <v>30.1</v>
      </c>
      <c r="AG500" s="14">
        <v>0.8960200041675348</v>
      </c>
      <c r="AH500">
        <v>26</v>
      </c>
      <c r="AJ500">
        <v>498</v>
      </c>
      <c r="AK500">
        <v>107.543027</v>
      </c>
      <c r="AL500" s="14">
        <v>0.87383210109736698</v>
      </c>
      <c r="AM500">
        <v>29.699000000000002</v>
      </c>
      <c r="AN500" s="14">
        <v>0.86874744047270813</v>
      </c>
      <c r="AO500">
        <v>26</v>
      </c>
      <c r="AQ500">
        <v>498</v>
      </c>
      <c r="AR500">
        <v>106.679528</v>
      </c>
      <c r="AS500" s="14">
        <v>0.87557211602685214</v>
      </c>
      <c r="AT500">
        <v>29.49</v>
      </c>
      <c r="AU500" s="14">
        <v>0.8708620027758911</v>
      </c>
      <c r="AV500">
        <v>26</v>
      </c>
      <c r="AX500">
        <v>498</v>
      </c>
      <c r="AY500">
        <v>108.894176</v>
      </c>
      <c r="AZ500" s="14">
        <v>0.88085991344898396</v>
      </c>
      <c r="BA500">
        <v>30.129000000000001</v>
      </c>
      <c r="BB500" s="14">
        <v>0.87778230975410798</v>
      </c>
      <c r="BC500">
        <v>26</v>
      </c>
    </row>
    <row r="501" spans="15:55" x14ac:dyDescent="0.35">
      <c r="V501">
        <v>499</v>
      </c>
      <c r="W501">
        <v>109.82632700000001</v>
      </c>
      <c r="X501" s="14">
        <v>0.89601963963206777</v>
      </c>
      <c r="Y501">
        <v>30.292000000000002</v>
      </c>
      <c r="Z501" s="14">
        <v>0.89414959560776908</v>
      </c>
      <c r="AA501">
        <v>26</v>
      </c>
      <c r="AC501">
        <v>499</v>
      </c>
      <c r="AD501">
        <v>109.097579</v>
      </c>
      <c r="AE501" s="14">
        <v>0.89854226278602334</v>
      </c>
      <c r="AF501">
        <v>30.091000000000001</v>
      </c>
      <c r="AG501" s="14">
        <v>0.89575209120947807</v>
      </c>
      <c r="AH501">
        <v>26</v>
      </c>
      <c r="AJ501">
        <v>499</v>
      </c>
      <c r="AK501">
        <v>107.528716</v>
      </c>
      <c r="AL501" s="14">
        <v>0.8737158182332182</v>
      </c>
      <c r="AM501">
        <v>29.696000000000002</v>
      </c>
      <c r="AN501" s="14">
        <v>0.86865968525127246</v>
      </c>
      <c r="AO501">
        <v>26</v>
      </c>
      <c r="AQ501">
        <v>499</v>
      </c>
      <c r="AR501">
        <v>106.615284</v>
      </c>
      <c r="AS501" s="14">
        <v>0.87504483346311579</v>
      </c>
      <c r="AT501">
        <v>29.478000000000002</v>
      </c>
      <c r="AU501" s="14">
        <v>0.87050763370049911</v>
      </c>
      <c r="AV501">
        <v>26</v>
      </c>
      <c r="AX501">
        <v>499</v>
      </c>
      <c r="AY501">
        <v>108.90063000000001</v>
      </c>
      <c r="AZ501" s="14">
        <v>0.8809121207394951</v>
      </c>
      <c r="BA501">
        <v>30.128</v>
      </c>
      <c r="BB501" s="14">
        <v>0.8777531756205571</v>
      </c>
      <c r="BC501">
        <v>26</v>
      </c>
    </row>
    <row r="502" spans="15:55" x14ac:dyDescent="0.35">
      <c r="V502">
        <v>500</v>
      </c>
      <c r="W502">
        <v>109.831464</v>
      </c>
      <c r="X502" s="14">
        <v>0.89606154991910469</v>
      </c>
      <c r="Y502">
        <v>30.291</v>
      </c>
      <c r="Z502" s="14">
        <v>0.89412007792667814</v>
      </c>
      <c r="AA502">
        <v>26</v>
      </c>
      <c r="AC502">
        <v>500</v>
      </c>
      <c r="AD502">
        <v>109.068335</v>
      </c>
      <c r="AE502" s="14">
        <v>0.89830140528786651</v>
      </c>
      <c r="AF502">
        <v>30.085000000000001</v>
      </c>
      <c r="AG502" s="14">
        <v>0.89557348257077363</v>
      </c>
      <c r="AH502">
        <v>26</v>
      </c>
      <c r="AJ502">
        <v>500</v>
      </c>
      <c r="AK502">
        <v>107.466233</v>
      </c>
      <c r="AL502" s="14">
        <v>0.87320811770910267</v>
      </c>
      <c r="AM502">
        <v>29.681000000000001</v>
      </c>
      <c r="AN502" s="14">
        <v>0.86822090914409411</v>
      </c>
      <c r="AO502">
        <v>26</v>
      </c>
      <c r="AQ502">
        <v>500</v>
      </c>
      <c r="AR502">
        <v>106.59668600000001</v>
      </c>
      <c r="AS502" s="14">
        <v>0.87489219039729837</v>
      </c>
      <c r="AT502">
        <v>29.471</v>
      </c>
      <c r="AU502" s="14">
        <v>0.87030091840652035</v>
      </c>
      <c r="AV502">
        <v>26</v>
      </c>
      <c r="AX502">
        <v>500</v>
      </c>
      <c r="AY502">
        <v>108.886154</v>
      </c>
      <c r="AZ502" s="14">
        <v>0.88079502239158081</v>
      </c>
      <c r="BA502">
        <v>30.123999999999999</v>
      </c>
      <c r="BB502" s="14">
        <v>0.87763663908635359</v>
      </c>
      <c r="BC502">
        <v>26</v>
      </c>
    </row>
    <row r="503" spans="15:55" x14ac:dyDescent="0.35">
      <c r="V503">
        <v>501</v>
      </c>
      <c r="W503">
        <v>109.81654</v>
      </c>
      <c r="X503" s="14">
        <v>0.89593979225437037</v>
      </c>
      <c r="Y503">
        <v>30.286000000000001</v>
      </c>
      <c r="Z503" s="14">
        <v>0.89397248952122321</v>
      </c>
      <c r="AA503">
        <v>26</v>
      </c>
      <c r="AC503">
        <v>501</v>
      </c>
      <c r="AD503">
        <v>109.04523500000001</v>
      </c>
      <c r="AE503" s="14">
        <v>0.89811115059605195</v>
      </c>
      <c r="AF503">
        <v>30.077999999999999</v>
      </c>
      <c r="AG503" s="14">
        <v>0.89536510582561835</v>
      </c>
      <c r="AH503">
        <v>26</v>
      </c>
      <c r="AJ503">
        <v>501</v>
      </c>
      <c r="AK503">
        <v>107.445818</v>
      </c>
      <c r="AL503" s="14">
        <v>0.87304223729043173</v>
      </c>
      <c r="AM503">
        <v>29.675999999999998</v>
      </c>
      <c r="AN503" s="14">
        <v>0.86807465044170129</v>
      </c>
      <c r="AO503">
        <v>26</v>
      </c>
      <c r="AQ503">
        <v>501</v>
      </c>
      <c r="AR503">
        <v>106.570973</v>
      </c>
      <c r="AS503" s="14">
        <v>0.87468115097631971</v>
      </c>
      <c r="AT503">
        <v>29.463999999999999</v>
      </c>
      <c r="AU503" s="14">
        <v>0.87009420311254171</v>
      </c>
      <c r="AV503">
        <v>26</v>
      </c>
      <c r="AX503">
        <v>501</v>
      </c>
      <c r="AY503">
        <v>108.86005400000001</v>
      </c>
      <c r="AZ503" s="14">
        <v>0.88058389591461461</v>
      </c>
      <c r="BA503">
        <v>30.116</v>
      </c>
      <c r="BB503" s="14">
        <v>0.87740356601794667</v>
      </c>
      <c r="BC503">
        <v>26</v>
      </c>
    </row>
    <row r="504" spans="15:55" x14ac:dyDescent="0.35">
      <c r="V504">
        <v>502</v>
      </c>
      <c r="W504">
        <v>109.789822</v>
      </c>
      <c r="X504" s="14">
        <v>0.89572181307409893</v>
      </c>
      <c r="Y504">
        <v>30.279</v>
      </c>
      <c r="Z504" s="14">
        <v>0.89376586575358641</v>
      </c>
      <c r="AA504">
        <v>26</v>
      </c>
      <c r="AC504">
        <v>502</v>
      </c>
      <c r="AD504">
        <v>109.08783099999999</v>
      </c>
      <c r="AE504" s="14">
        <v>0.89846197695330432</v>
      </c>
      <c r="AF504">
        <v>30.082999999999998</v>
      </c>
      <c r="AG504" s="14">
        <v>0.89551394635787207</v>
      </c>
      <c r="AH504">
        <v>26</v>
      </c>
      <c r="AJ504">
        <v>502</v>
      </c>
      <c r="AK504">
        <v>107.448756</v>
      </c>
      <c r="AL504" s="14">
        <v>0.87306610976998378</v>
      </c>
      <c r="AM504">
        <v>29.672000000000001</v>
      </c>
      <c r="AN504" s="14">
        <v>0.8679576434797871</v>
      </c>
      <c r="AO504">
        <v>26</v>
      </c>
      <c r="AQ504">
        <v>502</v>
      </c>
      <c r="AR504">
        <v>106.573981</v>
      </c>
      <c r="AS504" s="14">
        <v>0.8747058391332172</v>
      </c>
      <c r="AT504">
        <v>29.462</v>
      </c>
      <c r="AU504" s="14">
        <v>0.87003514159997641</v>
      </c>
      <c r="AV504">
        <v>26</v>
      </c>
      <c r="AX504">
        <v>502</v>
      </c>
      <c r="AY504">
        <v>108.830341</v>
      </c>
      <c r="AZ504" s="14">
        <v>0.88034354338549203</v>
      </c>
      <c r="BA504">
        <v>30.106999999999999</v>
      </c>
      <c r="BB504" s="14">
        <v>0.87714135881598887</v>
      </c>
      <c r="BC504">
        <v>26</v>
      </c>
    </row>
    <row r="505" spans="15:55" x14ac:dyDescent="0.35">
      <c r="V505">
        <v>503</v>
      </c>
      <c r="W505">
        <v>109.77172</v>
      </c>
      <c r="X505" s="14">
        <v>0.89557412765148958</v>
      </c>
      <c r="Y505">
        <v>30.273</v>
      </c>
      <c r="Z505" s="14">
        <v>0.89358875966704054</v>
      </c>
      <c r="AA505">
        <v>26</v>
      </c>
      <c r="AC505">
        <v>503</v>
      </c>
      <c r="AD505">
        <v>109.08266</v>
      </c>
      <c r="AE505" s="14">
        <v>0.89841938790519305</v>
      </c>
      <c r="AF505">
        <v>30.08</v>
      </c>
      <c r="AG505" s="14">
        <v>0.89542464203851979</v>
      </c>
      <c r="AH505">
        <v>26</v>
      </c>
      <c r="AJ505">
        <v>503</v>
      </c>
      <c r="AK505">
        <v>107.433697</v>
      </c>
      <c r="AL505" s="14">
        <v>0.87294374909279704</v>
      </c>
      <c r="AM505">
        <v>29.667999999999999</v>
      </c>
      <c r="AN505" s="14">
        <v>0.8678406365178728</v>
      </c>
      <c r="AO505">
        <v>26</v>
      </c>
      <c r="AQ505">
        <v>503</v>
      </c>
      <c r="AR505">
        <v>106.518242</v>
      </c>
      <c r="AS505" s="14">
        <v>0.87424836134820838</v>
      </c>
      <c r="AT505">
        <v>29.45</v>
      </c>
      <c r="AU505" s="14">
        <v>0.86968077252458431</v>
      </c>
      <c r="AV505">
        <v>26</v>
      </c>
      <c r="AX505">
        <v>503</v>
      </c>
      <c r="AY505">
        <v>108.81286900000001</v>
      </c>
      <c r="AZ505" s="14">
        <v>0.88020220998298049</v>
      </c>
      <c r="BA505">
        <v>30.103000000000002</v>
      </c>
      <c r="BB505" s="14">
        <v>0.87702482228178547</v>
      </c>
      <c r="BC505">
        <v>26</v>
      </c>
    </row>
    <row r="506" spans="15:55" x14ac:dyDescent="0.35">
      <c r="V506">
        <v>504</v>
      </c>
      <c r="W506">
        <v>109.746961</v>
      </c>
      <c r="X506" s="14">
        <v>0.89537213100038016</v>
      </c>
      <c r="Y506">
        <v>30.266999999999999</v>
      </c>
      <c r="Z506" s="14">
        <v>0.89341165358049468</v>
      </c>
      <c r="AA506">
        <v>26</v>
      </c>
      <c r="AC506">
        <v>504</v>
      </c>
      <c r="AD506">
        <v>109.05747100000001</v>
      </c>
      <c r="AE506" s="14">
        <v>0.89821192792977678</v>
      </c>
      <c r="AF506">
        <v>30.074000000000002</v>
      </c>
      <c r="AG506" s="14">
        <v>0.89524603339981534</v>
      </c>
      <c r="AH506">
        <v>26</v>
      </c>
      <c r="AJ506">
        <v>504</v>
      </c>
      <c r="AK506">
        <v>107.30630499999999</v>
      </c>
      <c r="AL506" s="14">
        <v>0.87190863577928579</v>
      </c>
      <c r="AM506">
        <v>29.641999999999999</v>
      </c>
      <c r="AN506" s="14">
        <v>0.86708009126543029</v>
      </c>
      <c r="AO506">
        <v>26</v>
      </c>
      <c r="AQ506">
        <v>504</v>
      </c>
      <c r="AR506">
        <v>106.455398</v>
      </c>
      <c r="AS506" s="14">
        <v>0.873732569283028</v>
      </c>
      <c r="AT506">
        <v>29.434999999999999</v>
      </c>
      <c r="AU506" s="14">
        <v>0.86923781118034427</v>
      </c>
      <c r="AV506">
        <v>26</v>
      </c>
      <c r="AX506">
        <v>504</v>
      </c>
      <c r="AY506">
        <v>108.79238700000001</v>
      </c>
      <c r="AZ506" s="14">
        <v>0.88003652827795276</v>
      </c>
      <c r="BA506">
        <v>30.094999999999999</v>
      </c>
      <c r="BB506" s="14">
        <v>0.87679174921337844</v>
      </c>
      <c r="BC506">
        <v>26</v>
      </c>
    </row>
    <row r="507" spans="15:55" x14ac:dyDescent="0.35">
      <c r="V507">
        <v>505</v>
      </c>
      <c r="W507">
        <v>109.73506999999999</v>
      </c>
      <c r="X507" s="14">
        <v>0.8952751181089732</v>
      </c>
      <c r="Y507">
        <v>30.263000000000002</v>
      </c>
      <c r="Z507" s="14">
        <v>0.89329358285613092</v>
      </c>
      <c r="AA507">
        <v>26</v>
      </c>
      <c r="AC507">
        <v>505</v>
      </c>
      <c r="AD507">
        <v>109.03200699999999</v>
      </c>
      <c r="AE507" s="14">
        <v>0.89800220301755307</v>
      </c>
      <c r="AF507">
        <v>30.065999999999999</v>
      </c>
      <c r="AG507" s="14">
        <v>0.89500788854820934</v>
      </c>
      <c r="AH507">
        <v>26</v>
      </c>
      <c r="AJ507">
        <v>505</v>
      </c>
      <c r="AK507">
        <v>107.365801</v>
      </c>
      <c r="AL507" s="14">
        <v>0.87239206567834282</v>
      </c>
      <c r="AM507">
        <v>29.648</v>
      </c>
      <c r="AN507" s="14">
        <v>0.86725560170830163</v>
      </c>
      <c r="AO507">
        <v>26</v>
      </c>
      <c r="AQ507">
        <v>505</v>
      </c>
      <c r="AR507">
        <v>106.59755699999999</v>
      </c>
      <c r="AS507" s="14">
        <v>0.87489933912889994</v>
      </c>
      <c r="AT507">
        <v>29.457999999999998</v>
      </c>
      <c r="AU507" s="14">
        <v>0.86991701857484571</v>
      </c>
      <c r="AV507">
        <v>26</v>
      </c>
      <c r="AX507">
        <v>505</v>
      </c>
      <c r="AY507">
        <v>108.77036200000001</v>
      </c>
      <c r="AZ507" s="14">
        <v>0.87985836503445924</v>
      </c>
      <c r="BA507">
        <v>30.09</v>
      </c>
      <c r="BB507" s="14">
        <v>0.87664607854562415</v>
      </c>
      <c r="BC507">
        <v>26</v>
      </c>
    </row>
    <row r="508" spans="15:55" x14ac:dyDescent="0.35">
      <c r="V508">
        <v>506</v>
      </c>
      <c r="W508">
        <v>109.711916</v>
      </c>
      <c r="X508" s="14">
        <v>0.89508621587302728</v>
      </c>
      <c r="Y508">
        <v>30.256</v>
      </c>
      <c r="Z508" s="14">
        <v>0.893086959088494</v>
      </c>
      <c r="AA508">
        <v>26</v>
      </c>
      <c r="AC508">
        <v>506</v>
      </c>
      <c r="AD508">
        <v>109.011247</v>
      </c>
      <c r="AE508" s="14">
        <v>0.8978312208789353</v>
      </c>
      <c r="AF508">
        <v>30.06</v>
      </c>
      <c r="AG508" s="14">
        <v>0.89482927990950478</v>
      </c>
      <c r="AH508">
        <v>26</v>
      </c>
      <c r="AJ508">
        <v>506</v>
      </c>
      <c r="AK508">
        <v>107.46092400000001</v>
      </c>
      <c r="AL508" s="14">
        <v>0.87316497986228792</v>
      </c>
      <c r="AM508">
        <v>29.664000000000001</v>
      </c>
      <c r="AN508" s="14">
        <v>0.86772362955595861</v>
      </c>
      <c r="AO508">
        <v>26</v>
      </c>
      <c r="AQ508">
        <v>506</v>
      </c>
      <c r="AR508">
        <v>106.563529</v>
      </c>
      <c r="AS508" s="14">
        <v>0.8746200543539977</v>
      </c>
      <c r="AT508">
        <v>29.449000000000002</v>
      </c>
      <c r="AU508" s="14">
        <v>0.86965124176830177</v>
      </c>
      <c r="AV508">
        <v>26</v>
      </c>
      <c r="AX508">
        <v>506</v>
      </c>
      <c r="AY508">
        <v>108.74148599999999</v>
      </c>
      <c r="AZ508" s="14">
        <v>0.87962478311304626</v>
      </c>
      <c r="BA508">
        <v>30.081</v>
      </c>
      <c r="BB508" s="14">
        <v>0.87638387134366624</v>
      </c>
      <c r="BC508">
        <v>26</v>
      </c>
    </row>
    <row r="509" spans="15:55" x14ac:dyDescent="0.35">
      <c r="V509">
        <v>507</v>
      </c>
      <c r="W509">
        <v>109.683246</v>
      </c>
      <c r="X509" s="14">
        <v>0.89485231127319254</v>
      </c>
      <c r="Y509">
        <v>30.248000000000001</v>
      </c>
      <c r="Z509" s="14">
        <v>0.89285081763976626</v>
      </c>
      <c r="AA509">
        <v>26</v>
      </c>
      <c r="AC509">
        <v>507</v>
      </c>
      <c r="AD509">
        <v>108.98987700000001</v>
      </c>
      <c r="AE509" s="14">
        <v>0.89765521469867238</v>
      </c>
      <c r="AF509">
        <v>30.055</v>
      </c>
      <c r="AG509" s="14">
        <v>0.89468043937725106</v>
      </c>
      <c r="AH509">
        <v>26</v>
      </c>
      <c r="AJ509">
        <v>507</v>
      </c>
      <c r="AK509">
        <v>107.431144</v>
      </c>
      <c r="AL509" s="14">
        <v>0.87292300489936736</v>
      </c>
      <c r="AM509">
        <v>29.655999999999999</v>
      </c>
      <c r="AN509" s="14">
        <v>0.86748961563213012</v>
      </c>
      <c r="AO509">
        <v>26</v>
      </c>
      <c r="AQ509">
        <v>507</v>
      </c>
      <c r="AR509">
        <v>106.527891</v>
      </c>
      <c r="AS509" s="14">
        <v>0.87432755550575603</v>
      </c>
      <c r="AT509">
        <v>29.44</v>
      </c>
      <c r="AU509" s="14">
        <v>0.86938546496175773</v>
      </c>
      <c r="AV509">
        <v>26</v>
      </c>
      <c r="AX509">
        <v>507</v>
      </c>
      <c r="AY509">
        <v>108.706</v>
      </c>
      <c r="AZ509" s="14">
        <v>0.87933773199574283</v>
      </c>
      <c r="BA509">
        <v>30.071999999999999</v>
      </c>
      <c r="BB509" s="14">
        <v>0.87612166414170844</v>
      </c>
      <c r="BC509">
        <v>26</v>
      </c>
    </row>
    <row r="510" spans="15:55" x14ac:dyDescent="0.35">
      <c r="AC510">
        <v>508</v>
      </c>
      <c r="AD510">
        <v>108.973287</v>
      </c>
      <c r="AE510" s="14">
        <v>0.89751857723818729</v>
      </c>
      <c r="AF510">
        <v>30.048999999999999</v>
      </c>
      <c r="AG510" s="14">
        <v>0.89450183073854661</v>
      </c>
      <c r="AH510">
        <v>26</v>
      </c>
      <c r="AJ510">
        <v>508</v>
      </c>
      <c r="AK510">
        <v>107.387102</v>
      </c>
      <c r="AL510" s="14">
        <v>0.87256514521780448</v>
      </c>
      <c r="AM510">
        <v>29.645</v>
      </c>
      <c r="AN510" s="14">
        <v>0.86716784648686596</v>
      </c>
      <c r="AO510">
        <v>26</v>
      </c>
      <c r="AQ510">
        <v>508</v>
      </c>
      <c r="AR510">
        <v>106.49600100000001</v>
      </c>
      <c r="AS510" s="14">
        <v>0.87406581836364861</v>
      </c>
      <c r="AT510">
        <v>29.431000000000001</v>
      </c>
      <c r="AU510" s="14">
        <v>0.86911968815521368</v>
      </c>
      <c r="AV510">
        <v>26</v>
      </c>
    </row>
    <row r="511" spans="15:55" x14ac:dyDescent="0.35">
      <c r="AC511">
        <v>509</v>
      </c>
      <c r="AD511">
        <v>108.956148</v>
      </c>
      <c r="AE511" s="14">
        <v>0.89737741814022154</v>
      </c>
      <c r="AF511">
        <v>30.042999999999999</v>
      </c>
      <c r="AG511" s="14">
        <v>0.89432322209984216</v>
      </c>
      <c r="AH511">
        <v>26</v>
      </c>
      <c r="AJ511">
        <v>509</v>
      </c>
      <c r="AK511">
        <v>107.357665</v>
      </c>
      <c r="AL511" s="14">
        <v>0.87232595727342932</v>
      </c>
      <c r="AM511">
        <v>29.638000000000002</v>
      </c>
      <c r="AN511" s="14">
        <v>0.8669630843035161</v>
      </c>
      <c r="AO511">
        <v>26</v>
      </c>
      <c r="AQ511">
        <v>509</v>
      </c>
      <c r="AR511">
        <v>106.464473</v>
      </c>
      <c r="AS511" s="14">
        <v>0.87380705233616762</v>
      </c>
      <c r="AT511">
        <v>29.422999999999998</v>
      </c>
      <c r="AU511" s="14">
        <v>0.86888344210495227</v>
      </c>
      <c r="AV511">
        <v>26</v>
      </c>
    </row>
    <row r="512" spans="15:55" x14ac:dyDescent="0.35">
      <c r="AC512">
        <v>510</v>
      </c>
      <c r="AD512">
        <v>108.924092</v>
      </c>
      <c r="AE512" s="14">
        <v>0.89711340063369316</v>
      </c>
      <c r="AF512">
        <v>30.036000000000001</v>
      </c>
      <c r="AG512" s="14">
        <v>0.89411484535468688</v>
      </c>
      <c r="AH512">
        <v>26</v>
      </c>
      <c r="AJ512">
        <v>510</v>
      </c>
      <c r="AK512">
        <v>107.35598400000001</v>
      </c>
      <c r="AL512" s="14">
        <v>0.87231229844493152</v>
      </c>
      <c r="AM512">
        <v>29.632999999999999</v>
      </c>
      <c r="AN512" s="14">
        <v>0.86681682560112328</v>
      </c>
      <c r="AO512">
        <v>26</v>
      </c>
      <c r="AQ512">
        <v>510</v>
      </c>
      <c r="AR512">
        <v>106.48233399999999</v>
      </c>
      <c r="AS512" s="14">
        <v>0.8739536464752452</v>
      </c>
      <c r="AT512">
        <v>29.423999999999999</v>
      </c>
      <c r="AU512" s="14">
        <v>0.86891297286123492</v>
      </c>
      <c r="AV512">
        <v>26</v>
      </c>
    </row>
    <row r="513" spans="36:48" x14ac:dyDescent="0.35">
      <c r="AJ513">
        <v>511</v>
      </c>
      <c r="AK513">
        <v>107.36719100000001</v>
      </c>
      <c r="AL513" s="14">
        <v>0.87240336001005736</v>
      </c>
      <c r="AM513">
        <v>29.634</v>
      </c>
      <c r="AN513" s="14">
        <v>0.8668460773416018</v>
      </c>
      <c r="AO513">
        <v>26</v>
      </c>
      <c r="AQ513">
        <v>511</v>
      </c>
      <c r="AR513">
        <v>106.468783</v>
      </c>
      <c r="AS513" s="14">
        <v>0.87384242665672218</v>
      </c>
      <c r="AT513">
        <v>29.419</v>
      </c>
      <c r="AU513" s="14">
        <v>0.86876531907982169</v>
      </c>
      <c r="AV513">
        <v>26</v>
      </c>
    </row>
    <row r="514" spans="36:48" x14ac:dyDescent="0.35">
      <c r="AJ514">
        <v>512</v>
      </c>
      <c r="AK514">
        <v>107.33714999999999</v>
      </c>
      <c r="AL514" s="14">
        <v>0.87215926431290847</v>
      </c>
      <c r="AM514">
        <v>29.626000000000001</v>
      </c>
      <c r="AN514" s="14">
        <v>0.86661206341777341</v>
      </c>
      <c r="AO514">
        <v>26</v>
      </c>
      <c r="AQ514">
        <v>512</v>
      </c>
      <c r="AR514">
        <v>106.440825</v>
      </c>
      <c r="AS514" s="14">
        <v>0.87361296140055911</v>
      </c>
      <c r="AT514">
        <v>29.411000000000001</v>
      </c>
      <c r="AU514" s="14">
        <v>0.86852907302956039</v>
      </c>
      <c r="AV514">
        <v>26</v>
      </c>
    </row>
    <row r="515" spans="36:48" x14ac:dyDescent="0.35">
      <c r="AJ515">
        <v>513</v>
      </c>
      <c r="AK515">
        <v>107.299913</v>
      </c>
      <c r="AL515" s="14">
        <v>0.87185669810423594</v>
      </c>
      <c r="AM515">
        <v>29.616</v>
      </c>
      <c r="AN515" s="14">
        <v>0.86631954601298777</v>
      </c>
      <c r="AO515">
        <v>26</v>
      </c>
      <c r="AQ515">
        <v>513</v>
      </c>
      <c r="AR515">
        <v>106.414112</v>
      </c>
      <c r="AS515" s="14">
        <v>0.87339371448061187</v>
      </c>
      <c r="AT515">
        <v>29.402999999999999</v>
      </c>
      <c r="AU515" s="14">
        <v>0.86829282697929888</v>
      </c>
      <c r="AV515">
        <v>26</v>
      </c>
    </row>
    <row r="516" spans="36:48" x14ac:dyDescent="0.35">
      <c r="AJ516">
        <v>514</v>
      </c>
      <c r="AK516">
        <v>107.270991</v>
      </c>
      <c r="AL516" s="14">
        <v>0.87162169475038809</v>
      </c>
      <c r="AM516">
        <v>29.608000000000001</v>
      </c>
      <c r="AN516" s="14">
        <v>0.86608553208915928</v>
      </c>
      <c r="AO516">
        <v>26</v>
      </c>
      <c r="AQ516">
        <v>514</v>
      </c>
      <c r="AR516">
        <v>106.394614</v>
      </c>
      <c r="AS516" s="14">
        <v>0.87323368466572282</v>
      </c>
      <c r="AT516">
        <v>29.398</v>
      </c>
      <c r="AU516" s="14">
        <v>0.86814517319788564</v>
      </c>
      <c r="AV516">
        <v>26</v>
      </c>
    </row>
    <row r="517" spans="36:48" x14ac:dyDescent="0.35">
      <c r="AJ517">
        <v>515</v>
      </c>
      <c r="AK517">
        <v>107.248251</v>
      </c>
      <c r="AL517" s="14">
        <v>0.87143692273370543</v>
      </c>
      <c r="AM517">
        <v>29.600999999999999</v>
      </c>
      <c r="AN517" s="14">
        <v>0.86588076990580942</v>
      </c>
      <c r="AO517">
        <v>26</v>
      </c>
      <c r="AQ517">
        <v>515</v>
      </c>
      <c r="AR517">
        <v>106.360022</v>
      </c>
      <c r="AS517" s="14">
        <v>0.87294977086140224</v>
      </c>
      <c r="AT517">
        <v>29.388000000000002</v>
      </c>
      <c r="AU517" s="14">
        <v>0.86784986563505895</v>
      </c>
      <c r="AV517">
        <v>26</v>
      </c>
    </row>
    <row r="518" spans="36:48" x14ac:dyDescent="0.35">
      <c r="AJ518">
        <v>516</v>
      </c>
      <c r="AK518">
        <v>107.22613800000001</v>
      </c>
      <c r="AL518" s="14">
        <v>0.87125724535442206</v>
      </c>
      <c r="AM518">
        <v>29.594000000000001</v>
      </c>
      <c r="AN518" s="14">
        <v>0.86567600772245956</v>
      </c>
      <c r="AO518">
        <v>26</v>
      </c>
      <c r="AQ518">
        <v>516</v>
      </c>
      <c r="AR518">
        <v>106.353207</v>
      </c>
      <c r="AS518" s="14">
        <v>0.87289383675593146</v>
      </c>
      <c r="AT518">
        <v>29.384</v>
      </c>
      <c r="AU518" s="14">
        <v>0.86773174260992825</v>
      </c>
      <c r="AV518">
        <v>26</v>
      </c>
    </row>
    <row r="519" spans="36:48" x14ac:dyDescent="0.35">
      <c r="AJ519">
        <v>517</v>
      </c>
      <c r="AK519">
        <v>107.20877299999999</v>
      </c>
      <c r="AL519" s="14">
        <v>0.87111614746217503</v>
      </c>
      <c r="AM519">
        <v>29.588999999999999</v>
      </c>
      <c r="AN519" s="14">
        <v>0.86552974902006663</v>
      </c>
      <c r="AO519">
        <v>26</v>
      </c>
      <c r="AQ519">
        <v>517</v>
      </c>
      <c r="AR519">
        <v>106.31865500000001</v>
      </c>
      <c r="AS519" s="14">
        <v>0.87261025125156977</v>
      </c>
      <c r="AT519">
        <v>29.376000000000001</v>
      </c>
      <c r="AU519" s="14">
        <v>0.86749549655966696</v>
      </c>
      <c r="AV519">
        <v>26</v>
      </c>
    </row>
    <row r="520" spans="36:48" x14ac:dyDescent="0.35">
      <c r="AJ520">
        <v>518</v>
      </c>
      <c r="AK520">
        <v>107.17901000000001</v>
      </c>
      <c r="AL520" s="14">
        <v>0.87087431063136911</v>
      </c>
      <c r="AM520">
        <v>29.58</v>
      </c>
      <c r="AN520" s="14">
        <v>0.86526648335575962</v>
      </c>
      <c r="AO520">
        <v>26</v>
      </c>
      <c r="AQ520">
        <v>518</v>
      </c>
      <c r="AR520">
        <v>106.30136299999999</v>
      </c>
      <c r="AS520" s="14">
        <v>0.87246832717940526</v>
      </c>
      <c r="AT520">
        <v>29.37</v>
      </c>
      <c r="AU520" s="14">
        <v>0.86731831202197096</v>
      </c>
      <c r="AV520">
        <v>26</v>
      </c>
    </row>
    <row r="521" spans="36:48" x14ac:dyDescent="0.35">
      <c r="AJ521">
        <v>519</v>
      </c>
      <c r="AK521">
        <v>107.17187699999999</v>
      </c>
      <c r="AL521" s="14">
        <v>0.87081635202121088</v>
      </c>
      <c r="AM521">
        <v>29.576000000000001</v>
      </c>
      <c r="AN521" s="14">
        <v>0.86514947639384543</v>
      </c>
      <c r="AO521">
        <v>26</v>
      </c>
    </row>
  </sheetData>
  <mergeCells count="31">
    <mergeCell ref="C58:G58"/>
    <mergeCell ref="H58:J58"/>
    <mergeCell ref="K58:M58"/>
    <mergeCell ref="C68:G68"/>
    <mergeCell ref="H68:J68"/>
    <mergeCell ref="K68:M68"/>
    <mergeCell ref="C38:G38"/>
    <mergeCell ref="H38:J38"/>
    <mergeCell ref="K38:M38"/>
    <mergeCell ref="C48:G48"/>
    <mergeCell ref="H48:J48"/>
    <mergeCell ref="K48:M48"/>
    <mergeCell ref="E14:K14"/>
    <mergeCell ref="C18:G18"/>
    <mergeCell ref="H18:J18"/>
    <mergeCell ref="K18:M18"/>
    <mergeCell ref="C28:G28"/>
    <mergeCell ref="H28:J28"/>
    <mergeCell ref="K28:M28"/>
    <mergeCell ref="E8:K8"/>
    <mergeCell ref="E9:K9"/>
    <mergeCell ref="E10:K10"/>
    <mergeCell ref="E11:K11"/>
    <mergeCell ref="E12:K12"/>
    <mergeCell ref="E13:K13"/>
    <mergeCell ref="C1:M1"/>
    <mergeCell ref="C3:M3"/>
    <mergeCell ref="E4:K4"/>
    <mergeCell ref="E5:K5"/>
    <mergeCell ref="E6:K6"/>
    <mergeCell ref="E7:K7"/>
  </mergeCells>
  <phoneticPr fontId="4" type="noConversion"/>
  <pageMargins left="0.7" right="0.7" top="0.75" bottom="0.75" header="0.3" footer="0.3"/>
  <drawing r:id="rId1"/>
  <tableParts count="2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快充循环整合</vt:lpstr>
      <vt:lpstr>功能首页</vt:lpstr>
      <vt:lpstr>公共配置</vt:lpstr>
      <vt:lpstr>循环配置</vt:lpstr>
      <vt:lpstr>存储配置</vt:lpstr>
      <vt:lpstr>大小中检</vt:lpstr>
      <vt:lpstr>G11E-V1.2-PreA-0.5C_0.5C循环 25℃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Steins Wu</dc:creator>
  <cp:lastModifiedBy>吴英恒</cp:lastModifiedBy>
  <dcterms:created xsi:type="dcterms:W3CDTF">2023-11-27T00:59:58Z</dcterms:created>
  <dcterms:modified xsi:type="dcterms:W3CDTF">2024-12-11T06:14:46Z</dcterms:modified>
</cp:coreProperties>
</file>